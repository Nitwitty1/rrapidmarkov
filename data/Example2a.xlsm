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eanorwich-my.sharepoint.com/personal/wm096_uea_ac_uk/Documents/projects/active/_RPackages/rrapidmarkov/data/"/>
    </mc:Choice>
  </mc:AlternateContent>
  <xr:revisionPtr revIDLastSave="43" documentId="8_{370FC8F4-C8D3-4A17-8881-514F849BEF6E}" xr6:coauthVersionLast="44" xr6:coauthVersionMax="45" xr10:uidLastSave="{59206EE4-A9D7-4774-8F6C-DD7461D70ADA}"/>
  <bookViews>
    <workbookView xWindow="-108" yWindow="-108" windowWidth="30936" windowHeight="16896" xr2:uid="{B27F2269-4F07-45CB-8695-D481CB3FA37F}"/>
  </bookViews>
  <sheets>
    <sheet name="code" sheetId="5" r:id="rId1"/>
  </sheets>
  <definedNames>
    <definedName name="CostDisc3a">#REF!</definedName>
    <definedName name="CostDisc3b">#REF!</definedName>
    <definedName name="CostDiscNew">#REF!</definedName>
    <definedName name="CostDiscOld">#REF!</definedName>
    <definedName name="Ex3aSamples">#REF!</definedName>
    <definedName name="Ex3bSamples">#REF!</definedName>
    <definedName name="probabilistic">#REF!</definedName>
    <definedName name="PSA">#REF!</definedName>
    <definedName name="PSA3a">#REF!</definedName>
    <definedName name="PSA3b">#REF!</definedName>
    <definedName name="QALYDisc3a">#REF!</definedName>
    <definedName name="QALYDisc3b">#REF!</definedName>
    <definedName name="QALYdiscNew">#REF!</definedName>
    <definedName name="QALYdiscOld">#REF!</definedName>
    <definedName name="sampled">#REF!</definedName>
    <definedName name="sims">#REF!</definedName>
    <definedName name="sims3a">#REF!</definedName>
    <definedName name="sims3b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4" i="5" l="1"/>
  <c r="X4" i="5"/>
  <c r="V3" i="5" l="1"/>
  <c r="V20" i="5" s="1"/>
  <c r="Q20" i="5"/>
  <c r="P20" i="5"/>
  <c r="O20" i="5"/>
  <c r="T3" i="5" l="1"/>
  <c r="T20" i="5" s="1"/>
  <c r="U3" i="5"/>
  <c r="U20" i="5" s="1"/>
  <c r="AA3" i="5"/>
  <c r="AA20" i="5" s="1"/>
  <c r="Z3" i="5"/>
  <c r="Z20" i="5" s="1"/>
  <c r="J8" i="5"/>
  <c r="AB3" i="5"/>
  <c r="AB20" i="5" s="1"/>
  <c r="R3" i="5"/>
  <c r="J5" i="5" l="1"/>
  <c r="J6" i="5"/>
  <c r="W3" i="5"/>
  <c r="AC3" i="5"/>
  <c r="J7" i="5"/>
  <c r="J4" i="5"/>
  <c r="AD3" i="5" l="1"/>
  <c r="AD20" i="5" s="1"/>
  <c r="AC20" i="5"/>
  <c r="X3" i="5"/>
  <c r="X20" i="5" s="1"/>
  <c r="W20" i="5"/>
  <c r="Q4" i="5" l="1"/>
  <c r="O4" i="5"/>
  <c r="P4" i="5"/>
  <c r="T4" i="5" l="1"/>
  <c r="T21" i="5" s="1"/>
  <c r="O21" i="5"/>
  <c r="P21" i="5"/>
  <c r="U4" i="5"/>
  <c r="U21" i="5" s="1"/>
  <c r="AB4" i="5"/>
  <c r="AB21" i="5" s="1"/>
  <c r="V4" i="5"/>
  <c r="V21" i="5" s="1"/>
  <c r="Q21" i="5"/>
  <c r="AA4" i="5"/>
  <c r="AA21" i="5" s="1"/>
  <c r="Q5" i="5"/>
  <c r="P5" i="5"/>
  <c r="Z4" i="5"/>
  <c r="Z21" i="5" s="1"/>
  <c r="R4" i="5"/>
  <c r="O5" i="5"/>
  <c r="W4" i="5" l="1"/>
  <c r="X21" i="5" s="1"/>
  <c r="O22" i="5"/>
  <c r="T5" i="5"/>
  <c r="T22" i="5" s="1"/>
  <c r="Q22" i="5"/>
  <c r="V5" i="5"/>
  <c r="V22" i="5" s="1"/>
  <c r="P22" i="5"/>
  <c r="U5" i="5"/>
  <c r="U22" i="5" s="1"/>
  <c r="AC4" i="5"/>
  <c r="AA5" i="5"/>
  <c r="AA22" i="5" s="1"/>
  <c r="R5" i="5"/>
  <c r="P6" i="5"/>
  <c r="Z5" i="5"/>
  <c r="Z22" i="5" s="1"/>
  <c r="O6" i="5"/>
  <c r="Q6" i="5"/>
  <c r="AB5" i="5"/>
  <c r="AB22" i="5" s="1"/>
  <c r="O23" i="5" l="1"/>
  <c r="T6" i="5"/>
  <c r="T23" i="5" s="1"/>
  <c r="W21" i="5"/>
  <c r="AA6" i="5"/>
  <c r="AA23" i="5" s="1"/>
  <c r="P23" i="5"/>
  <c r="U6" i="5"/>
  <c r="U23" i="5" s="1"/>
  <c r="V6" i="5"/>
  <c r="V23" i="5" s="1"/>
  <c r="Q23" i="5"/>
  <c r="AC21" i="5"/>
  <c r="AD21" i="5"/>
  <c r="W5" i="5"/>
  <c r="X5" i="5" s="1"/>
  <c r="AC5" i="5"/>
  <c r="Q7" i="5"/>
  <c r="P7" i="5"/>
  <c r="Z6" i="5"/>
  <c r="Z23" i="5" s="1"/>
  <c r="O7" i="5"/>
  <c r="R6" i="5"/>
  <c r="AB6" i="5"/>
  <c r="AB23" i="5" s="1"/>
  <c r="AA7" i="5" l="1"/>
  <c r="AA24" i="5" s="1"/>
  <c r="P24" i="5"/>
  <c r="U7" i="5"/>
  <c r="U24" i="5" s="1"/>
  <c r="Q24" i="5"/>
  <c r="V7" i="5"/>
  <c r="V24" i="5" s="1"/>
  <c r="T7" i="5"/>
  <c r="T24" i="5" s="1"/>
  <c r="O24" i="5"/>
  <c r="AD5" i="5"/>
  <c r="AD22" i="5" s="1"/>
  <c r="AC22" i="5"/>
  <c r="X22" i="5"/>
  <c r="W22" i="5"/>
  <c r="AB7" i="5"/>
  <c r="AB24" i="5" s="1"/>
  <c r="AC6" i="5"/>
  <c r="R7" i="5"/>
  <c r="P8" i="5"/>
  <c r="Q8" i="5"/>
  <c r="Z7" i="5"/>
  <c r="Z24" i="5" s="1"/>
  <c r="O8" i="5"/>
  <c r="W6" i="5"/>
  <c r="X6" i="5" s="1"/>
  <c r="AD6" i="5" l="1"/>
  <c r="AD23" i="5" s="1"/>
  <c r="AC23" i="5"/>
  <c r="AA8" i="5"/>
  <c r="AA25" i="5" s="1"/>
  <c r="P25" i="5"/>
  <c r="U8" i="5"/>
  <c r="U25" i="5" s="1"/>
  <c r="AB8" i="5"/>
  <c r="AB25" i="5" s="1"/>
  <c r="Q25" i="5"/>
  <c r="V8" i="5"/>
  <c r="V25" i="5" s="1"/>
  <c r="O25" i="5"/>
  <c r="T8" i="5"/>
  <c r="T25" i="5" s="1"/>
  <c r="X23" i="5"/>
  <c r="W23" i="5"/>
  <c r="AC7" i="5"/>
  <c r="W7" i="5"/>
  <c r="X7" i="5" s="1"/>
  <c r="Z8" i="5"/>
  <c r="R8" i="5"/>
  <c r="AC8" i="5" l="1"/>
  <c r="Z25" i="5"/>
  <c r="AD7" i="5"/>
  <c r="AD24" i="5" s="1"/>
  <c r="AC24" i="5"/>
  <c r="X24" i="5"/>
  <c r="W24" i="5"/>
  <c r="W8" i="5"/>
  <c r="X8" i="5" s="1"/>
  <c r="AD8" i="5" l="1"/>
  <c r="AD25" i="5" s="1"/>
  <c r="AC25" i="5"/>
  <c r="X25" i="5"/>
  <c r="W25" i="5"/>
  <c r="X9" i="5" l="1"/>
  <c r="AC9" i="5" l="1"/>
  <c r="W9" i="5"/>
  <c r="AD9" i="5" l="1"/>
</calcChain>
</file>

<file path=xl/sharedStrings.xml><?xml version="1.0" encoding="utf-8"?>
<sst xmlns="http://schemas.openxmlformats.org/spreadsheetml/2006/main" count="49" uniqueCount="33">
  <si>
    <t>Live value</t>
  </si>
  <si>
    <t>Cost</t>
  </si>
  <si>
    <t>QALYs</t>
  </si>
  <si>
    <t>Total</t>
  </si>
  <si>
    <t>Discounted</t>
  </si>
  <si>
    <t>Probabilities</t>
  </si>
  <si>
    <t>progression &gt;&gt; dead</t>
  </si>
  <si>
    <t>Inputs</t>
  </si>
  <si>
    <t>A&gt;&gt;P</t>
  </si>
  <si>
    <t>A&gt;&gt;D</t>
  </si>
  <si>
    <t>A&gt;&gt;A</t>
  </si>
  <si>
    <t>P&gt;&gt;A</t>
  </si>
  <si>
    <t>P&gt;&gt;P</t>
  </si>
  <si>
    <t>P&gt;&gt;D</t>
  </si>
  <si>
    <t>D&gt;&gt;D</t>
  </si>
  <si>
    <t>progression &gt;&gt; progression</t>
  </si>
  <si>
    <t>Checksum</t>
  </si>
  <si>
    <t>HRQoL</t>
  </si>
  <si>
    <t>progression</t>
  </si>
  <si>
    <t>dead</t>
  </si>
  <si>
    <t>Discount Rate</t>
  </si>
  <si>
    <t>Sum</t>
  </si>
  <si>
    <t>cycle</t>
  </si>
  <si>
    <t>alive &gt;&gt; alive</t>
  </si>
  <si>
    <t>alive &gt;&gt; progression</t>
  </si>
  <si>
    <t>alive &gt;&gt; dead</t>
  </si>
  <si>
    <t>progression &gt;&gt; alive</t>
  </si>
  <si>
    <t>alive</t>
  </si>
  <si>
    <t>progressive</t>
  </si>
  <si>
    <t>R output:</t>
  </si>
  <si>
    <t>Difference</t>
  </si>
  <si>
    <t>Markov Trace</t>
  </si>
  <si>
    <t>Transition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</si>
</sst>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£&quot;#,##0;[Red]\-&quot;£&quot;#,##0"/>
    <numFmt numFmtId="8" formatCode="&quot;£&quot;#,##0.00;[Red]\-&quot;£&quot;#,##0.00"/>
    <numFmt numFmtId="164" formatCode="0.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404040"/>
      <name val="Lucida Console"/>
      <family val="3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10" fontId="0" fillId="0" borderId="0" xfId="1" applyNumberFormat="1" applyFont="1"/>
    <xf numFmtId="10" fontId="0" fillId="0" borderId="0" xfId="0" applyNumberFormat="1"/>
    <xf numFmtId="9" fontId="0" fillId="0" borderId="0" xfId="0" applyNumberFormat="1"/>
    <xf numFmtId="6" fontId="0" fillId="0" borderId="0" xfId="0" applyNumberFormat="1"/>
    <xf numFmtId="164" fontId="0" fillId="0" borderId="0" xfId="0" applyNumberFormat="1"/>
    <xf numFmtId="0" fontId="0" fillId="2" borderId="0" xfId="0" applyFill="1"/>
    <xf numFmtId="8" fontId="0" fillId="0" borderId="0" xfId="0" applyNumberFormat="1"/>
    <xf numFmtId="0" fontId="2" fillId="0" borderId="0" xfId="0" applyFont="1" applyAlignment="1">
      <alignment vertical="center"/>
    </xf>
    <xf numFmtId="0" fontId="2" fillId="3" borderId="0" xfId="0" applyFont="1" applyFill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02125-C653-49C0-8B94-84D25EE9303D}">
  <sheetPr codeName="Sheet5"/>
  <dimension ref="A1:AF25"/>
  <sheetViews>
    <sheetView tabSelected="1" topLeftCell="B1" zoomScaleNormal="100" workbookViewId="0">
      <selection activeCell="AD4" sqref="AD4"/>
    </sheetView>
  </sheetViews>
  <sheetFormatPr defaultRowHeight="14.4" x14ac:dyDescent="0.3"/>
  <cols>
    <col min="1" max="1" width="23.109375" bestFit="1" customWidth="1"/>
    <col min="15" max="17" width="10.77734375" bestFit="1" customWidth="1"/>
    <col min="29" max="29" width="9.77734375" bestFit="1" customWidth="1"/>
    <col min="30" max="30" width="10.44140625" bestFit="1" customWidth="1"/>
    <col min="32" max="32" width="0.6640625" style="6" customWidth="1"/>
  </cols>
  <sheetData>
    <row r="1" spans="1:30" x14ac:dyDescent="0.3">
      <c r="G1" t="s">
        <v>7</v>
      </c>
      <c r="O1" t="s">
        <v>31</v>
      </c>
      <c r="T1" t="s">
        <v>2</v>
      </c>
      <c r="X1" t="s">
        <v>4</v>
      </c>
      <c r="Z1" t="s">
        <v>1</v>
      </c>
      <c r="AD1" t="s">
        <v>4</v>
      </c>
    </row>
    <row r="2" spans="1:30" x14ac:dyDescent="0.3">
      <c r="B2" t="s">
        <v>0</v>
      </c>
      <c r="F2" t="s">
        <v>22</v>
      </c>
      <c r="G2" t="s">
        <v>10</v>
      </c>
      <c r="H2" t="s">
        <v>8</v>
      </c>
      <c r="I2" t="s">
        <v>9</v>
      </c>
      <c r="J2" t="s">
        <v>11</v>
      </c>
      <c r="K2" t="s">
        <v>12</v>
      </c>
      <c r="L2" t="s">
        <v>13</v>
      </c>
      <c r="M2" t="s">
        <v>14</v>
      </c>
      <c r="O2" t="s">
        <v>27</v>
      </c>
      <c r="P2" t="s">
        <v>28</v>
      </c>
      <c r="Q2" t="s">
        <v>19</v>
      </c>
      <c r="R2" t="s">
        <v>16</v>
      </c>
      <c r="T2" t="s">
        <v>27</v>
      </c>
      <c r="U2" t="s">
        <v>28</v>
      </c>
      <c r="V2" t="s">
        <v>19</v>
      </c>
      <c r="W2" t="s">
        <v>3</v>
      </c>
      <c r="X2" t="s">
        <v>3</v>
      </c>
      <c r="Z2" t="s">
        <v>27</v>
      </c>
      <c r="AA2" t="s">
        <v>28</v>
      </c>
      <c r="AB2" t="s">
        <v>19</v>
      </c>
      <c r="AC2" t="s">
        <v>3</v>
      </c>
      <c r="AD2" t="s">
        <v>3</v>
      </c>
    </row>
    <row r="3" spans="1:30" x14ac:dyDescent="0.3">
      <c r="A3" t="s">
        <v>5</v>
      </c>
      <c r="F3">
        <v>0</v>
      </c>
      <c r="O3">
        <v>1</v>
      </c>
      <c r="P3">
        <v>0</v>
      </c>
      <c r="Q3">
        <v>0</v>
      </c>
      <c r="R3">
        <f>SUM(O3:Q3)</f>
        <v>1</v>
      </c>
      <c r="T3">
        <f>O3*$B$13*$B$23</f>
        <v>0.8</v>
      </c>
      <c r="U3">
        <f>P3*$B$14*$B$23</f>
        <v>0</v>
      </c>
      <c r="V3">
        <f>Q3*$B$15*$B$23</f>
        <v>0</v>
      </c>
      <c r="W3" s="5">
        <f>SUM(T3:V3)</f>
        <v>0.8</v>
      </c>
      <c r="X3" s="5">
        <f t="shared" ref="X3:X4" si="0">W3/(1+$B$22)^F3</f>
        <v>0.8</v>
      </c>
      <c r="Z3" s="7">
        <f t="shared" ref="Z3:Z8" si="1">O3*$B$18</f>
        <v>100</v>
      </c>
      <c r="AA3" s="7">
        <f>P3*$B$19</f>
        <v>0</v>
      </c>
      <c r="AB3" s="7">
        <f t="shared" ref="AB3:AB8" si="2">Q3*$B$20</f>
        <v>0</v>
      </c>
      <c r="AC3" s="7">
        <f>SUM(Z3:AB3)</f>
        <v>100</v>
      </c>
      <c r="AD3" s="7">
        <f t="shared" ref="AD3:AD4" si="3">AC3/(1+$B$22)^F3</f>
        <v>100</v>
      </c>
    </row>
    <row r="4" spans="1:30" ht="13.8" customHeight="1" x14ac:dyDescent="0.3">
      <c r="A4" t="s">
        <v>23</v>
      </c>
      <c r="B4" s="1"/>
      <c r="F4">
        <v>1</v>
      </c>
      <c r="G4" s="2">
        <v>0.8</v>
      </c>
      <c r="H4" s="2">
        <v>0.1</v>
      </c>
      <c r="I4" s="2">
        <v>0.1</v>
      </c>
      <c r="J4" s="2">
        <f t="shared" ref="J4:J8" si="4">$B$8</f>
        <v>0</v>
      </c>
      <c r="K4" s="2">
        <v>0.7</v>
      </c>
      <c r="L4" s="2">
        <v>0.3</v>
      </c>
      <c r="M4" s="3">
        <v>1</v>
      </c>
      <c r="O4">
        <f t="shared" ref="O4:O8" si="5">O3+P3*J4-O3*(H4+I4)</f>
        <v>0.8</v>
      </c>
      <c r="P4">
        <f t="shared" ref="P4:P8" si="6">P3+O3*H4-P3*(J4+L4)</f>
        <v>0.1</v>
      </c>
      <c r="Q4">
        <f t="shared" ref="Q4:Q8" si="7">Q3+O3*I4+P3*L4</f>
        <v>0.1</v>
      </c>
      <c r="R4">
        <f>SUM(O4:Q4)</f>
        <v>1</v>
      </c>
      <c r="T4">
        <f t="shared" ref="T4:T8" si="8">O4*$B$13*$B$23</f>
        <v>0.64000000000000012</v>
      </c>
      <c r="U4">
        <f t="shared" ref="U4:U8" si="9">P4*$B$14*$B$23</f>
        <v>0.05</v>
      </c>
      <c r="V4">
        <f t="shared" ref="V4:V8" si="10">Q4*$B$15*$B$23</f>
        <v>0</v>
      </c>
      <c r="W4" s="5">
        <f>SUM(T4:V4)</f>
        <v>0.69000000000000017</v>
      </c>
      <c r="X4" s="5">
        <f t="shared" si="0"/>
        <v>0.66666666666666685</v>
      </c>
      <c r="Z4" s="7">
        <f t="shared" si="1"/>
        <v>80</v>
      </c>
      <c r="AA4" s="7">
        <f t="shared" ref="AA4:AA8" si="11">P4*$B$19</f>
        <v>100</v>
      </c>
      <c r="AB4" s="7">
        <f t="shared" si="2"/>
        <v>0</v>
      </c>
      <c r="AC4" s="7">
        <f t="shared" ref="AC4:AC8" si="12">SUM(Z4:AB4)</f>
        <v>180</v>
      </c>
      <c r="AD4" s="7">
        <f t="shared" si="3"/>
        <v>173.91304347826087</v>
      </c>
    </row>
    <row r="5" spans="1:30" x14ac:dyDescent="0.3">
      <c r="A5" t="s">
        <v>24</v>
      </c>
      <c r="B5" s="1"/>
      <c r="F5">
        <v>2</v>
      </c>
      <c r="G5" s="2">
        <v>0.7</v>
      </c>
      <c r="H5" s="2">
        <v>0.1</v>
      </c>
      <c r="I5" s="2">
        <v>0.2</v>
      </c>
      <c r="J5" s="2">
        <f t="shared" si="4"/>
        <v>0</v>
      </c>
      <c r="K5" s="2">
        <v>0.6</v>
      </c>
      <c r="L5" s="2">
        <v>0.4</v>
      </c>
      <c r="M5" s="3">
        <v>1</v>
      </c>
      <c r="O5">
        <f t="shared" si="5"/>
        <v>0.56000000000000005</v>
      </c>
      <c r="P5">
        <f t="shared" si="6"/>
        <v>0.14000000000000001</v>
      </c>
      <c r="Q5">
        <f t="shared" si="7"/>
        <v>0.30000000000000004</v>
      </c>
      <c r="R5">
        <f t="shared" ref="R5:R8" si="13">SUM(O5:Q5)</f>
        <v>1</v>
      </c>
      <c r="T5">
        <f t="shared" si="8"/>
        <v>0.44800000000000006</v>
      </c>
      <c r="U5">
        <f t="shared" si="9"/>
        <v>7.0000000000000007E-2</v>
      </c>
      <c r="V5">
        <f t="shared" si="10"/>
        <v>0</v>
      </c>
      <c r="W5" s="5">
        <f t="shared" ref="W5:W8" si="14">SUM(T5:V5)</f>
        <v>0.51800000000000002</v>
      </c>
      <c r="X5" s="5">
        <f t="shared" ref="X5:X8" si="15">W5/(1+$B$22)^(F5*$B$23)</f>
        <v>0.48355854278979682</v>
      </c>
      <c r="Z5" s="7">
        <f t="shared" si="1"/>
        <v>56.000000000000007</v>
      </c>
      <c r="AA5" s="7">
        <f t="shared" si="11"/>
        <v>140</v>
      </c>
      <c r="AB5" s="7">
        <f t="shared" si="2"/>
        <v>0</v>
      </c>
      <c r="AC5" s="7">
        <f t="shared" si="12"/>
        <v>196</v>
      </c>
      <c r="AD5" s="7">
        <f t="shared" ref="AD5:AD8" si="16">AC5/(1+$B$22)^(F5*$B$23)</f>
        <v>182.968097271815</v>
      </c>
    </row>
    <row r="6" spans="1:30" x14ac:dyDescent="0.3">
      <c r="A6" t="s">
        <v>25</v>
      </c>
      <c r="B6" s="1"/>
      <c r="F6">
        <v>3</v>
      </c>
      <c r="G6" s="2">
        <v>0.6</v>
      </c>
      <c r="H6" s="2">
        <v>0.1</v>
      </c>
      <c r="I6" s="2">
        <v>0.3</v>
      </c>
      <c r="J6" s="2">
        <f t="shared" si="4"/>
        <v>0</v>
      </c>
      <c r="K6" s="2">
        <v>0.5</v>
      </c>
      <c r="L6" s="2">
        <v>0.5</v>
      </c>
      <c r="M6" s="3">
        <v>1</v>
      </c>
      <c r="O6">
        <f t="shared" si="5"/>
        <v>0.33600000000000002</v>
      </c>
      <c r="P6">
        <f t="shared" si="6"/>
        <v>0.126</v>
      </c>
      <c r="Q6">
        <f t="shared" si="7"/>
        <v>0.53800000000000003</v>
      </c>
      <c r="R6">
        <f t="shared" si="13"/>
        <v>1</v>
      </c>
      <c r="T6">
        <f t="shared" si="8"/>
        <v>0.26880000000000004</v>
      </c>
      <c r="U6">
        <f t="shared" si="9"/>
        <v>6.3E-2</v>
      </c>
      <c r="V6">
        <f t="shared" si="10"/>
        <v>0</v>
      </c>
      <c r="W6" s="5">
        <f t="shared" si="14"/>
        <v>0.33180000000000004</v>
      </c>
      <c r="X6" s="5">
        <f t="shared" si="15"/>
        <v>0.29926458974064984</v>
      </c>
      <c r="Z6" s="7">
        <f t="shared" si="1"/>
        <v>33.6</v>
      </c>
      <c r="AA6" s="7">
        <f t="shared" si="11"/>
        <v>126</v>
      </c>
      <c r="AB6" s="7">
        <f t="shared" si="2"/>
        <v>0</v>
      </c>
      <c r="AC6" s="7">
        <f t="shared" si="12"/>
        <v>159.6</v>
      </c>
      <c r="AD6" s="7">
        <f t="shared" si="16"/>
        <v>143.95005582461636</v>
      </c>
    </row>
    <row r="7" spans="1:30" x14ac:dyDescent="0.3">
      <c r="B7" s="1"/>
      <c r="F7">
        <v>4</v>
      </c>
      <c r="G7" s="2">
        <v>0.5</v>
      </c>
      <c r="H7" s="2">
        <v>0.1</v>
      </c>
      <c r="I7" s="2">
        <v>0.4</v>
      </c>
      <c r="J7" s="2">
        <f t="shared" si="4"/>
        <v>0</v>
      </c>
      <c r="K7" s="2">
        <v>0.4</v>
      </c>
      <c r="L7" s="2">
        <v>0.6</v>
      </c>
      <c r="M7" s="3">
        <v>1</v>
      </c>
      <c r="O7">
        <f t="shared" si="5"/>
        <v>0.16800000000000001</v>
      </c>
      <c r="P7">
        <f t="shared" si="6"/>
        <v>8.4000000000000019E-2</v>
      </c>
      <c r="Q7">
        <f t="shared" si="7"/>
        <v>0.74800000000000011</v>
      </c>
      <c r="R7">
        <f t="shared" si="13"/>
        <v>1</v>
      </c>
      <c r="T7">
        <f t="shared" si="8"/>
        <v>0.13440000000000002</v>
      </c>
      <c r="U7">
        <f t="shared" si="9"/>
        <v>4.200000000000001E-2</v>
      </c>
      <c r="V7">
        <f t="shared" si="10"/>
        <v>0</v>
      </c>
      <c r="W7" s="5">
        <f t="shared" si="14"/>
        <v>0.17640000000000003</v>
      </c>
      <c r="X7" s="5">
        <f t="shared" si="15"/>
        <v>0.15372240896602821</v>
      </c>
      <c r="Z7" s="7">
        <f t="shared" si="1"/>
        <v>16.8</v>
      </c>
      <c r="AA7" s="7">
        <f t="shared" si="11"/>
        <v>84.000000000000014</v>
      </c>
      <c r="AB7" s="7">
        <f t="shared" si="2"/>
        <v>0</v>
      </c>
      <c r="AC7" s="7">
        <f t="shared" si="12"/>
        <v>100.80000000000001</v>
      </c>
      <c r="AD7" s="7">
        <f t="shared" si="16"/>
        <v>87.841376552016101</v>
      </c>
    </row>
    <row r="8" spans="1:30" x14ac:dyDescent="0.3">
      <c r="A8" t="s">
        <v>26</v>
      </c>
      <c r="B8" s="1"/>
      <c r="F8">
        <v>5</v>
      </c>
      <c r="G8" s="2">
        <v>0.4</v>
      </c>
      <c r="H8" s="2">
        <v>0.1</v>
      </c>
      <c r="I8" s="2">
        <v>0.5</v>
      </c>
      <c r="J8" s="2">
        <f t="shared" si="4"/>
        <v>0</v>
      </c>
      <c r="K8" s="2">
        <v>0.3</v>
      </c>
      <c r="L8" s="2">
        <v>0.7</v>
      </c>
      <c r="M8" s="3">
        <v>1</v>
      </c>
      <c r="O8">
        <f t="shared" si="5"/>
        <v>6.720000000000001E-2</v>
      </c>
      <c r="P8">
        <f t="shared" si="6"/>
        <v>4.2000000000000016E-2</v>
      </c>
      <c r="Q8">
        <f t="shared" si="7"/>
        <v>0.89080000000000004</v>
      </c>
      <c r="R8">
        <f t="shared" si="13"/>
        <v>1</v>
      </c>
      <c r="T8">
        <f t="shared" si="8"/>
        <v>5.3760000000000009E-2</v>
      </c>
      <c r="U8">
        <f t="shared" si="9"/>
        <v>2.1000000000000008E-2</v>
      </c>
      <c r="V8">
        <f t="shared" si="10"/>
        <v>0</v>
      </c>
      <c r="W8" s="5">
        <f t="shared" si="14"/>
        <v>7.4760000000000021E-2</v>
      </c>
      <c r="X8" s="5">
        <f t="shared" si="15"/>
        <v>6.2945913954343291E-2</v>
      </c>
      <c r="Z8" s="7">
        <f t="shared" si="1"/>
        <v>6.7200000000000006</v>
      </c>
      <c r="AA8" s="7">
        <f t="shared" si="11"/>
        <v>42.000000000000014</v>
      </c>
      <c r="AB8" s="7">
        <f t="shared" si="2"/>
        <v>0</v>
      </c>
      <c r="AC8" s="7">
        <f t="shared" si="12"/>
        <v>48.720000000000013</v>
      </c>
      <c r="AD8" s="7">
        <f t="shared" si="16"/>
        <v>41.020932689347312</v>
      </c>
    </row>
    <row r="9" spans="1:30" x14ac:dyDescent="0.3">
      <c r="A9" t="s">
        <v>15</v>
      </c>
      <c r="B9" s="1"/>
      <c r="G9" s="2"/>
      <c r="H9" s="2"/>
      <c r="I9" s="2"/>
      <c r="J9" s="2"/>
      <c r="K9" s="2"/>
      <c r="L9" s="2"/>
      <c r="M9" s="3"/>
      <c r="V9" t="s">
        <v>21</v>
      </c>
      <c r="W9" s="5">
        <f>SUM(W3:W8)</f>
        <v>2.5909599999999999</v>
      </c>
      <c r="X9" s="5">
        <f>SUM(X3:X8)</f>
        <v>2.4661581221174851</v>
      </c>
      <c r="Z9" s="7"/>
      <c r="AA9" s="7"/>
      <c r="AB9" s="7"/>
      <c r="AC9" s="7">
        <f>SUM(AC3:AC8)</f>
        <v>785.12000000000012</v>
      </c>
      <c r="AD9" s="7">
        <f>SUM(AD3:AD8)</f>
        <v>729.69350581605568</v>
      </c>
    </row>
    <row r="10" spans="1:30" x14ac:dyDescent="0.3">
      <c r="A10" t="s">
        <v>6</v>
      </c>
      <c r="B10" s="1"/>
      <c r="G10" s="2"/>
      <c r="H10" s="2"/>
      <c r="I10" s="2"/>
      <c r="J10" s="2"/>
      <c r="K10" s="2"/>
      <c r="L10" s="2"/>
      <c r="M10" s="3"/>
    </row>
    <row r="11" spans="1:30" x14ac:dyDescent="0.3">
      <c r="B11" s="1"/>
      <c r="G11" s="2"/>
      <c r="H11" s="2"/>
      <c r="I11" s="2"/>
      <c r="J11" s="2"/>
      <c r="K11" s="2"/>
      <c r="L11" s="2"/>
      <c r="M11" s="3"/>
      <c r="W11" s="5"/>
      <c r="X11" s="5"/>
      <c r="Z11" s="7"/>
      <c r="AA11" s="7"/>
      <c r="AB11" s="7"/>
      <c r="AC11" s="7"/>
      <c r="AD11" s="7"/>
    </row>
    <row r="12" spans="1:30" x14ac:dyDescent="0.3">
      <c r="A12" t="s">
        <v>17</v>
      </c>
      <c r="G12" s="2"/>
      <c r="H12" s="8"/>
      <c r="I12" s="2"/>
      <c r="J12" s="2"/>
      <c r="K12" s="2"/>
      <c r="L12" s="2" t="s">
        <v>29</v>
      </c>
      <c r="M12" s="3"/>
      <c r="O12">
        <v>1</v>
      </c>
      <c r="P12">
        <v>0</v>
      </c>
      <c r="Q12">
        <v>0</v>
      </c>
      <c r="T12">
        <v>0.8</v>
      </c>
      <c r="U12">
        <v>0</v>
      </c>
      <c r="V12">
        <v>0</v>
      </c>
      <c r="W12">
        <v>0.8</v>
      </c>
      <c r="X12">
        <v>0.8</v>
      </c>
      <c r="Z12">
        <v>100</v>
      </c>
      <c r="AA12">
        <v>0</v>
      </c>
      <c r="AB12">
        <v>0</v>
      </c>
      <c r="AC12">
        <v>100</v>
      </c>
      <c r="AD12">
        <v>100</v>
      </c>
    </row>
    <row r="13" spans="1:30" x14ac:dyDescent="0.3">
      <c r="A13" t="s">
        <v>27</v>
      </c>
      <c r="B13">
        <v>0.8</v>
      </c>
      <c r="G13" s="2"/>
      <c r="H13" s="8"/>
      <c r="I13" s="2"/>
      <c r="J13" s="2"/>
      <c r="K13" s="2"/>
      <c r="L13" s="2"/>
      <c r="M13" s="3"/>
      <c r="O13">
        <v>0.8</v>
      </c>
      <c r="P13">
        <v>0.1</v>
      </c>
      <c r="Q13">
        <v>0.1</v>
      </c>
      <c r="T13">
        <v>0.64</v>
      </c>
      <c r="U13">
        <v>0.05</v>
      </c>
      <c r="V13">
        <v>0</v>
      </c>
      <c r="W13">
        <v>0.69</v>
      </c>
      <c r="X13">
        <v>0.66666666666666696</v>
      </c>
      <c r="Z13">
        <v>80</v>
      </c>
      <c r="AA13">
        <v>100</v>
      </c>
      <c r="AB13">
        <v>0</v>
      </c>
      <c r="AC13">
        <v>180</v>
      </c>
      <c r="AD13">
        <v>173.91304347826099</v>
      </c>
    </row>
    <row r="14" spans="1:30" x14ac:dyDescent="0.3">
      <c r="A14" t="s">
        <v>18</v>
      </c>
      <c r="B14">
        <v>0.5</v>
      </c>
      <c r="G14" s="2"/>
      <c r="H14" s="8"/>
      <c r="I14" s="2"/>
      <c r="J14" s="2"/>
      <c r="L14" s="2"/>
      <c r="M14" s="3"/>
      <c r="O14">
        <v>0.56000000000000005</v>
      </c>
      <c r="P14">
        <v>0.14000000000000001</v>
      </c>
      <c r="Q14">
        <v>0.3</v>
      </c>
      <c r="T14">
        <v>0.44800000000000001</v>
      </c>
      <c r="U14">
        <v>7.0000000000000007E-2</v>
      </c>
      <c r="V14">
        <v>0</v>
      </c>
      <c r="W14">
        <v>0.51800000000000002</v>
      </c>
      <c r="X14">
        <v>0.48355854278979699</v>
      </c>
      <c r="Z14">
        <v>56</v>
      </c>
      <c r="AA14">
        <v>140</v>
      </c>
      <c r="AB14">
        <v>0</v>
      </c>
      <c r="AC14">
        <v>196</v>
      </c>
      <c r="AD14">
        <v>182.968097271815</v>
      </c>
    </row>
    <row r="15" spans="1:30" x14ac:dyDescent="0.3">
      <c r="A15" t="s">
        <v>19</v>
      </c>
      <c r="B15">
        <v>0</v>
      </c>
      <c r="G15" s="2"/>
      <c r="H15" s="8"/>
      <c r="I15" s="2"/>
      <c r="J15" s="2"/>
      <c r="K15" s="2"/>
      <c r="L15" s="2"/>
      <c r="M15" s="3"/>
      <c r="O15">
        <v>0.33600000000000002</v>
      </c>
      <c r="P15">
        <v>0.126</v>
      </c>
      <c r="Q15">
        <v>0.53800000000000003</v>
      </c>
      <c r="T15">
        <v>0.26879999999999998</v>
      </c>
      <c r="U15">
        <v>6.3E-2</v>
      </c>
      <c r="V15">
        <v>0</v>
      </c>
      <c r="W15">
        <v>0.33179999999999998</v>
      </c>
      <c r="X15">
        <v>0.29926458974065001</v>
      </c>
      <c r="Z15">
        <v>33.6</v>
      </c>
      <c r="AA15">
        <v>126</v>
      </c>
      <c r="AB15">
        <v>0</v>
      </c>
      <c r="AC15">
        <v>159.6</v>
      </c>
      <c r="AD15">
        <v>143.95005582461599</v>
      </c>
    </row>
    <row r="16" spans="1:30" x14ac:dyDescent="0.3">
      <c r="G16" s="2"/>
      <c r="H16" s="8"/>
      <c r="I16" s="2"/>
      <c r="J16" s="2"/>
      <c r="K16" s="2"/>
      <c r="L16" s="2"/>
      <c r="M16" s="3"/>
      <c r="O16">
        <v>0.16800000000000001</v>
      </c>
      <c r="P16">
        <v>8.4000000000000005E-2</v>
      </c>
      <c r="Q16">
        <v>0.748</v>
      </c>
      <c r="T16">
        <v>0.13439999999999999</v>
      </c>
      <c r="U16">
        <v>4.2000000000000003E-2</v>
      </c>
      <c r="V16">
        <v>0</v>
      </c>
      <c r="W16">
        <v>0.1764</v>
      </c>
      <c r="X16">
        <v>0.15372240896602801</v>
      </c>
      <c r="Z16">
        <v>16.8</v>
      </c>
      <c r="AA16">
        <v>84</v>
      </c>
      <c r="AB16">
        <v>0</v>
      </c>
      <c r="AC16">
        <v>100.8</v>
      </c>
      <c r="AD16">
        <v>87.841376552016101</v>
      </c>
    </row>
    <row r="17" spans="1:30" x14ac:dyDescent="0.3">
      <c r="A17" t="s">
        <v>1</v>
      </c>
      <c r="G17" s="2"/>
      <c r="H17" s="8"/>
      <c r="I17" s="2"/>
      <c r="J17" s="2"/>
      <c r="K17" s="2"/>
      <c r="L17" s="2"/>
      <c r="O17">
        <v>6.7199999999999996E-2</v>
      </c>
      <c r="P17">
        <v>4.2000000000000003E-2</v>
      </c>
      <c r="Q17">
        <v>0.89080000000000004</v>
      </c>
      <c r="T17">
        <v>5.3760000000000002E-2</v>
      </c>
      <c r="U17">
        <v>2.1000000000000001E-2</v>
      </c>
      <c r="V17">
        <v>0</v>
      </c>
      <c r="W17">
        <v>7.4759999999999993E-2</v>
      </c>
      <c r="X17">
        <v>6.2945913954343305E-2</v>
      </c>
      <c r="Z17">
        <v>6.72</v>
      </c>
      <c r="AA17">
        <v>42</v>
      </c>
      <c r="AB17">
        <v>0</v>
      </c>
      <c r="AC17">
        <v>48.72</v>
      </c>
      <c r="AD17">
        <v>41.020932689347298</v>
      </c>
    </row>
    <row r="18" spans="1:30" x14ac:dyDescent="0.3">
      <c r="A18" t="s">
        <v>27</v>
      </c>
      <c r="B18" s="4">
        <v>100</v>
      </c>
      <c r="G18" s="2"/>
      <c r="H18" s="8"/>
      <c r="I18" s="2"/>
      <c r="J18" s="2"/>
      <c r="K18" s="2"/>
      <c r="L18" s="2"/>
      <c r="T18">
        <v>2.3449599999999999</v>
      </c>
      <c r="U18">
        <v>0.246</v>
      </c>
      <c r="V18">
        <v>0</v>
      </c>
      <c r="W18">
        <v>2.5909599999999999</v>
      </c>
      <c r="X18">
        <v>2.46615812211749</v>
      </c>
      <c r="Z18">
        <v>293.12</v>
      </c>
      <c r="AA18">
        <v>492</v>
      </c>
      <c r="AB18">
        <v>0</v>
      </c>
      <c r="AC18">
        <v>785.12</v>
      </c>
      <c r="AD18">
        <v>729.69350581605602</v>
      </c>
    </row>
    <row r="19" spans="1:30" x14ac:dyDescent="0.3">
      <c r="A19" t="s">
        <v>18</v>
      </c>
      <c r="B19" s="4">
        <v>1000</v>
      </c>
      <c r="C19" s="4"/>
      <c r="G19" s="2"/>
      <c r="H19" s="8"/>
      <c r="I19" s="2"/>
      <c r="J19" s="2"/>
      <c r="K19" s="2"/>
      <c r="W19" s="5"/>
      <c r="X19" s="5"/>
      <c r="Z19" s="7"/>
      <c r="AA19" s="7"/>
      <c r="AB19" s="7"/>
      <c r="AC19" s="7"/>
      <c r="AD19" s="7"/>
    </row>
    <row r="20" spans="1:30" x14ac:dyDescent="0.3">
      <c r="A20" t="s">
        <v>19</v>
      </c>
      <c r="B20" s="4">
        <v>0</v>
      </c>
      <c r="G20" s="2"/>
      <c r="H20" s="8"/>
      <c r="I20" s="2"/>
      <c r="J20" s="2"/>
      <c r="K20" s="2"/>
      <c r="L20" t="s">
        <v>30</v>
      </c>
      <c r="O20">
        <f>O3-O12</f>
        <v>0</v>
      </c>
      <c r="P20">
        <f>P3-P12</f>
        <v>0</v>
      </c>
      <c r="Q20">
        <f>Q3-Q12</f>
        <v>0</v>
      </c>
      <c r="T20">
        <f>T3-T12</f>
        <v>0</v>
      </c>
      <c r="U20">
        <f>U3-U12</f>
        <v>0</v>
      </c>
      <c r="V20">
        <f>V3-V12</f>
        <v>0</v>
      </c>
      <c r="W20">
        <f>W3-W12</f>
        <v>0</v>
      </c>
      <c r="X20">
        <f>X3-X12</f>
        <v>0</v>
      </c>
      <c r="Z20">
        <f>Z3-Z12</f>
        <v>0</v>
      </c>
      <c r="AA20">
        <f>AA3-AA12</f>
        <v>0</v>
      </c>
      <c r="AB20">
        <f>AB3-AB12</f>
        <v>0</v>
      </c>
      <c r="AC20">
        <f>AC3-AC12</f>
        <v>0</v>
      </c>
      <c r="AD20">
        <f>AD3-AD12</f>
        <v>0</v>
      </c>
    </row>
    <row r="21" spans="1:30" x14ac:dyDescent="0.3">
      <c r="G21" s="2"/>
      <c r="H21" s="9"/>
      <c r="I21" s="2"/>
      <c r="J21" s="2"/>
      <c r="K21" s="2"/>
      <c r="O21">
        <f>O4-O13</f>
        <v>0</v>
      </c>
      <c r="P21">
        <f>P4-P13</f>
        <v>0</v>
      </c>
      <c r="Q21">
        <f>Q4-Q13</f>
        <v>0</v>
      </c>
      <c r="T21">
        <f>T4-T13</f>
        <v>0</v>
      </c>
      <c r="U21">
        <f>U4-U13</f>
        <v>0</v>
      </c>
      <c r="V21">
        <f>V4-V13</f>
        <v>0</v>
      </c>
      <c r="W21">
        <f>W4-W13</f>
        <v>0</v>
      </c>
      <c r="X21">
        <f>X4-X13</f>
        <v>0</v>
      </c>
      <c r="Z21">
        <f>Z4-Z13</f>
        <v>0</v>
      </c>
      <c r="AA21">
        <f>AA4-AA13</f>
        <v>0</v>
      </c>
      <c r="AB21">
        <f>AB4-AB13</f>
        <v>0</v>
      </c>
      <c r="AC21">
        <f>AC4-AC13</f>
        <v>0</v>
      </c>
      <c r="AD21">
        <f>AD4-AD13</f>
        <v>0</v>
      </c>
    </row>
    <row r="22" spans="1:30" x14ac:dyDescent="0.3">
      <c r="A22" t="s">
        <v>20</v>
      </c>
      <c r="B22">
        <v>3.5000000000000003E-2</v>
      </c>
      <c r="G22" s="2"/>
      <c r="H22" s="2"/>
      <c r="I22" s="2"/>
      <c r="J22" s="2"/>
      <c r="K22" s="2"/>
      <c r="O22">
        <f>O5-O14</f>
        <v>0</v>
      </c>
      <c r="P22">
        <f>P5-P14</f>
        <v>0</v>
      </c>
      <c r="Q22">
        <f>Q5-Q14</f>
        <v>0</v>
      </c>
      <c r="T22">
        <f>T5-T14</f>
        <v>0</v>
      </c>
      <c r="U22">
        <f>U5-U14</f>
        <v>0</v>
      </c>
      <c r="V22">
        <f>V5-V14</f>
        <v>0</v>
      </c>
      <c r="W22">
        <f>W5-W14</f>
        <v>0</v>
      </c>
      <c r="X22">
        <f>X5-X14</f>
        <v>0</v>
      </c>
      <c r="Z22">
        <f>Z5-Z14</f>
        <v>0</v>
      </c>
      <c r="AA22">
        <f>AA5-AA14</f>
        <v>0</v>
      </c>
      <c r="AB22">
        <f>AB5-AB14</f>
        <v>0</v>
      </c>
      <c r="AC22">
        <f>AC5-AC14</f>
        <v>0</v>
      </c>
      <c r="AD22">
        <f>AD5-AD14</f>
        <v>0</v>
      </c>
    </row>
    <row r="23" spans="1:30" x14ac:dyDescent="0.3">
      <c r="A23" t="s">
        <v>32</v>
      </c>
      <c r="B23">
        <v>1</v>
      </c>
      <c r="G23" s="2"/>
      <c r="H23" s="2"/>
      <c r="I23" s="2"/>
      <c r="J23" s="2"/>
      <c r="K23" s="2"/>
      <c r="O23">
        <f>O6-O15</f>
        <v>0</v>
      </c>
      <c r="P23">
        <f>P6-P15</f>
        <v>0</v>
      </c>
      <c r="Q23">
        <f>Q6-Q15</f>
        <v>0</v>
      </c>
      <c r="T23">
        <f>T6-T15</f>
        <v>0</v>
      </c>
      <c r="U23">
        <f>U6-U15</f>
        <v>0</v>
      </c>
      <c r="V23">
        <f>V6-V15</f>
        <v>0</v>
      </c>
      <c r="W23">
        <f>W6-W15</f>
        <v>0</v>
      </c>
      <c r="X23">
        <f>X6-X15</f>
        <v>0</v>
      </c>
      <c r="Z23">
        <f>Z6-Z15</f>
        <v>0</v>
      </c>
      <c r="AA23">
        <f>AA6-AA15</f>
        <v>0</v>
      </c>
      <c r="AB23">
        <f>AB6-AB15</f>
        <v>0</v>
      </c>
      <c r="AC23">
        <f>AC6-AC15</f>
        <v>0</v>
      </c>
      <c r="AD23">
        <f>AD6-AD15</f>
        <v>3.694822225952521E-13</v>
      </c>
    </row>
    <row r="24" spans="1:30" x14ac:dyDescent="0.3">
      <c r="O24">
        <f>O7-O16</f>
        <v>0</v>
      </c>
      <c r="P24">
        <f>P7-P16</f>
        <v>0</v>
      </c>
      <c r="Q24">
        <f>Q7-Q16</f>
        <v>0</v>
      </c>
      <c r="T24">
        <f>T7-T16</f>
        <v>0</v>
      </c>
      <c r="U24">
        <f>U7-U16</f>
        <v>0</v>
      </c>
      <c r="V24">
        <f>V7-V16</f>
        <v>0</v>
      </c>
      <c r="W24">
        <f>W7-W16</f>
        <v>0</v>
      </c>
      <c r="X24">
        <f>X7-X16</f>
        <v>0</v>
      </c>
      <c r="Z24">
        <f>Z7-Z16</f>
        <v>0</v>
      </c>
      <c r="AA24">
        <f>AA7-AA16</f>
        <v>0</v>
      </c>
      <c r="AB24">
        <f>AB7-AB16</f>
        <v>0</v>
      </c>
      <c r="AC24">
        <f>AC7-AC16</f>
        <v>0</v>
      </c>
      <c r="AD24">
        <f>AD7-AD16</f>
        <v>0</v>
      </c>
    </row>
    <row r="25" spans="1:30" x14ac:dyDescent="0.3">
      <c r="O25">
        <f>O8-O17</f>
        <v>0</v>
      </c>
      <c r="P25">
        <f>P8-P17</f>
        <v>0</v>
      </c>
      <c r="Q25">
        <f>Q8-Q17</f>
        <v>0</v>
      </c>
      <c r="T25">
        <f>T8-T17</f>
        <v>0</v>
      </c>
      <c r="U25">
        <f>U8-U17</f>
        <v>0</v>
      </c>
      <c r="V25">
        <f>V8-V17</f>
        <v>0</v>
      </c>
      <c r="W25">
        <f>W8-W17</f>
        <v>0</v>
      </c>
      <c r="X25">
        <f>X8-X17</f>
        <v>0</v>
      </c>
      <c r="Z25">
        <f>Z8-Z17</f>
        <v>0</v>
      </c>
      <c r="AA25">
        <f>AA8-AA17</f>
        <v>0</v>
      </c>
      <c r="AB25">
        <f>AB8-AB17</f>
        <v>0</v>
      </c>
      <c r="AC25">
        <f>AC8-AC17</f>
        <v>0</v>
      </c>
      <c r="AD25">
        <f>AD8-AD17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E3007EFA9A7349865A9594FBF4AA94" ma:contentTypeVersion="13" ma:contentTypeDescription="Create a new document." ma:contentTypeScope="" ma:versionID="4f0563166cabaaea13a14b5a09c04daa">
  <xsd:schema xmlns:xsd="http://www.w3.org/2001/XMLSchema" xmlns:xs="http://www.w3.org/2001/XMLSchema" xmlns:p="http://schemas.microsoft.com/office/2006/metadata/properties" xmlns:ns3="f9dc3a02-9204-467f-8e7a-5bbbbc75779b" xmlns:ns4="3fa41032-0344-4b0f-81e6-a99404307701" targetNamespace="http://schemas.microsoft.com/office/2006/metadata/properties" ma:root="true" ma:fieldsID="113e1002f7f7f91c391a363f61663b54" ns3:_="" ns4:_="">
    <xsd:import namespace="f9dc3a02-9204-467f-8e7a-5bbbbc75779b"/>
    <xsd:import namespace="3fa41032-0344-4b0f-81e6-a994043077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dc3a02-9204-467f-8e7a-5bbbbc7577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a41032-0344-4b0f-81e6-a9940430770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25188AB-FE63-47EC-AF63-335184C8F76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49F2AA-F8D3-4FA3-BD8F-9D356ED25127}">
  <ds:schemaRefs>
    <ds:schemaRef ds:uri="http://www.w3.org/XML/1998/namespace"/>
    <ds:schemaRef ds:uri="http://purl.org/dc/terms/"/>
    <ds:schemaRef ds:uri="http://purl.org/dc/dcmitype/"/>
    <ds:schemaRef ds:uri="http://schemas.microsoft.com/office/2006/metadata/properties"/>
    <ds:schemaRef ds:uri="http://purl.org/dc/elements/1.1/"/>
    <ds:schemaRef ds:uri="3fa41032-0344-4b0f-81e6-a994043077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f9dc3a02-9204-467f-8e7a-5bbbbc75779b"/>
  </ds:schemaRefs>
</ds:datastoreItem>
</file>

<file path=customXml/itemProps3.xml><?xml version="1.0" encoding="utf-8"?>
<ds:datastoreItem xmlns:ds="http://schemas.openxmlformats.org/officeDocument/2006/customXml" ds:itemID="{7DA08D0D-9C86-4F9A-B865-712307D6FA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dc3a02-9204-467f-8e7a-5bbbbc75779b"/>
    <ds:schemaRef ds:uri="3fa41032-0344-4b0f-81e6-a994043077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Wilson</dc:creator>
  <cp:lastModifiedBy>Ed Wilson</cp:lastModifiedBy>
  <dcterms:created xsi:type="dcterms:W3CDTF">2019-12-16T15:56:07Z</dcterms:created>
  <dcterms:modified xsi:type="dcterms:W3CDTF">2020-07-05T16:23:15Z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0x0101005FE3007EFA9A7349865A9594FBF4AA94</vt:lpwstr>
  </property>
</Properties>
</file>