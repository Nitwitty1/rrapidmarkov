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eanorwich-my.sharepoint.com/personal/wm096_uea_ac_uk/Documents/projects/active/_RPackages/rrapidmarkov/data/"/>
    </mc:Choice>
  </mc:AlternateContent>
  <xr:revisionPtr revIDLastSave="34" documentId="8_{A5C85321-E7E3-4DD1-BFD2-B2E77CE1CD65}" xr6:coauthVersionLast="44" xr6:coauthVersionMax="45" xr10:uidLastSave="{1AF29D30-AD41-4779-BA47-0293F6338A6F}"/>
  <bookViews>
    <workbookView xWindow="-108" yWindow="-108" windowWidth="30936" windowHeight="16896" xr2:uid="{B27F2269-4F07-45CB-8695-D481CB3FA37F}"/>
  </bookViews>
  <sheets>
    <sheet name="code" sheetId="5" r:id="rId1"/>
  </sheets>
  <definedNames>
    <definedName name="CostDisc3a">#REF!</definedName>
    <definedName name="CostDisc3b">#REF!</definedName>
    <definedName name="CostDiscNew">#REF!</definedName>
    <definedName name="CostDiscOld">#REF!</definedName>
    <definedName name="Ex3aSamples">#REF!</definedName>
    <definedName name="Ex3bSamples">#REF!</definedName>
    <definedName name="probabilistic">#REF!</definedName>
    <definedName name="PSA">#REF!</definedName>
    <definedName name="PSA3a">#REF!</definedName>
    <definedName name="PSA3b">#REF!</definedName>
    <definedName name="QALYDisc3a">#REF!</definedName>
    <definedName name="QALYDisc3b">#REF!</definedName>
    <definedName name="QALYdiscNew">#REF!</definedName>
    <definedName name="QALYdiscOld">#REF!</definedName>
    <definedName name="sampled">#REF!</definedName>
    <definedName name="sims">#REF!</definedName>
    <definedName name="sims3a">#REF!</definedName>
    <definedName name="sims3b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12" i="5" l="1"/>
  <c r="AD11" i="5"/>
  <c r="AD10" i="5"/>
  <c r="AD35" i="5" s="1"/>
  <c r="AD9" i="5"/>
  <c r="AD8" i="5"/>
  <c r="AD33" i="5" s="1"/>
  <c r="AD7" i="5"/>
  <c r="AD32" i="5" s="1"/>
  <c r="AD6" i="5"/>
  <c r="AD31" i="5" s="1"/>
  <c r="AD5" i="5"/>
  <c r="AD30" i="5" s="1"/>
  <c r="AD4" i="5"/>
  <c r="X13" i="5"/>
  <c r="X12" i="5"/>
  <c r="X11" i="5"/>
  <c r="X10" i="5"/>
  <c r="X9" i="5"/>
  <c r="X8" i="5"/>
  <c r="X7" i="5"/>
  <c r="X6" i="5"/>
  <c r="X5" i="5"/>
  <c r="X4" i="5"/>
  <c r="V12" i="5"/>
  <c r="U12" i="5"/>
  <c r="T12" i="5"/>
  <c r="V11" i="5"/>
  <c r="U11" i="5"/>
  <c r="T11" i="5"/>
  <c r="T36" i="5" s="1"/>
  <c r="V10" i="5"/>
  <c r="V35" i="5" s="1"/>
  <c r="U10" i="5"/>
  <c r="U35" i="5" s="1"/>
  <c r="T10" i="5"/>
  <c r="V9" i="5"/>
  <c r="U9" i="5"/>
  <c r="T9" i="5"/>
  <c r="V8" i="5"/>
  <c r="V33" i="5" s="1"/>
  <c r="U8" i="5"/>
  <c r="U33" i="5" s="1"/>
  <c r="T8" i="5"/>
  <c r="V7" i="5"/>
  <c r="V32" i="5" s="1"/>
  <c r="U7" i="5"/>
  <c r="T7" i="5"/>
  <c r="V6" i="5"/>
  <c r="U6" i="5"/>
  <c r="T6" i="5"/>
  <c r="T31" i="5" s="1"/>
  <c r="V5" i="5"/>
  <c r="V30" i="5" s="1"/>
  <c r="U5" i="5"/>
  <c r="T5" i="5"/>
  <c r="T30" i="5" s="1"/>
  <c r="V4" i="5"/>
  <c r="U4" i="5"/>
  <c r="T4" i="5"/>
  <c r="V3" i="5"/>
  <c r="V28" i="5" s="1"/>
  <c r="U3" i="5"/>
  <c r="U28" i="5" s="1"/>
  <c r="T3" i="5"/>
  <c r="U30" i="5"/>
  <c r="T33" i="5"/>
  <c r="B23" i="5"/>
  <c r="AD37" i="5"/>
  <c r="AC37" i="5"/>
  <c r="AB37" i="5"/>
  <c r="AA37" i="5"/>
  <c r="Z37" i="5"/>
  <c r="AD36" i="5"/>
  <c r="AC36" i="5"/>
  <c r="AB36" i="5"/>
  <c r="AA36" i="5"/>
  <c r="Z36" i="5"/>
  <c r="AC35" i="5"/>
  <c r="AB35" i="5"/>
  <c r="AA35" i="5"/>
  <c r="Z35" i="5"/>
  <c r="AD34" i="5"/>
  <c r="AC34" i="5"/>
  <c r="AB34" i="5"/>
  <c r="AA34" i="5"/>
  <c r="Z34" i="5"/>
  <c r="AC33" i="5"/>
  <c r="AB33" i="5"/>
  <c r="AA33" i="5"/>
  <c r="Z33" i="5"/>
  <c r="AC32" i="5"/>
  <c r="AB32" i="5"/>
  <c r="AA32" i="5"/>
  <c r="Z32" i="5"/>
  <c r="AC31" i="5"/>
  <c r="AB31" i="5"/>
  <c r="AA31" i="5"/>
  <c r="Z31" i="5"/>
  <c r="AC30" i="5"/>
  <c r="AB30" i="5"/>
  <c r="AA30" i="5"/>
  <c r="Z30" i="5"/>
  <c r="AD29" i="5"/>
  <c r="AC29" i="5"/>
  <c r="AB29" i="5"/>
  <c r="AA29" i="5"/>
  <c r="Z29" i="5"/>
  <c r="AD28" i="5"/>
  <c r="AC28" i="5"/>
  <c r="AB28" i="5"/>
  <c r="AA28" i="5"/>
  <c r="Z28" i="5"/>
  <c r="V37" i="5"/>
  <c r="U37" i="5"/>
  <c r="T37" i="5"/>
  <c r="V36" i="5"/>
  <c r="U36" i="5"/>
  <c r="T35" i="5"/>
  <c r="V34" i="5"/>
  <c r="U34" i="5"/>
  <c r="T34" i="5"/>
  <c r="U32" i="5"/>
  <c r="T32" i="5"/>
  <c r="V31" i="5"/>
  <c r="U31" i="5"/>
  <c r="V29" i="5"/>
  <c r="U29" i="5"/>
  <c r="T29" i="5"/>
  <c r="T28" i="5"/>
  <c r="Q37" i="5"/>
  <c r="P37" i="5"/>
  <c r="O37" i="5"/>
  <c r="Q36" i="5"/>
  <c r="P36" i="5"/>
  <c r="O36" i="5"/>
  <c r="Q35" i="5"/>
  <c r="P35" i="5"/>
  <c r="O35" i="5"/>
  <c r="Q34" i="5"/>
  <c r="P34" i="5"/>
  <c r="O34" i="5"/>
  <c r="Q33" i="5"/>
  <c r="P33" i="5"/>
  <c r="O33" i="5"/>
  <c r="Q32" i="5"/>
  <c r="P32" i="5"/>
  <c r="O32" i="5"/>
  <c r="Q31" i="5"/>
  <c r="P31" i="5"/>
  <c r="O31" i="5"/>
  <c r="Q30" i="5"/>
  <c r="P30" i="5"/>
  <c r="O30" i="5"/>
  <c r="Q29" i="5"/>
  <c r="P29" i="5"/>
  <c r="O29" i="5"/>
  <c r="Q28" i="5"/>
  <c r="P28" i="5"/>
  <c r="O28" i="5"/>
  <c r="AA3" i="5" l="1"/>
  <c r="Z3" i="5"/>
  <c r="J8" i="5"/>
  <c r="AB3" i="5"/>
  <c r="R3" i="5"/>
  <c r="L10" i="5" l="1"/>
  <c r="K12" i="5"/>
  <c r="J5" i="5"/>
  <c r="J6" i="5"/>
  <c r="J11" i="5"/>
  <c r="J9" i="5"/>
  <c r="W3" i="5"/>
  <c r="AC3" i="5"/>
  <c r="AD3" i="5" s="1"/>
  <c r="J12" i="5"/>
  <c r="J7" i="5"/>
  <c r="J10" i="5"/>
  <c r="J4" i="5"/>
  <c r="X3" i="5" l="1"/>
  <c r="X28" i="5" s="1"/>
  <c r="W28" i="5"/>
  <c r="L5" i="5"/>
  <c r="L4" i="5"/>
  <c r="L11" i="5"/>
  <c r="L7" i="5"/>
  <c r="L6" i="5"/>
  <c r="L9" i="5"/>
  <c r="L12" i="5"/>
  <c r="L8" i="5"/>
  <c r="K5" i="5"/>
  <c r="I12" i="5"/>
  <c r="I11" i="5"/>
  <c r="I8" i="5"/>
  <c r="I4" i="5"/>
  <c r="I6" i="5"/>
  <c r="I9" i="5"/>
  <c r="I5" i="5"/>
  <c r="I7" i="5"/>
  <c r="I10" i="5"/>
  <c r="G12" i="5"/>
  <c r="G4" i="5"/>
  <c r="G9" i="5"/>
  <c r="G5" i="5"/>
  <c r="G8" i="5"/>
  <c r="G10" i="5"/>
  <c r="G6" i="5"/>
  <c r="G7" i="5"/>
  <c r="G11" i="5"/>
  <c r="H10" i="5"/>
  <c r="H5" i="5"/>
  <c r="H9" i="5"/>
  <c r="H6" i="5"/>
  <c r="H8" i="5"/>
  <c r="H11" i="5"/>
  <c r="H12" i="5"/>
  <c r="H7" i="5"/>
  <c r="H4" i="5"/>
  <c r="K4" i="5"/>
  <c r="K11" i="5"/>
  <c r="K10" i="5"/>
  <c r="K7" i="5"/>
  <c r="K8" i="5"/>
  <c r="K9" i="5"/>
  <c r="K6" i="5"/>
  <c r="Q4" i="5" l="1"/>
  <c r="AB4" i="5" s="1"/>
  <c r="O4" i="5"/>
  <c r="P4" i="5"/>
  <c r="W4" i="5" l="1"/>
  <c r="AA4" i="5"/>
  <c r="Q5" i="5"/>
  <c r="P5" i="5"/>
  <c r="Z4" i="5"/>
  <c r="R4" i="5"/>
  <c r="O5" i="5"/>
  <c r="X29" i="5" l="1"/>
  <c r="W29" i="5"/>
  <c r="AC4" i="5"/>
  <c r="AA5" i="5"/>
  <c r="R5" i="5"/>
  <c r="P6" i="5"/>
  <c r="AA6" i="5" s="1"/>
  <c r="Z5" i="5"/>
  <c r="O6" i="5"/>
  <c r="Q6" i="5"/>
  <c r="AB5" i="5"/>
  <c r="W5" i="5" l="1"/>
  <c r="AC5" i="5"/>
  <c r="Q7" i="5"/>
  <c r="P7" i="5"/>
  <c r="AA7" i="5" s="1"/>
  <c r="Z6" i="5"/>
  <c r="O7" i="5"/>
  <c r="R6" i="5"/>
  <c r="AB6" i="5"/>
  <c r="X30" i="5" l="1"/>
  <c r="W30" i="5"/>
  <c r="AB7" i="5"/>
  <c r="AC6" i="5"/>
  <c r="R7" i="5"/>
  <c r="P8" i="5"/>
  <c r="AA8" i="5" s="1"/>
  <c r="Q8" i="5"/>
  <c r="AB8" i="5" s="1"/>
  <c r="Z7" i="5"/>
  <c r="O8" i="5"/>
  <c r="W6" i="5"/>
  <c r="X31" i="5" l="1"/>
  <c r="W31" i="5"/>
  <c r="AC7" i="5"/>
  <c r="W7" i="5"/>
  <c r="O9" i="5"/>
  <c r="Z9" i="5" s="1"/>
  <c r="Z8" i="5"/>
  <c r="AC8" i="5" s="1"/>
  <c r="P9" i="5"/>
  <c r="R8" i="5"/>
  <c r="Q9" i="5"/>
  <c r="X32" i="5" l="1"/>
  <c r="W32" i="5"/>
  <c r="P10" i="5"/>
  <c r="AA10" i="5" s="1"/>
  <c r="O10" i="5"/>
  <c r="Z10" i="5" s="1"/>
  <c r="AA9" i="5"/>
  <c r="Q10" i="5"/>
  <c r="W8" i="5"/>
  <c r="R9" i="5"/>
  <c r="AB9" i="5"/>
  <c r="X33" i="5" l="1"/>
  <c r="W33" i="5"/>
  <c r="O11" i="5"/>
  <c r="Z11" i="5" s="1"/>
  <c r="R10" i="5"/>
  <c r="P11" i="5"/>
  <c r="AC9" i="5"/>
  <c r="Q11" i="5"/>
  <c r="AB10" i="5"/>
  <c r="AC10" i="5" s="1"/>
  <c r="W9" i="5"/>
  <c r="X34" i="5" l="1"/>
  <c r="W34" i="5"/>
  <c r="W10" i="5"/>
  <c r="R11" i="5"/>
  <c r="O12" i="5"/>
  <c r="Z12" i="5" s="1"/>
  <c r="AA11" i="5"/>
  <c r="Q12" i="5"/>
  <c r="AB12" i="5" s="1"/>
  <c r="P12" i="5"/>
  <c r="AB11" i="5"/>
  <c r="X35" i="5" l="1"/>
  <c r="W35" i="5"/>
  <c r="W11" i="5"/>
  <c r="AA12" i="5"/>
  <c r="AC12" i="5" s="1"/>
  <c r="AC11" i="5"/>
  <c r="R12" i="5"/>
  <c r="X36" i="5" l="1"/>
  <c r="W36" i="5"/>
  <c r="W12" i="5"/>
  <c r="AD13" i="5"/>
  <c r="AC13" i="5"/>
  <c r="W37" i="5" l="1"/>
  <c r="W13" i="5"/>
  <c r="X37" i="5" l="1"/>
</calcChain>
</file>

<file path=xl/sharedStrings.xml><?xml version="1.0" encoding="utf-8"?>
<sst xmlns="http://schemas.openxmlformats.org/spreadsheetml/2006/main" count="49" uniqueCount="33">
  <si>
    <t>Live value</t>
  </si>
  <si>
    <t>Cost</t>
  </si>
  <si>
    <t>QALYs</t>
  </si>
  <si>
    <t>Total</t>
  </si>
  <si>
    <t>Discounted</t>
  </si>
  <si>
    <t>Probabilities</t>
  </si>
  <si>
    <t>progression &gt;&gt; dead</t>
  </si>
  <si>
    <t>Inputs</t>
  </si>
  <si>
    <t>A&gt;&gt;P</t>
  </si>
  <si>
    <t>A&gt;&gt;D</t>
  </si>
  <si>
    <t>A&gt;&gt;A</t>
  </si>
  <si>
    <t>P&gt;&gt;A</t>
  </si>
  <si>
    <t>P&gt;&gt;P</t>
  </si>
  <si>
    <t>P&gt;&gt;D</t>
  </si>
  <si>
    <t>D&gt;&gt;D</t>
  </si>
  <si>
    <t>progression &gt;&gt; progression</t>
  </si>
  <si>
    <t>Checksum</t>
  </si>
  <si>
    <t>HRQoL</t>
  </si>
  <si>
    <t>progression</t>
  </si>
  <si>
    <t>dead</t>
  </si>
  <si>
    <t>Discount Rate</t>
  </si>
  <si>
    <t>Sum</t>
  </si>
  <si>
    <t>cycle</t>
  </si>
  <si>
    <t>alive &gt;&gt; alive</t>
  </si>
  <si>
    <t>alive &gt;&gt; progression</t>
  </si>
  <si>
    <t>alive &gt;&gt; dead</t>
  </si>
  <si>
    <t>progression &gt;&gt; alive</t>
  </si>
  <si>
    <t>alive</t>
  </si>
  <si>
    <t>progressive</t>
  </si>
  <si>
    <t>R output:</t>
  </si>
  <si>
    <t>Difference</t>
  </si>
  <si>
    <t>Markov Trace</t>
  </si>
  <si>
    <t>Transition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</si>
</sst>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£&quot;#,##0;[Red]\-&quot;£&quot;#,##0"/>
    <numFmt numFmtId="8" formatCode="&quot;£&quot;#,##0.00;[Red]\-&quot;£&quot;#,##0.00"/>
    <numFmt numFmtId="164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404040"/>
      <name val="Lucida Console"/>
      <family val="3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9" fontId="0" fillId="0" borderId="0" xfId="0" applyNumberFormat="1"/>
    <xf numFmtId="6" fontId="0" fillId="0" borderId="0" xfId="0" applyNumberFormat="1"/>
    <xf numFmtId="164" fontId="0" fillId="0" borderId="0" xfId="0" applyNumberFormat="1"/>
    <xf numFmtId="0" fontId="0" fillId="2" borderId="0" xfId="0" applyFill="1"/>
    <xf numFmtId="8" fontId="0" fillId="0" borderId="0" xfId="0" applyNumberFormat="1"/>
    <xf numFmtId="0" fontId="2" fillId="0" borderId="0" xfId="0" applyFont="1" applyAlignment="1">
      <alignment vertical="center"/>
    </xf>
    <xf numFmtId="0" fontId="2" fillId="3" borderId="0" xfId="0" applyFont="1" applyFill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02125-C653-49C0-8B94-84D25EE9303D}">
  <sheetPr codeName="Sheet5"/>
  <dimension ref="A1:AF37"/>
  <sheetViews>
    <sheetView tabSelected="1" topLeftCell="B1" zoomScaleNormal="100" workbookViewId="0">
      <selection activeCell="AD16" sqref="AD16:AD26"/>
    </sheetView>
  </sheetViews>
  <sheetFormatPr defaultRowHeight="14.4" x14ac:dyDescent="0.3"/>
  <cols>
    <col min="1" max="1" width="23.109375" bestFit="1" customWidth="1"/>
    <col min="15" max="17" width="10.77734375" bestFit="1" customWidth="1"/>
    <col min="29" max="29" width="9.77734375" bestFit="1" customWidth="1"/>
    <col min="30" max="30" width="10.44140625" bestFit="1" customWidth="1"/>
    <col min="32" max="32" width="0.6640625" style="6" customWidth="1"/>
  </cols>
  <sheetData>
    <row r="1" spans="1:30" x14ac:dyDescent="0.3">
      <c r="G1" t="s">
        <v>7</v>
      </c>
      <c r="O1" t="s">
        <v>31</v>
      </c>
      <c r="T1" t="s">
        <v>2</v>
      </c>
      <c r="X1" t="s">
        <v>4</v>
      </c>
      <c r="Z1" t="s">
        <v>1</v>
      </c>
      <c r="AD1" t="s">
        <v>4</v>
      </c>
    </row>
    <row r="2" spans="1:30" x14ac:dyDescent="0.3">
      <c r="B2" t="s">
        <v>0</v>
      </c>
      <c r="F2" t="s">
        <v>22</v>
      </c>
      <c r="G2" t="s">
        <v>10</v>
      </c>
      <c r="H2" t="s">
        <v>8</v>
      </c>
      <c r="I2" t="s">
        <v>9</v>
      </c>
      <c r="J2" t="s">
        <v>11</v>
      </c>
      <c r="K2" t="s">
        <v>12</v>
      </c>
      <c r="L2" t="s">
        <v>13</v>
      </c>
      <c r="M2" t="s">
        <v>14</v>
      </c>
      <c r="O2" t="s">
        <v>27</v>
      </c>
      <c r="P2" t="s">
        <v>28</v>
      </c>
      <c r="Q2" t="s">
        <v>19</v>
      </c>
      <c r="R2" t="s">
        <v>16</v>
      </c>
      <c r="T2" t="s">
        <v>27</v>
      </c>
      <c r="U2" t="s">
        <v>28</v>
      </c>
      <c r="V2" t="s">
        <v>19</v>
      </c>
      <c r="W2" t="s">
        <v>3</v>
      </c>
      <c r="X2" t="s">
        <v>3</v>
      </c>
      <c r="Z2" t="s">
        <v>27</v>
      </c>
      <c r="AA2" t="s">
        <v>28</v>
      </c>
      <c r="AB2" t="s">
        <v>19</v>
      </c>
      <c r="AC2" t="s">
        <v>3</v>
      </c>
      <c r="AD2" t="s">
        <v>3</v>
      </c>
    </row>
    <row r="3" spans="1:30" x14ac:dyDescent="0.3">
      <c r="A3" t="s">
        <v>5</v>
      </c>
      <c r="F3">
        <v>0</v>
      </c>
      <c r="O3">
        <v>1</v>
      </c>
      <c r="P3">
        <v>0</v>
      </c>
      <c r="Q3">
        <v>0</v>
      </c>
      <c r="R3">
        <f>SUM(O3:Q3)</f>
        <v>1</v>
      </c>
      <c r="T3">
        <f>O3*$B$13*$B$23</f>
        <v>0.4</v>
      </c>
      <c r="U3">
        <f>P3*$B$14*$B$23</f>
        <v>0</v>
      </c>
      <c r="V3">
        <f>Q3*$B$15*$B$23</f>
        <v>0</v>
      </c>
      <c r="W3" s="5">
        <f>SUM(T3:V3)</f>
        <v>0.4</v>
      </c>
      <c r="X3" s="5">
        <f t="shared" ref="X3:X12" si="0">W3/(1+$B$22)^F3</f>
        <v>0.4</v>
      </c>
      <c r="Z3" s="7">
        <f t="shared" ref="Z3:Z12" si="1">O3*$B$18</f>
        <v>100</v>
      </c>
      <c r="AA3" s="7">
        <f>P3*$B$19</f>
        <v>0</v>
      </c>
      <c r="AB3" s="7">
        <f t="shared" ref="AB3:AB12" si="2">Q3*$B$20</f>
        <v>0</v>
      </c>
      <c r="AC3" s="7">
        <f>SUM(Z3:AB3)</f>
        <v>100</v>
      </c>
      <c r="AD3" s="7">
        <f t="shared" ref="AD3:AD12" si="3">AC3/(1+$B$22)^F3</f>
        <v>100</v>
      </c>
    </row>
    <row r="4" spans="1:30" ht="13.8" customHeight="1" x14ac:dyDescent="0.3">
      <c r="A4" t="s">
        <v>23</v>
      </c>
      <c r="B4" s="1">
        <v>0.8</v>
      </c>
      <c r="F4">
        <v>1</v>
      </c>
      <c r="G4" s="2">
        <f>$B$4</f>
        <v>0.8</v>
      </c>
      <c r="H4" s="2">
        <f>$B$5</f>
        <v>0.1</v>
      </c>
      <c r="I4" s="2">
        <f>$B$6</f>
        <v>0.1</v>
      </c>
      <c r="J4" s="2">
        <f>$B$8</f>
        <v>0</v>
      </c>
      <c r="K4" s="2">
        <f>$B$9</f>
        <v>0.7</v>
      </c>
      <c r="L4" s="2">
        <f>$B$10</f>
        <v>0.3</v>
      </c>
      <c r="M4" s="3">
        <v>1</v>
      </c>
      <c r="O4">
        <f t="shared" ref="O4:O12" si="4">O3+P3*J4-O3*(H4+I4)</f>
        <v>0.8</v>
      </c>
      <c r="P4">
        <f t="shared" ref="P4:P12" si="5">P3+O3*H4-P3*(J4+L4)</f>
        <v>0.1</v>
      </c>
      <c r="Q4">
        <f t="shared" ref="Q4:Q12" si="6">Q3+O3*I4+P3*L4</f>
        <v>0.1</v>
      </c>
      <c r="R4">
        <f>SUM(O4:Q4)</f>
        <v>1</v>
      </c>
      <c r="T4">
        <f t="shared" ref="T4:T12" si="7">O4*$B$13*$B$23</f>
        <v>0.32000000000000006</v>
      </c>
      <c r="U4">
        <f t="shared" ref="U4:U12" si="8">P4*$B$14*$B$23</f>
        <v>2.5000000000000001E-2</v>
      </c>
      <c r="V4">
        <f t="shared" ref="V4:V12" si="9">Q4*$B$15*$B$23</f>
        <v>0</v>
      </c>
      <c r="W4" s="5">
        <f>SUM(T4:V4)</f>
        <v>0.34500000000000008</v>
      </c>
      <c r="X4" s="5">
        <f>W4/(1+$B$22)^0</f>
        <v>0.34500000000000008</v>
      </c>
      <c r="Z4" s="7">
        <f t="shared" si="1"/>
        <v>80</v>
      </c>
      <c r="AA4" s="7">
        <f t="shared" ref="AA4:AA12" si="10">P4*$B$19</f>
        <v>100</v>
      </c>
      <c r="AB4" s="7">
        <f t="shared" si="2"/>
        <v>0</v>
      </c>
      <c r="AC4" s="7">
        <f t="shared" ref="AC4:AC12" si="11">SUM(Z4:AB4)</f>
        <v>180</v>
      </c>
      <c r="AD4" s="7">
        <f>AC4/(1+$B$22)^0</f>
        <v>180</v>
      </c>
    </row>
    <row r="5" spans="1:30" x14ac:dyDescent="0.3">
      <c r="A5" t="s">
        <v>24</v>
      </c>
      <c r="B5" s="1">
        <v>0.1</v>
      </c>
      <c r="F5">
        <v>2</v>
      </c>
      <c r="G5" s="2">
        <f t="shared" ref="G5:G12" si="12">$B$4</f>
        <v>0.8</v>
      </c>
      <c r="H5" s="2">
        <f t="shared" ref="H5:H12" si="13">$B$5</f>
        <v>0.1</v>
      </c>
      <c r="I5" s="2">
        <f t="shared" ref="I5:I12" si="14">$B$6</f>
        <v>0.1</v>
      </c>
      <c r="J5" s="2">
        <f>$B$8</f>
        <v>0</v>
      </c>
      <c r="K5" s="2">
        <f>$B$9</f>
        <v>0.7</v>
      </c>
      <c r="L5" s="2">
        <f t="shared" ref="L5:L12" si="15">$B$10</f>
        <v>0.3</v>
      </c>
      <c r="M5" s="3">
        <v>1</v>
      </c>
      <c r="O5">
        <f t="shared" si="4"/>
        <v>0.64</v>
      </c>
      <c r="P5">
        <f t="shared" si="5"/>
        <v>0.15000000000000002</v>
      </c>
      <c r="Q5">
        <f t="shared" si="6"/>
        <v>0.21000000000000002</v>
      </c>
      <c r="R5">
        <f t="shared" ref="R5:R12" si="16">SUM(O5:Q5)</f>
        <v>1</v>
      </c>
      <c r="T5">
        <f t="shared" si="7"/>
        <v>0.25600000000000001</v>
      </c>
      <c r="U5">
        <f t="shared" si="8"/>
        <v>3.7500000000000006E-2</v>
      </c>
      <c r="V5">
        <f t="shared" si="9"/>
        <v>0</v>
      </c>
      <c r="W5" s="5">
        <f t="shared" ref="W5:W12" si="17">SUM(T5:V5)</f>
        <v>0.29349999999999998</v>
      </c>
      <c r="X5" s="5">
        <f>W5/(1+$B$22)^(F5*$B$23)</f>
        <v>0.28357487922705316</v>
      </c>
      <c r="Z5" s="7">
        <f t="shared" si="1"/>
        <v>64</v>
      </c>
      <c r="AA5" s="7">
        <f t="shared" si="10"/>
        <v>150.00000000000003</v>
      </c>
      <c r="AB5" s="7">
        <f t="shared" si="2"/>
        <v>0</v>
      </c>
      <c r="AC5" s="7">
        <f t="shared" si="11"/>
        <v>214.00000000000003</v>
      </c>
      <c r="AD5" s="7">
        <f>AC5/(1+$B$22)^(F5*$B$23)</f>
        <v>206.76328502415464</v>
      </c>
    </row>
    <row r="6" spans="1:30" x14ac:dyDescent="0.3">
      <c r="A6" t="s">
        <v>25</v>
      </c>
      <c r="B6" s="1">
        <v>0.1</v>
      </c>
      <c r="F6">
        <v>3</v>
      </c>
      <c r="G6" s="2">
        <f t="shared" si="12"/>
        <v>0.8</v>
      </c>
      <c r="H6" s="2">
        <f t="shared" si="13"/>
        <v>0.1</v>
      </c>
      <c r="I6" s="2">
        <f t="shared" si="14"/>
        <v>0.1</v>
      </c>
      <c r="J6" s="2">
        <f>$B$8</f>
        <v>0</v>
      </c>
      <c r="K6" s="2">
        <f>$B$9</f>
        <v>0.7</v>
      </c>
      <c r="L6" s="2">
        <f t="shared" si="15"/>
        <v>0.3</v>
      </c>
      <c r="M6" s="3">
        <v>1</v>
      </c>
      <c r="O6">
        <f t="shared" si="4"/>
        <v>0.51200000000000001</v>
      </c>
      <c r="P6">
        <f t="shared" si="5"/>
        <v>0.16900000000000001</v>
      </c>
      <c r="Q6">
        <f t="shared" si="6"/>
        <v>0.31900000000000001</v>
      </c>
      <c r="R6">
        <f t="shared" si="16"/>
        <v>1</v>
      </c>
      <c r="T6">
        <f t="shared" si="7"/>
        <v>0.20480000000000001</v>
      </c>
      <c r="U6">
        <f t="shared" si="8"/>
        <v>4.2250000000000003E-2</v>
      </c>
      <c r="V6">
        <f t="shared" si="9"/>
        <v>0</v>
      </c>
      <c r="W6" s="5">
        <f t="shared" si="17"/>
        <v>0.24705000000000002</v>
      </c>
      <c r="X6" s="5">
        <f>W6/(1+$B$22)^(F6*$B$23)</f>
        <v>0.23462502588127113</v>
      </c>
      <c r="Z6" s="7">
        <f t="shared" si="1"/>
        <v>51.2</v>
      </c>
      <c r="AA6" s="7">
        <f t="shared" si="10"/>
        <v>169</v>
      </c>
      <c r="AB6" s="7">
        <f t="shared" si="2"/>
        <v>0</v>
      </c>
      <c r="AC6" s="7">
        <f t="shared" si="11"/>
        <v>220.2</v>
      </c>
      <c r="AD6" s="7">
        <f>AC6/(1+$B$22)^(F6*$B$23)</f>
        <v>209.12540254626956</v>
      </c>
    </row>
    <row r="7" spans="1:30" x14ac:dyDescent="0.3">
      <c r="B7" s="1"/>
      <c r="F7">
        <v>4</v>
      </c>
      <c r="G7" s="2">
        <f t="shared" si="12"/>
        <v>0.8</v>
      </c>
      <c r="H7" s="2">
        <f t="shared" si="13"/>
        <v>0.1</v>
      </c>
      <c r="I7" s="2">
        <f t="shared" si="14"/>
        <v>0.1</v>
      </c>
      <c r="J7" s="2">
        <f>$B$8</f>
        <v>0</v>
      </c>
      <c r="K7" s="2">
        <f>$B$9</f>
        <v>0.7</v>
      </c>
      <c r="L7" s="2">
        <f t="shared" si="15"/>
        <v>0.3</v>
      </c>
      <c r="M7" s="3">
        <v>1</v>
      </c>
      <c r="O7">
        <f t="shared" si="4"/>
        <v>0.40960000000000002</v>
      </c>
      <c r="P7">
        <f t="shared" si="5"/>
        <v>0.16950000000000001</v>
      </c>
      <c r="Q7">
        <f t="shared" si="6"/>
        <v>0.42090000000000005</v>
      </c>
      <c r="R7">
        <f t="shared" si="16"/>
        <v>1</v>
      </c>
      <c r="T7">
        <f t="shared" si="7"/>
        <v>0.16384000000000001</v>
      </c>
      <c r="U7">
        <f t="shared" si="8"/>
        <v>4.2375000000000003E-2</v>
      </c>
      <c r="V7">
        <f t="shared" si="9"/>
        <v>0</v>
      </c>
      <c r="W7" s="5">
        <f t="shared" si="17"/>
        <v>0.20621500000000001</v>
      </c>
      <c r="X7" s="5">
        <f>W7/(1+$B$22)^(F7*$B$23)</f>
        <v>0.19250390907605783</v>
      </c>
      <c r="Z7" s="7">
        <f t="shared" si="1"/>
        <v>40.96</v>
      </c>
      <c r="AA7" s="7">
        <f t="shared" si="10"/>
        <v>169.5</v>
      </c>
      <c r="AB7" s="7">
        <f t="shared" si="2"/>
        <v>0</v>
      </c>
      <c r="AC7" s="7">
        <f t="shared" si="11"/>
        <v>210.46</v>
      </c>
      <c r="AD7" s="7">
        <f>AC7/(1+$B$22)^(F7*$B$23)</f>
        <v>196.4666619991132</v>
      </c>
    </row>
    <row r="8" spans="1:30" x14ac:dyDescent="0.3">
      <c r="A8" t="s">
        <v>26</v>
      </c>
      <c r="B8" s="1">
        <v>0</v>
      </c>
      <c r="F8">
        <v>5</v>
      </c>
      <c r="G8" s="2">
        <f t="shared" si="12"/>
        <v>0.8</v>
      </c>
      <c r="H8" s="2">
        <f t="shared" si="13"/>
        <v>0.1</v>
      </c>
      <c r="I8" s="2">
        <f t="shared" si="14"/>
        <v>0.1</v>
      </c>
      <c r="J8" s="2">
        <f>$B$8</f>
        <v>0</v>
      </c>
      <c r="K8" s="2">
        <f>$B$9</f>
        <v>0.7</v>
      </c>
      <c r="L8" s="2">
        <f t="shared" si="15"/>
        <v>0.3</v>
      </c>
      <c r="M8" s="3">
        <v>1</v>
      </c>
      <c r="O8">
        <f t="shared" si="4"/>
        <v>0.32768000000000003</v>
      </c>
      <c r="P8">
        <f t="shared" si="5"/>
        <v>0.15961</v>
      </c>
      <c r="Q8">
        <f t="shared" si="6"/>
        <v>0.51271</v>
      </c>
      <c r="R8">
        <f t="shared" si="16"/>
        <v>1</v>
      </c>
      <c r="T8">
        <f t="shared" si="7"/>
        <v>0.13107200000000002</v>
      </c>
      <c r="U8">
        <f t="shared" si="8"/>
        <v>3.99025E-2</v>
      </c>
      <c r="V8">
        <f t="shared" si="9"/>
        <v>0</v>
      </c>
      <c r="W8" s="5">
        <f t="shared" si="17"/>
        <v>0.17097450000000003</v>
      </c>
      <c r="X8" s="5">
        <f>W8/(1+$B$22)^(F8*$B$23)</f>
        <v>0.15688465530960954</v>
      </c>
      <c r="Z8" s="7">
        <f t="shared" si="1"/>
        <v>32.768000000000001</v>
      </c>
      <c r="AA8" s="7">
        <f t="shared" si="10"/>
        <v>159.61000000000001</v>
      </c>
      <c r="AB8" s="7">
        <f t="shared" si="2"/>
        <v>0</v>
      </c>
      <c r="AC8" s="7">
        <f t="shared" si="11"/>
        <v>192.37800000000001</v>
      </c>
      <c r="AD8" s="7">
        <f>AC8/(1+$B$22)^(F8*$B$23)</f>
        <v>176.52431338680364</v>
      </c>
    </row>
    <row r="9" spans="1:30" x14ac:dyDescent="0.3">
      <c r="A9" t="s">
        <v>15</v>
      </c>
      <c r="B9" s="1">
        <v>0.7</v>
      </c>
      <c r="F9">
        <v>6</v>
      </c>
      <c r="G9" s="2">
        <f t="shared" si="12"/>
        <v>0.8</v>
      </c>
      <c r="H9" s="2">
        <f t="shared" si="13"/>
        <v>0.1</v>
      </c>
      <c r="I9" s="2">
        <f t="shared" si="14"/>
        <v>0.1</v>
      </c>
      <c r="J9" s="2">
        <f>$B$8</f>
        <v>0</v>
      </c>
      <c r="K9" s="2">
        <f>$B$9</f>
        <v>0.7</v>
      </c>
      <c r="L9" s="2">
        <f t="shared" si="15"/>
        <v>0.3</v>
      </c>
      <c r="M9" s="3">
        <v>1</v>
      </c>
      <c r="O9">
        <f t="shared" si="4"/>
        <v>0.26214400000000004</v>
      </c>
      <c r="P9">
        <f t="shared" si="5"/>
        <v>0.14449499999999998</v>
      </c>
      <c r="Q9">
        <f t="shared" si="6"/>
        <v>0.59336100000000003</v>
      </c>
      <c r="R9">
        <f t="shared" si="16"/>
        <v>1</v>
      </c>
      <c r="T9">
        <f t="shared" si="7"/>
        <v>0.10485760000000002</v>
      </c>
      <c r="U9">
        <f t="shared" si="8"/>
        <v>3.6123749999999996E-2</v>
      </c>
      <c r="V9">
        <f t="shared" si="9"/>
        <v>0</v>
      </c>
      <c r="W9" s="5">
        <f t="shared" si="17"/>
        <v>0.14098135000000001</v>
      </c>
      <c r="X9" s="5">
        <f>W9/(1+$B$22)^(F9*$B$23)</f>
        <v>0.12715710026773044</v>
      </c>
      <c r="Z9" s="7">
        <f t="shared" si="1"/>
        <v>26.214400000000005</v>
      </c>
      <c r="AA9" s="7">
        <f t="shared" si="10"/>
        <v>144.49499999999998</v>
      </c>
      <c r="AB9" s="7">
        <f t="shared" si="2"/>
        <v>0</v>
      </c>
      <c r="AC9" s="7">
        <f t="shared" si="11"/>
        <v>170.70939999999999</v>
      </c>
      <c r="AD9" s="7">
        <f>AC9/(1+$B$22)^(F9*$B$23)</f>
        <v>153.9700981189647</v>
      </c>
    </row>
    <row r="10" spans="1:30" x14ac:dyDescent="0.3">
      <c r="A10" t="s">
        <v>6</v>
      </c>
      <c r="B10" s="1">
        <v>0.3</v>
      </c>
      <c r="F10">
        <v>7</v>
      </c>
      <c r="G10" s="2">
        <f t="shared" si="12"/>
        <v>0.8</v>
      </c>
      <c r="H10" s="2">
        <f t="shared" si="13"/>
        <v>0.1</v>
      </c>
      <c r="I10" s="2">
        <f t="shared" si="14"/>
        <v>0.1</v>
      </c>
      <c r="J10" s="2">
        <f>$B$8</f>
        <v>0</v>
      </c>
      <c r="K10" s="2">
        <f>$B$9</f>
        <v>0.7</v>
      </c>
      <c r="L10" s="2">
        <f t="shared" si="15"/>
        <v>0.3</v>
      </c>
      <c r="M10" s="3">
        <v>1</v>
      </c>
      <c r="O10">
        <f t="shared" si="4"/>
        <v>0.20971520000000005</v>
      </c>
      <c r="P10">
        <f t="shared" si="5"/>
        <v>0.1273609</v>
      </c>
      <c r="Q10">
        <f t="shared" si="6"/>
        <v>0.66292390000000001</v>
      </c>
      <c r="R10">
        <f t="shared" si="16"/>
        <v>1</v>
      </c>
      <c r="T10">
        <f t="shared" si="7"/>
        <v>8.388608000000003E-2</v>
      </c>
      <c r="U10">
        <f t="shared" si="8"/>
        <v>3.1840225E-2</v>
      </c>
      <c r="V10">
        <f t="shared" si="9"/>
        <v>0</v>
      </c>
      <c r="W10" s="5">
        <f t="shared" si="17"/>
        <v>0.11572630500000003</v>
      </c>
      <c r="X10" s="5">
        <f>W10/(1+$B$22)^(F10*$B$23)</f>
        <v>0.1025984648425748</v>
      </c>
      <c r="Z10" s="7">
        <f t="shared" si="1"/>
        <v>20.971520000000005</v>
      </c>
      <c r="AA10" s="7">
        <f t="shared" si="10"/>
        <v>127.3609</v>
      </c>
      <c r="AB10" s="7">
        <f t="shared" si="2"/>
        <v>0</v>
      </c>
      <c r="AC10" s="7">
        <f t="shared" si="11"/>
        <v>148.33242000000001</v>
      </c>
      <c r="AD10" s="7">
        <f>AC10/(1+$B$22)^(F10*$B$23)</f>
        <v>131.50578494996481</v>
      </c>
    </row>
    <row r="11" spans="1:30" x14ac:dyDescent="0.3">
      <c r="B11" s="1"/>
      <c r="F11">
        <v>8</v>
      </c>
      <c r="G11" s="2">
        <f t="shared" si="12"/>
        <v>0.8</v>
      </c>
      <c r="H11" s="2">
        <f t="shared" si="13"/>
        <v>0.1</v>
      </c>
      <c r="I11" s="2">
        <f t="shared" si="14"/>
        <v>0.1</v>
      </c>
      <c r="J11" s="2">
        <f>$B$8</f>
        <v>0</v>
      </c>
      <c r="K11" s="2">
        <f>$B$9</f>
        <v>0.7</v>
      </c>
      <c r="L11" s="2">
        <f t="shared" si="15"/>
        <v>0.3</v>
      </c>
      <c r="M11" s="3">
        <v>1</v>
      </c>
      <c r="O11">
        <f t="shared" si="4"/>
        <v>0.16777216000000003</v>
      </c>
      <c r="P11">
        <f t="shared" si="5"/>
        <v>0.11012415000000003</v>
      </c>
      <c r="Q11">
        <f t="shared" si="6"/>
        <v>0.72210369000000008</v>
      </c>
      <c r="R11">
        <f t="shared" si="16"/>
        <v>1</v>
      </c>
      <c r="T11">
        <f t="shared" si="7"/>
        <v>6.7108864000000018E-2</v>
      </c>
      <c r="U11">
        <f t="shared" si="8"/>
        <v>2.7531037500000008E-2</v>
      </c>
      <c r="V11">
        <f t="shared" si="9"/>
        <v>0</v>
      </c>
      <c r="W11" s="5">
        <f t="shared" si="17"/>
        <v>9.4639901500000026E-2</v>
      </c>
      <c r="X11" s="5">
        <f>W11/(1+$B$22)^(F11*$B$23)</f>
        <v>8.2473206592333481E-2</v>
      </c>
      <c r="Z11" s="7">
        <f t="shared" si="1"/>
        <v>16.777216000000003</v>
      </c>
      <c r="AA11" s="7">
        <f t="shared" si="10"/>
        <v>110.12415000000003</v>
      </c>
      <c r="AB11" s="7">
        <f t="shared" si="2"/>
        <v>0</v>
      </c>
      <c r="AC11" s="7">
        <f t="shared" si="11"/>
        <v>126.90136600000002</v>
      </c>
      <c r="AD11" s="7">
        <f>AC11/(1+$B$22)^(F11*$B$23)</f>
        <v>110.5872090850319</v>
      </c>
    </row>
    <row r="12" spans="1:30" x14ac:dyDescent="0.3">
      <c r="A12" t="s">
        <v>17</v>
      </c>
      <c r="F12">
        <v>9</v>
      </c>
      <c r="G12" s="2">
        <f t="shared" si="12"/>
        <v>0.8</v>
      </c>
      <c r="H12" s="2">
        <f t="shared" si="13"/>
        <v>0.1</v>
      </c>
      <c r="I12" s="2">
        <f t="shared" si="14"/>
        <v>0.1</v>
      </c>
      <c r="J12" s="2">
        <f>$B$8</f>
        <v>0</v>
      </c>
      <c r="K12" s="2">
        <f>$B$9</f>
        <v>0.7</v>
      </c>
      <c r="L12" s="2">
        <f t="shared" si="15"/>
        <v>0.3</v>
      </c>
      <c r="M12" s="3">
        <v>1</v>
      </c>
      <c r="O12">
        <f t="shared" si="4"/>
        <v>0.13421772800000004</v>
      </c>
      <c r="P12">
        <f t="shared" si="5"/>
        <v>9.3864121000000036E-2</v>
      </c>
      <c r="Q12">
        <f t="shared" si="6"/>
        <v>0.77191815100000016</v>
      </c>
      <c r="R12">
        <f t="shared" si="16"/>
        <v>1.0000000000000002</v>
      </c>
      <c r="T12">
        <f t="shared" si="7"/>
        <v>5.3687091200000016E-2</v>
      </c>
      <c r="U12">
        <f t="shared" si="8"/>
        <v>2.3466030250000009E-2</v>
      </c>
      <c r="V12">
        <f t="shared" si="9"/>
        <v>0</v>
      </c>
      <c r="W12" s="5">
        <f t="shared" si="17"/>
        <v>7.7153121450000028E-2</v>
      </c>
      <c r="X12" s="5">
        <f>W12/(1+$B$22)^(F12*$B$23)</f>
        <v>6.6087896241723093E-2</v>
      </c>
      <c r="Z12" s="7">
        <f t="shared" si="1"/>
        <v>13.421772800000003</v>
      </c>
      <c r="AA12" s="7">
        <f t="shared" si="10"/>
        <v>93.86412100000004</v>
      </c>
      <c r="AB12" s="7">
        <f t="shared" si="2"/>
        <v>0</v>
      </c>
      <c r="AC12" s="7">
        <f t="shared" si="11"/>
        <v>107.28589380000004</v>
      </c>
      <c r="AD12" s="7">
        <f>AC12/(1+$B$22)^(F12*$B$23)</f>
        <v>91.899055856733895</v>
      </c>
    </row>
    <row r="13" spans="1:30" x14ac:dyDescent="0.3">
      <c r="A13" t="s">
        <v>27</v>
      </c>
      <c r="B13">
        <v>0.8</v>
      </c>
      <c r="G13" s="2"/>
      <c r="H13" s="2"/>
      <c r="I13" s="2"/>
      <c r="J13" s="2"/>
      <c r="K13" s="2"/>
      <c r="L13" s="2"/>
      <c r="M13" s="3"/>
      <c r="V13" t="s">
        <v>21</v>
      </c>
      <c r="W13" s="5">
        <f>SUM(W3:W12)</f>
        <v>2.0912401779499996</v>
      </c>
      <c r="X13" s="5">
        <f>SUM(X3:X12)</f>
        <v>1.9909051374383537</v>
      </c>
      <c r="Z13" s="7"/>
      <c r="AA13" s="7"/>
      <c r="AB13" s="7"/>
      <c r="AC13" s="7">
        <f>SUM(AC3:AC12)</f>
        <v>1670.2670797999999</v>
      </c>
      <c r="AD13" s="7">
        <f>SUM(AD3:AD12)</f>
        <v>1556.8418109670363</v>
      </c>
    </row>
    <row r="14" spans="1:30" x14ac:dyDescent="0.3">
      <c r="A14" t="s">
        <v>18</v>
      </c>
      <c r="B14">
        <v>0.5</v>
      </c>
      <c r="G14" s="2"/>
      <c r="H14" s="2"/>
      <c r="I14" s="2"/>
      <c r="J14" s="2"/>
      <c r="K14" s="2"/>
      <c r="L14" s="2"/>
      <c r="M14" s="3"/>
    </row>
    <row r="15" spans="1:30" x14ac:dyDescent="0.3">
      <c r="A15" t="s">
        <v>19</v>
      </c>
      <c r="B15">
        <v>0</v>
      </c>
      <c r="G15" s="2"/>
      <c r="H15" s="2"/>
      <c r="I15" s="2"/>
      <c r="J15" s="2"/>
      <c r="K15" s="2"/>
      <c r="L15" s="2"/>
      <c r="M15" s="3"/>
      <c r="W15" s="5"/>
      <c r="X15" s="5"/>
      <c r="Z15" s="7"/>
      <c r="AA15" s="7"/>
      <c r="AB15" s="7"/>
      <c r="AC15" s="7"/>
      <c r="AD15" s="7"/>
    </row>
    <row r="16" spans="1:30" x14ac:dyDescent="0.3">
      <c r="G16" s="2"/>
      <c r="H16" s="8"/>
      <c r="I16" s="2"/>
      <c r="J16" s="2"/>
      <c r="K16" s="2"/>
      <c r="L16" s="2" t="s">
        <v>29</v>
      </c>
      <c r="M16" s="3"/>
      <c r="O16">
        <v>1</v>
      </c>
      <c r="P16">
        <v>0</v>
      </c>
      <c r="Q16">
        <v>0</v>
      </c>
      <c r="T16">
        <v>0.4</v>
      </c>
      <c r="U16">
        <v>0</v>
      </c>
      <c r="V16">
        <v>0</v>
      </c>
      <c r="W16">
        <v>0.4</v>
      </c>
      <c r="X16">
        <v>0.4</v>
      </c>
      <c r="Z16">
        <v>100</v>
      </c>
      <c r="AA16">
        <v>0</v>
      </c>
      <c r="AB16">
        <v>0</v>
      </c>
      <c r="AC16">
        <v>100</v>
      </c>
      <c r="AD16">
        <v>100</v>
      </c>
    </row>
    <row r="17" spans="1:30" x14ac:dyDescent="0.3">
      <c r="A17" t="s">
        <v>1</v>
      </c>
      <c r="G17" s="2"/>
      <c r="H17" s="8"/>
      <c r="I17" s="2"/>
      <c r="J17" s="2"/>
      <c r="K17" s="2"/>
      <c r="L17" s="2"/>
      <c r="M17" s="3"/>
      <c r="O17">
        <v>0.8</v>
      </c>
      <c r="P17">
        <v>0.1</v>
      </c>
      <c r="Q17">
        <v>0.1</v>
      </c>
      <c r="T17">
        <v>0.32</v>
      </c>
      <c r="U17">
        <v>2.5000000000000001E-2</v>
      </c>
      <c r="V17">
        <v>0</v>
      </c>
      <c r="W17">
        <v>0.34499999999999997</v>
      </c>
      <c r="X17">
        <v>0.34499999999999997</v>
      </c>
      <c r="Z17">
        <v>80</v>
      </c>
      <c r="AA17">
        <v>100</v>
      </c>
      <c r="AB17">
        <v>0</v>
      </c>
      <c r="AC17">
        <v>180</v>
      </c>
      <c r="AD17">
        <v>180</v>
      </c>
    </row>
    <row r="18" spans="1:30" x14ac:dyDescent="0.3">
      <c r="A18" t="s">
        <v>27</v>
      </c>
      <c r="B18" s="4">
        <v>100</v>
      </c>
      <c r="G18" s="2"/>
      <c r="H18" s="8"/>
      <c r="I18" s="2"/>
      <c r="J18" s="2"/>
      <c r="L18" s="2"/>
      <c r="M18" s="3"/>
      <c r="O18">
        <v>0.64</v>
      </c>
      <c r="P18">
        <v>0.15</v>
      </c>
      <c r="Q18">
        <v>0.21</v>
      </c>
      <c r="T18">
        <v>0.25600000000000001</v>
      </c>
      <c r="U18">
        <v>3.7499999999999999E-2</v>
      </c>
      <c r="V18">
        <v>0</v>
      </c>
      <c r="W18">
        <v>0.29349999999999998</v>
      </c>
      <c r="X18">
        <v>0.28357487922705299</v>
      </c>
      <c r="Z18">
        <v>64</v>
      </c>
      <c r="AA18">
        <v>150</v>
      </c>
      <c r="AB18">
        <v>0</v>
      </c>
      <c r="AC18">
        <v>214</v>
      </c>
      <c r="AD18">
        <v>206.76328502415501</v>
      </c>
    </row>
    <row r="19" spans="1:30" x14ac:dyDescent="0.3">
      <c r="A19" t="s">
        <v>18</v>
      </c>
      <c r="B19" s="4">
        <v>1000</v>
      </c>
      <c r="C19" s="4"/>
      <c r="G19" s="2"/>
      <c r="H19" s="8"/>
      <c r="I19" s="2"/>
      <c r="J19" s="2"/>
      <c r="K19" s="2"/>
      <c r="L19" s="2"/>
      <c r="M19" s="3"/>
      <c r="O19">
        <v>0.51200000000000001</v>
      </c>
      <c r="P19">
        <v>0.16900000000000001</v>
      </c>
      <c r="Q19">
        <v>0.31900000000000001</v>
      </c>
      <c r="T19">
        <v>0.20480000000000001</v>
      </c>
      <c r="U19">
        <v>4.2250000000000003E-2</v>
      </c>
      <c r="V19">
        <v>0</v>
      </c>
      <c r="W19">
        <v>0.24704999999999999</v>
      </c>
      <c r="X19">
        <v>0.23462502588127099</v>
      </c>
      <c r="Z19">
        <v>51.2</v>
      </c>
      <c r="AA19">
        <v>169</v>
      </c>
      <c r="AB19">
        <v>0</v>
      </c>
      <c r="AC19">
        <v>220.2</v>
      </c>
      <c r="AD19">
        <v>209.12540254627001</v>
      </c>
    </row>
    <row r="20" spans="1:30" x14ac:dyDescent="0.3">
      <c r="A20" t="s">
        <v>19</v>
      </c>
      <c r="B20" s="4">
        <v>0</v>
      </c>
      <c r="G20" s="2"/>
      <c r="H20" s="8"/>
      <c r="I20" s="2"/>
      <c r="J20" s="2"/>
      <c r="K20" s="2"/>
      <c r="L20" s="2"/>
      <c r="M20" s="3"/>
      <c r="O20">
        <v>0.40960000000000002</v>
      </c>
      <c r="P20">
        <v>0.16950000000000001</v>
      </c>
      <c r="Q20">
        <v>0.4209</v>
      </c>
      <c r="T20">
        <v>0.16384000000000001</v>
      </c>
      <c r="U20">
        <v>4.2375000000000003E-2</v>
      </c>
      <c r="V20">
        <v>0</v>
      </c>
      <c r="W20">
        <v>0.20621500000000001</v>
      </c>
      <c r="X20">
        <v>0.19250390907605799</v>
      </c>
      <c r="Z20">
        <v>40.96</v>
      </c>
      <c r="AA20">
        <v>169.5</v>
      </c>
      <c r="AB20">
        <v>0</v>
      </c>
      <c r="AC20">
        <v>210.46</v>
      </c>
      <c r="AD20">
        <v>196.466661999113</v>
      </c>
    </row>
    <row r="21" spans="1:30" x14ac:dyDescent="0.3">
      <c r="G21" s="2"/>
      <c r="H21" s="8"/>
      <c r="I21" s="2"/>
      <c r="J21" s="2"/>
      <c r="K21" s="2"/>
      <c r="L21" s="2"/>
      <c r="O21">
        <v>0.32768000000000003</v>
      </c>
      <c r="P21">
        <v>0.15961</v>
      </c>
      <c r="Q21">
        <v>0.51271</v>
      </c>
      <c r="T21">
        <v>0.13107199999999999</v>
      </c>
      <c r="U21">
        <v>3.99025E-2</v>
      </c>
      <c r="V21">
        <v>0</v>
      </c>
      <c r="W21">
        <v>0.1709745</v>
      </c>
      <c r="X21">
        <v>0.15688465530960999</v>
      </c>
      <c r="Z21">
        <v>32.768000000000001</v>
      </c>
      <c r="AA21">
        <v>159.61000000000001</v>
      </c>
      <c r="AB21">
        <v>0</v>
      </c>
      <c r="AC21">
        <v>192.37799999999999</v>
      </c>
      <c r="AD21">
        <v>176.52431338680401</v>
      </c>
    </row>
    <row r="22" spans="1:30" x14ac:dyDescent="0.3">
      <c r="A22" t="s">
        <v>20</v>
      </c>
      <c r="B22">
        <v>3.5000000000000003E-2</v>
      </c>
      <c r="G22" s="2"/>
      <c r="H22" s="8"/>
      <c r="I22" s="2"/>
      <c r="J22" s="2"/>
      <c r="K22" s="2"/>
      <c r="L22" s="2"/>
      <c r="O22">
        <v>0.26214399999999999</v>
      </c>
      <c r="P22">
        <v>0.14449500000000001</v>
      </c>
      <c r="Q22">
        <v>0.59336100000000003</v>
      </c>
      <c r="T22">
        <v>0.1048576</v>
      </c>
      <c r="U22">
        <v>3.6123750000000003E-2</v>
      </c>
      <c r="V22">
        <v>0</v>
      </c>
      <c r="W22">
        <v>0.14098135000000001</v>
      </c>
      <c r="X22">
        <v>0.12715710026773</v>
      </c>
      <c r="Z22">
        <v>26.214400000000001</v>
      </c>
      <c r="AA22">
        <v>144.495</v>
      </c>
      <c r="AB22">
        <v>0</v>
      </c>
      <c r="AC22">
        <v>170.70939999999999</v>
      </c>
      <c r="AD22">
        <v>153.97009811896501</v>
      </c>
    </row>
    <row r="23" spans="1:30" x14ac:dyDescent="0.3">
      <c r="A23" t="s">
        <v>32</v>
      </c>
      <c r="B23">
        <f>1/2</f>
        <v>0.5</v>
      </c>
      <c r="G23" s="2"/>
      <c r="H23" s="8"/>
      <c r="I23" s="2"/>
      <c r="J23" s="2"/>
      <c r="K23" s="2"/>
      <c r="O23">
        <v>0.20971519999999999</v>
      </c>
      <c r="P23">
        <v>0.1273609</v>
      </c>
      <c r="Q23">
        <v>0.66292390000000001</v>
      </c>
      <c r="T23">
        <v>8.3886080000000002E-2</v>
      </c>
      <c r="U23">
        <v>3.1840225E-2</v>
      </c>
      <c r="V23">
        <v>0</v>
      </c>
      <c r="W23">
        <v>0.115726305</v>
      </c>
      <c r="X23">
        <v>0.102598464842575</v>
      </c>
      <c r="Z23">
        <v>20.971520000000002</v>
      </c>
      <c r="AA23">
        <v>127.3609</v>
      </c>
      <c r="AB23">
        <v>0</v>
      </c>
      <c r="AC23">
        <v>148.33242000000001</v>
      </c>
      <c r="AD23">
        <v>131.505784949965</v>
      </c>
    </row>
    <row r="24" spans="1:30" x14ac:dyDescent="0.3">
      <c r="G24" s="2"/>
      <c r="H24" s="8"/>
      <c r="I24" s="2"/>
      <c r="J24" s="2"/>
      <c r="K24" s="2"/>
      <c r="O24">
        <v>0.16777216</v>
      </c>
      <c r="P24">
        <v>0.11012415</v>
      </c>
      <c r="Q24">
        <v>0.72210368999999996</v>
      </c>
      <c r="T24">
        <v>6.7108864000000004E-2</v>
      </c>
      <c r="U24">
        <v>2.7531037500000001E-2</v>
      </c>
      <c r="V24">
        <v>0</v>
      </c>
      <c r="W24">
        <v>9.4639901499999998E-2</v>
      </c>
      <c r="X24">
        <v>8.2473206592333495E-2</v>
      </c>
      <c r="Z24">
        <v>16.777215999999999</v>
      </c>
      <c r="AA24">
        <v>110.12415</v>
      </c>
      <c r="AB24">
        <v>0</v>
      </c>
      <c r="AC24">
        <v>126.901366</v>
      </c>
      <c r="AD24">
        <v>110.587209085032</v>
      </c>
    </row>
    <row r="25" spans="1:30" x14ac:dyDescent="0.3">
      <c r="G25" s="2"/>
      <c r="H25" s="9"/>
      <c r="I25" s="2"/>
      <c r="J25" s="2"/>
      <c r="K25" s="2"/>
      <c r="O25">
        <v>0.13421772800000001</v>
      </c>
      <c r="P25">
        <v>9.3864120999999995E-2</v>
      </c>
      <c r="Q25">
        <v>0.77191815100000005</v>
      </c>
      <c r="T25">
        <v>5.3687091200000002E-2</v>
      </c>
      <c r="U25">
        <v>2.3466030249999999E-2</v>
      </c>
      <c r="V25">
        <v>0</v>
      </c>
      <c r="W25">
        <v>7.7153121450000001E-2</v>
      </c>
      <c r="X25">
        <v>6.6087896241723093E-2</v>
      </c>
      <c r="Z25">
        <v>13.421772799999999</v>
      </c>
      <c r="AA25">
        <v>93.864120999999997</v>
      </c>
      <c r="AB25">
        <v>0</v>
      </c>
      <c r="AC25">
        <v>107.2858938</v>
      </c>
      <c r="AD25">
        <v>91.899055856733895</v>
      </c>
    </row>
    <row r="26" spans="1:30" x14ac:dyDescent="0.3">
      <c r="G26" s="2"/>
      <c r="H26" s="2"/>
      <c r="I26" s="2"/>
      <c r="J26" s="2"/>
      <c r="K26" s="2"/>
      <c r="T26">
        <v>1.7852516352000001</v>
      </c>
      <c r="U26">
        <v>0.30598854274999998</v>
      </c>
      <c r="V26">
        <v>0</v>
      </c>
      <c r="W26">
        <v>2.0912401779500001</v>
      </c>
      <c r="X26">
        <v>1.99090513743835</v>
      </c>
      <c r="Z26">
        <v>446.3129088</v>
      </c>
      <c r="AA26">
        <v>1223.9541710000001</v>
      </c>
      <c r="AB26">
        <v>0</v>
      </c>
      <c r="AC26">
        <v>1670.2670797999999</v>
      </c>
      <c r="AD26">
        <v>1556.8418109670399</v>
      </c>
    </row>
    <row r="27" spans="1:30" x14ac:dyDescent="0.3">
      <c r="G27" s="2"/>
      <c r="H27" s="2"/>
      <c r="I27" s="2"/>
      <c r="J27" s="2"/>
      <c r="K27" s="2"/>
      <c r="W27" s="5"/>
      <c r="X27" s="5"/>
      <c r="Z27" s="7"/>
      <c r="AA27" s="7"/>
      <c r="AB27" s="7"/>
      <c r="AC27" s="7"/>
      <c r="AD27" s="7"/>
    </row>
    <row r="28" spans="1:30" x14ac:dyDescent="0.3">
      <c r="L28" t="s">
        <v>30</v>
      </c>
      <c r="O28">
        <f>O3-O16</f>
        <v>0</v>
      </c>
      <c r="P28">
        <f>P3-P16</f>
        <v>0</v>
      </c>
      <c r="Q28">
        <f>Q3-Q16</f>
        <v>0</v>
      </c>
      <c r="T28">
        <f>T3-T16</f>
        <v>0</v>
      </c>
      <c r="U28">
        <f>U3-U16</f>
        <v>0</v>
      </c>
      <c r="V28">
        <f>V3-V16</f>
        <v>0</v>
      </c>
      <c r="W28">
        <f>W3-W16</f>
        <v>0</v>
      </c>
      <c r="X28">
        <f>X3-X16</f>
        <v>0</v>
      </c>
      <c r="Z28">
        <f>Z3-Z16</f>
        <v>0</v>
      </c>
      <c r="AA28">
        <f>AA3-AA16</f>
        <v>0</v>
      </c>
      <c r="AB28">
        <f>AB3-AB16</f>
        <v>0</v>
      </c>
      <c r="AC28">
        <f>AC3-AC16</f>
        <v>0</v>
      </c>
      <c r="AD28">
        <f>AD3-AD16</f>
        <v>0</v>
      </c>
    </row>
    <row r="29" spans="1:30" x14ac:dyDescent="0.3">
      <c r="O29">
        <f>O4-O17</f>
        <v>0</v>
      </c>
      <c r="P29">
        <f>P4-P17</f>
        <v>0</v>
      </c>
      <c r="Q29">
        <f>Q4-Q17</f>
        <v>0</v>
      </c>
      <c r="T29">
        <f>T4-T17</f>
        <v>0</v>
      </c>
      <c r="U29">
        <f>U4-U17</f>
        <v>0</v>
      </c>
      <c r="V29">
        <f>V4-V17</f>
        <v>0</v>
      </c>
      <c r="W29">
        <f>W4-W17</f>
        <v>0</v>
      </c>
      <c r="X29">
        <f>X4-X17</f>
        <v>0</v>
      </c>
      <c r="Z29">
        <f>Z4-Z17</f>
        <v>0</v>
      </c>
      <c r="AA29">
        <f>AA4-AA17</f>
        <v>0</v>
      </c>
      <c r="AB29">
        <f>AB4-AB17</f>
        <v>0</v>
      </c>
      <c r="AC29">
        <f>AC4-AC17</f>
        <v>0</v>
      </c>
      <c r="AD29">
        <f>AD4-AD17</f>
        <v>0</v>
      </c>
    </row>
    <row r="30" spans="1:30" x14ac:dyDescent="0.3">
      <c r="O30">
        <f>O5-O18</f>
        <v>0</v>
      </c>
      <c r="P30">
        <f>P5-P18</f>
        <v>0</v>
      </c>
      <c r="Q30">
        <f>Q5-Q18</f>
        <v>0</v>
      </c>
      <c r="T30">
        <f>T5-T18</f>
        <v>0</v>
      </c>
      <c r="U30">
        <f>U5-U18</f>
        <v>0</v>
      </c>
      <c r="V30">
        <f>V5-V18</f>
        <v>0</v>
      </c>
      <c r="W30">
        <f>W5-W18</f>
        <v>0</v>
      </c>
      <c r="X30">
        <f>X5-X18</f>
        <v>0</v>
      </c>
      <c r="Z30">
        <f>Z5-Z18</f>
        <v>0</v>
      </c>
      <c r="AA30">
        <f>AA5-AA18</f>
        <v>0</v>
      </c>
      <c r="AB30">
        <f>AB5-AB18</f>
        <v>0</v>
      </c>
      <c r="AC30">
        <f>AC5-AC18</f>
        <v>0</v>
      </c>
      <c r="AD30">
        <f>AD5-AD18</f>
        <v>-3.694822225952521E-13</v>
      </c>
    </row>
    <row r="31" spans="1:30" x14ac:dyDescent="0.3">
      <c r="O31">
        <f>O6-O19</f>
        <v>0</v>
      </c>
      <c r="P31">
        <f>P6-P19</f>
        <v>0</v>
      </c>
      <c r="Q31">
        <f>Q6-Q19</f>
        <v>0</v>
      </c>
      <c r="T31">
        <f>T6-T19</f>
        <v>0</v>
      </c>
      <c r="U31">
        <f>U6-U19</f>
        <v>0</v>
      </c>
      <c r="V31">
        <f>V6-V19</f>
        <v>0</v>
      </c>
      <c r="W31">
        <f>W6-W19</f>
        <v>0</v>
      </c>
      <c r="X31">
        <f>X6-X19</f>
        <v>0</v>
      </c>
      <c r="Z31">
        <f>Z6-Z19</f>
        <v>0</v>
      </c>
      <c r="AA31">
        <f>AA6-AA19</f>
        <v>0</v>
      </c>
      <c r="AB31">
        <f>AB6-AB19</f>
        <v>0</v>
      </c>
      <c r="AC31">
        <f>AC6-AC19</f>
        <v>0</v>
      </c>
      <c r="AD31">
        <f>AD6-AD19</f>
        <v>-4.5474735088646412E-13</v>
      </c>
    </row>
    <row r="32" spans="1:30" x14ac:dyDescent="0.3">
      <c r="O32">
        <f>O7-O20</f>
        <v>0</v>
      </c>
      <c r="P32">
        <f>P7-P20</f>
        <v>0</v>
      </c>
      <c r="Q32">
        <f>Q7-Q20</f>
        <v>0</v>
      </c>
      <c r="T32">
        <f>T7-T20</f>
        <v>0</v>
      </c>
      <c r="U32">
        <f>U7-U20</f>
        <v>0</v>
      </c>
      <c r="V32">
        <f>V7-V20</f>
        <v>0</v>
      </c>
      <c r="W32">
        <f>W7-W20</f>
        <v>0</v>
      </c>
      <c r="X32">
        <f>X7-X20</f>
        <v>0</v>
      </c>
      <c r="Z32">
        <f>Z7-Z20</f>
        <v>0</v>
      </c>
      <c r="AA32">
        <f>AA7-AA20</f>
        <v>0</v>
      </c>
      <c r="AB32">
        <f>AB7-AB20</f>
        <v>0</v>
      </c>
      <c r="AC32">
        <f>AC7-AC20</f>
        <v>0</v>
      </c>
      <c r="AD32">
        <f>AD7-AD20</f>
        <v>0</v>
      </c>
    </row>
    <row r="33" spans="15:30" x14ac:dyDescent="0.3">
      <c r="O33">
        <f>O8-O21</f>
        <v>0</v>
      </c>
      <c r="P33">
        <f>P8-P21</f>
        <v>0</v>
      </c>
      <c r="Q33">
        <f>Q8-Q21</f>
        <v>0</v>
      </c>
      <c r="T33">
        <f>T8-T21</f>
        <v>0</v>
      </c>
      <c r="U33">
        <f>U8-U21</f>
        <v>0</v>
      </c>
      <c r="V33">
        <f>V8-V21</f>
        <v>0</v>
      </c>
      <c r="W33">
        <f>W8-W21</f>
        <v>0</v>
      </c>
      <c r="X33">
        <f>X8-X21</f>
        <v>-4.4408920985006262E-16</v>
      </c>
      <c r="Z33">
        <f>Z8-Z21</f>
        <v>0</v>
      </c>
      <c r="AA33">
        <f>AA8-AA21</f>
        <v>0</v>
      </c>
      <c r="AB33">
        <f>AB8-AB21</f>
        <v>0</v>
      </c>
      <c r="AC33">
        <f>AC8-AC21</f>
        <v>0</v>
      </c>
      <c r="AD33">
        <f>AD8-AD21</f>
        <v>-3.694822225952521E-13</v>
      </c>
    </row>
    <row r="34" spans="15:30" x14ac:dyDescent="0.3">
      <c r="O34">
        <f>O9-O22</f>
        <v>0</v>
      </c>
      <c r="P34">
        <f>P9-P22</f>
        <v>0</v>
      </c>
      <c r="Q34">
        <f>Q9-Q22</f>
        <v>0</v>
      </c>
      <c r="T34">
        <f>T9-T22</f>
        <v>0</v>
      </c>
      <c r="U34">
        <f>U9-U22</f>
        <v>0</v>
      </c>
      <c r="V34">
        <f>V9-V22</f>
        <v>0</v>
      </c>
      <c r="W34">
        <f>W9-W22</f>
        <v>0</v>
      </c>
      <c r="X34">
        <f>X9-X22</f>
        <v>4.4408920985006262E-16</v>
      </c>
      <c r="Z34">
        <f>Z9-Z22</f>
        <v>0</v>
      </c>
      <c r="AA34">
        <f>AA9-AA22</f>
        <v>0</v>
      </c>
      <c r="AB34">
        <f>AB9-AB22</f>
        <v>0</v>
      </c>
      <c r="AC34">
        <f>AC9-AC22</f>
        <v>0</v>
      </c>
      <c r="AD34">
        <f>AD9-AD22</f>
        <v>-3.1263880373444408E-13</v>
      </c>
    </row>
    <row r="35" spans="15:30" x14ac:dyDescent="0.3">
      <c r="O35">
        <f>O10-O23</f>
        <v>0</v>
      </c>
      <c r="P35">
        <f>P10-P23</f>
        <v>0</v>
      </c>
      <c r="Q35">
        <f>Q10-Q23</f>
        <v>0</v>
      </c>
      <c r="T35">
        <f>T10-T23</f>
        <v>0</v>
      </c>
      <c r="U35">
        <f>U10-U23</f>
        <v>0</v>
      </c>
      <c r="V35">
        <f>V10-V23</f>
        <v>0</v>
      </c>
      <c r="W35">
        <f>W10-W23</f>
        <v>0</v>
      </c>
      <c r="X35">
        <f>X10-X23</f>
        <v>-1.9428902930940239E-16</v>
      </c>
      <c r="Z35">
        <f>Z10-Z23</f>
        <v>0</v>
      </c>
      <c r="AA35">
        <f>AA10-AA23</f>
        <v>0</v>
      </c>
      <c r="AB35">
        <f>AB10-AB23</f>
        <v>0</v>
      </c>
      <c r="AC35">
        <f>AC10-AC23</f>
        <v>0</v>
      </c>
      <c r="AD35">
        <f>AD10-AD23</f>
        <v>0</v>
      </c>
    </row>
    <row r="36" spans="15:30" x14ac:dyDescent="0.3">
      <c r="O36">
        <f>O11-O24</f>
        <v>0</v>
      </c>
      <c r="P36">
        <f>P11-P24</f>
        <v>0</v>
      </c>
      <c r="Q36">
        <f>Q11-Q24</f>
        <v>0</v>
      </c>
      <c r="T36">
        <f>T11-T24</f>
        <v>0</v>
      </c>
      <c r="U36">
        <f>U11-U24</f>
        <v>0</v>
      </c>
      <c r="V36">
        <f>V11-V24</f>
        <v>0</v>
      </c>
      <c r="W36">
        <f>W11-W24</f>
        <v>0</v>
      </c>
      <c r="X36">
        <f>X11-X24</f>
        <v>0</v>
      </c>
      <c r="Z36">
        <f>Z11-Z24</f>
        <v>0</v>
      </c>
      <c r="AA36">
        <f>AA11-AA24</f>
        <v>0</v>
      </c>
      <c r="AB36">
        <f>AB11-AB24</f>
        <v>0</v>
      </c>
      <c r="AC36">
        <f>AC11-AC24</f>
        <v>0</v>
      </c>
      <c r="AD36">
        <f>AD11-AD24</f>
        <v>0</v>
      </c>
    </row>
    <row r="37" spans="15:30" x14ac:dyDescent="0.3">
      <c r="O37">
        <f>O12-O25</f>
        <v>0</v>
      </c>
      <c r="P37">
        <f>P12-P25</f>
        <v>0</v>
      </c>
      <c r="Q37">
        <f>Q12-Q25</f>
        <v>0</v>
      </c>
      <c r="T37">
        <f>T12-T25</f>
        <v>0</v>
      </c>
      <c r="U37">
        <f>U12-U25</f>
        <v>0</v>
      </c>
      <c r="V37">
        <f>V12-V25</f>
        <v>0</v>
      </c>
      <c r="W37">
        <f>W12-W25</f>
        <v>0</v>
      </c>
      <c r="X37">
        <f>X12-X25</f>
        <v>0</v>
      </c>
      <c r="Z37">
        <f>Z12-Z25</f>
        <v>0</v>
      </c>
      <c r="AA37">
        <f>AA12-AA25</f>
        <v>0</v>
      </c>
      <c r="AB37">
        <f>AB12-AB25</f>
        <v>0</v>
      </c>
      <c r="AC37">
        <f>AC12-AC25</f>
        <v>0</v>
      </c>
      <c r="AD37">
        <f>AD12-AD25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E3007EFA9A7349865A9594FBF4AA94" ma:contentTypeVersion="13" ma:contentTypeDescription="Create a new document." ma:contentTypeScope="" ma:versionID="4f0563166cabaaea13a14b5a09c04daa">
  <xsd:schema xmlns:xsd="http://www.w3.org/2001/XMLSchema" xmlns:xs="http://www.w3.org/2001/XMLSchema" xmlns:p="http://schemas.microsoft.com/office/2006/metadata/properties" xmlns:ns3="f9dc3a02-9204-467f-8e7a-5bbbbc75779b" xmlns:ns4="3fa41032-0344-4b0f-81e6-a99404307701" targetNamespace="http://schemas.microsoft.com/office/2006/metadata/properties" ma:root="true" ma:fieldsID="113e1002f7f7f91c391a363f61663b54" ns3:_="" ns4:_="">
    <xsd:import namespace="f9dc3a02-9204-467f-8e7a-5bbbbc75779b"/>
    <xsd:import namespace="3fa41032-0344-4b0f-81e6-a994043077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dc3a02-9204-467f-8e7a-5bbbbc7577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a41032-0344-4b0f-81e6-a9940430770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25188AB-FE63-47EC-AF63-335184C8F7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A08D0D-9C86-4F9A-B865-712307D6FA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dc3a02-9204-467f-8e7a-5bbbbc75779b"/>
    <ds:schemaRef ds:uri="3fa41032-0344-4b0f-81e6-a994043077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F2AA-F8D3-4FA3-BD8F-9D356ED25127}">
  <ds:schemaRefs>
    <ds:schemaRef ds:uri="http://purl.org/dc/terms/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3fa41032-0344-4b0f-81e6-a99404307701"/>
    <ds:schemaRef ds:uri="f9dc3a02-9204-467f-8e7a-5bbbbc75779b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Wilson</dc:creator>
  <cp:lastModifiedBy>Ed Wilson</cp:lastModifiedBy>
  <dcterms:created xsi:type="dcterms:W3CDTF">2019-12-16T15:56:07Z</dcterms:created>
  <dcterms:modified xsi:type="dcterms:W3CDTF">2020-07-05T16:15:04Z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0x0101005FE3007EFA9A7349865A9594FBF4AA94</vt:lpwstr>
  </property>
</Properties>
</file>