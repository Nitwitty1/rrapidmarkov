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University of East Anglia\projects\active\_RPackages\rrapidmarkov\data\"/>
    </mc:Choice>
  </mc:AlternateContent>
  <xr:revisionPtr revIDLastSave="7" documentId="8_{5AFC956D-1952-41F8-B376-3491A3197F35}" xr6:coauthVersionLast="44" xr6:coauthVersionMax="45" xr10:uidLastSave="{76FF3761-DC2A-4456-A9AA-2BD61D391E20}"/>
  <bookViews>
    <workbookView xWindow="2532" yWindow="3000" windowWidth="23040" windowHeight="12204" activeTab="1" xr2:uid="{B27F2269-4F07-45CB-8695-D481CB3FA37F}"/>
  </bookViews>
  <sheets>
    <sheet name="ReadMe" sheetId="2" r:id="rId1"/>
    <sheet name="Sheet1" sheetId="1" r:id="rId2"/>
    <sheet name="Sheet2" sheetId="3" r:id="rId3"/>
  </sheets>
  <externalReferences>
    <externalReference r:id="rId4"/>
  </externalReferences>
  <definedNames>
    <definedName name="CostDisc">Sheet1!$AJ$35</definedName>
    <definedName name="probabilistic">Sheet1!$F$1</definedName>
    <definedName name="PSA">Sheet1!$AN$4</definedName>
    <definedName name="QALYdisc">Sheet1!$AD$35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3" l="1"/>
  <c r="E3" i="3"/>
  <c r="D3" i="3"/>
  <c r="C3" i="3"/>
  <c r="B3" i="3"/>
  <c r="H19" i="1" l="1"/>
  <c r="H11" i="1"/>
  <c r="G11" i="1"/>
  <c r="G21" i="1"/>
  <c r="G20" i="1"/>
  <c r="G15" i="1"/>
  <c r="G14" i="1"/>
  <c r="G4" i="1" a="1"/>
  <c r="G7" i="1" a="1"/>
  <c r="G9" i="1" l="1"/>
  <c r="G7" i="1"/>
  <c r="G8" i="1"/>
  <c r="G4" i="1"/>
  <c r="G5" i="1"/>
  <c r="G6" i="1"/>
  <c r="AP3" i="1"/>
  <c r="AO3" i="1"/>
  <c r="G22" i="1"/>
  <c r="H20" i="1"/>
  <c r="AF3" i="1" s="1"/>
  <c r="G16" i="1"/>
  <c r="H16" i="1" s="1"/>
  <c r="AB3" i="1" s="1"/>
  <c r="H15" i="1"/>
  <c r="AA3" i="1" s="1"/>
  <c r="H14" i="1"/>
  <c r="Z3" i="1" s="1"/>
  <c r="H22" i="1"/>
  <c r="AH3" i="1" s="1"/>
  <c r="H21" i="1"/>
  <c r="X3" i="1"/>
  <c r="B9" i="1"/>
  <c r="B8" i="1"/>
  <c r="B7" i="1"/>
  <c r="B4" i="1"/>
  <c r="B5" i="1"/>
  <c r="B6" i="1"/>
  <c r="H4" i="1" l="1"/>
  <c r="H5" i="1"/>
  <c r="H6" i="1"/>
  <c r="H8" i="1"/>
  <c r="H7" i="1"/>
  <c r="H9" i="1"/>
  <c r="AG3" i="1"/>
  <c r="AI3" i="1" s="1"/>
  <c r="AC3" i="1"/>
  <c r="AD3" i="1" s="1"/>
  <c r="O26" i="1" l="1"/>
  <c r="O30" i="1"/>
  <c r="O24" i="1"/>
  <c r="O25" i="1"/>
  <c r="O29" i="1"/>
  <c r="O33" i="1"/>
  <c r="O28" i="1"/>
  <c r="O32" i="1"/>
  <c r="O27" i="1"/>
  <c r="O31" i="1"/>
  <c r="R32" i="1"/>
  <c r="R26" i="1"/>
  <c r="R30" i="1"/>
  <c r="R27" i="1"/>
  <c r="R24" i="1"/>
  <c r="R25" i="1"/>
  <c r="R29" i="1"/>
  <c r="R33" i="1"/>
  <c r="R28" i="1"/>
  <c r="R31" i="1"/>
  <c r="P26" i="1"/>
  <c r="P30" i="1"/>
  <c r="P24" i="1"/>
  <c r="P25" i="1"/>
  <c r="P29" i="1"/>
  <c r="P33" i="1"/>
  <c r="P27" i="1"/>
  <c r="P31" i="1"/>
  <c r="P28" i="1"/>
  <c r="P32" i="1"/>
  <c r="AJ3" i="1"/>
  <c r="N24" i="1"/>
  <c r="N25" i="1"/>
  <c r="N33" i="1"/>
  <c r="N28" i="1"/>
  <c r="N32" i="1"/>
  <c r="N29" i="1"/>
  <c r="N27" i="1"/>
  <c r="N31" i="1"/>
  <c r="N26" i="1"/>
  <c r="N30" i="1"/>
  <c r="M24" i="1"/>
  <c r="M25" i="1"/>
  <c r="M29" i="1"/>
  <c r="M33" i="1"/>
  <c r="M28" i="1"/>
  <c r="M32" i="1"/>
  <c r="M27" i="1"/>
  <c r="M31" i="1"/>
  <c r="M26" i="1"/>
  <c r="M30" i="1"/>
  <c r="Q27" i="1"/>
  <c r="Q31" i="1"/>
  <c r="Q26" i="1"/>
  <c r="Q30" i="1"/>
  <c r="Q33" i="1"/>
  <c r="Q24" i="1"/>
  <c r="Q25" i="1"/>
  <c r="Q29" i="1"/>
  <c r="Q28" i="1"/>
  <c r="Q32" i="1"/>
  <c r="O3" i="1"/>
  <c r="O5" i="1"/>
  <c r="O9" i="1"/>
  <c r="O13" i="1"/>
  <c r="O17" i="1"/>
  <c r="O21" i="1"/>
  <c r="O11" i="1"/>
  <c r="O23" i="1"/>
  <c r="O4" i="1"/>
  <c r="O8" i="1"/>
  <c r="O12" i="1"/>
  <c r="O16" i="1"/>
  <c r="O20" i="1"/>
  <c r="O15" i="1"/>
  <c r="O19" i="1"/>
  <c r="O7" i="1"/>
  <c r="O22" i="1"/>
  <c r="O6" i="1"/>
  <c r="O10" i="1"/>
  <c r="O14" i="1"/>
  <c r="O18" i="1"/>
  <c r="N3" i="1"/>
  <c r="N16" i="1"/>
  <c r="N20" i="1"/>
  <c r="N4" i="1"/>
  <c r="N8" i="1"/>
  <c r="N12" i="1"/>
  <c r="N23" i="1"/>
  <c r="N13" i="1"/>
  <c r="N17" i="1"/>
  <c r="N7" i="1"/>
  <c r="N11" i="1"/>
  <c r="N15" i="1"/>
  <c r="N19" i="1"/>
  <c r="N22" i="1"/>
  <c r="N5" i="1"/>
  <c r="N6" i="1"/>
  <c r="N10" i="1"/>
  <c r="N14" i="1"/>
  <c r="N18" i="1"/>
  <c r="N9" i="1"/>
  <c r="N21" i="1"/>
  <c r="M3" i="1"/>
  <c r="M4" i="1"/>
  <c r="M8" i="1"/>
  <c r="M12" i="1"/>
  <c r="M16" i="1"/>
  <c r="M20" i="1"/>
  <c r="M7" i="1"/>
  <c r="M11" i="1"/>
  <c r="M15" i="1"/>
  <c r="M19" i="1"/>
  <c r="M23" i="1"/>
  <c r="M6" i="1"/>
  <c r="M10" i="1"/>
  <c r="M14" i="1"/>
  <c r="M22" i="1"/>
  <c r="M21" i="1"/>
  <c r="M18" i="1"/>
  <c r="M5" i="1"/>
  <c r="M9" i="1"/>
  <c r="M13" i="1"/>
  <c r="M17" i="1"/>
  <c r="Q3" i="1"/>
  <c r="Q6" i="1"/>
  <c r="Q10" i="1"/>
  <c r="Q14" i="1"/>
  <c r="Q18" i="1"/>
  <c r="Q22" i="1"/>
  <c r="Q4" i="1"/>
  <c r="Q16" i="1"/>
  <c r="Q20" i="1"/>
  <c r="Q19" i="1"/>
  <c r="Q5" i="1"/>
  <c r="Q9" i="1"/>
  <c r="Q13" i="1"/>
  <c r="Q17" i="1"/>
  <c r="Q21" i="1"/>
  <c r="Q8" i="1"/>
  <c r="Q12" i="1"/>
  <c r="Q7" i="1"/>
  <c r="Q11" i="1"/>
  <c r="Q15" i="1"/>
  <c r="Q23" i="1"/>
  <c r="P3" i="1"/>
  <c r="P17" i="1"/>
  <c r="P21" i="1"/>
  <c r="P16" i="1"/>
  <c r="P23" i="1"/>
  <c r="P5" i="1"/>
  <c r="P9" i="1"/>
  <c r="P13" i="1"/>
  <c r="P20" i="1"/>
  <c r="P6" i="1"/>
  <c r="P4" i="1"/>
  <c r="P8" i="1"/>
  <c r="P12" i="1"/>
  <c r="P18" i="1"/>
  <c r="P7" i="1"/>
  <c r="P11" i="1"/>
  <c r="P15" i="1"/>
  <c r="P19" i="1"/>
  <c r="P22" i="1"/>
  <c r="P10" i="1"/>
  <c r="P14" i="1"/>
  <c r="R3" i="1"/>
  <c r="R18" i="1"/>
  <c r="R22" i="1"/>
  <c r="R21" i="1"/>
  <c r="R7" i="1"/>
  <c r="R11" i="1"/>
  <c r="R19" i="1"/>
  <c r="R6" i="1"/>
  <c r="R10" i="1"/>
  <c r="R14" i="1"/>
  <c r="R5" i="1"/>
  <c r="R13" i="1"/>
  <c r="R17" i="1"/>
  <c r="R20" i="1"/>
  <c r="R23" i="1"/>
  <c r="R9" i="1"/>
  <c r="R4" i="1"/>
  <c r="R8" i="1"/>
  <c r="R12" i="1"/>
  <c r="R16" i="1"/>
  <c r="R15" i="1"/>
  <c r="U4" i="1" l="1"/>
  <c r="AF4" i="1" s="1"/>
  <c r="V4" i="1"/>
  <c r="W4" i="1"/>
  <c r="Z4" i="1" l="1"/>
  <c r="X4" i="1"/>
  <c r="W5" i="1"/>
  <c r="AB4" i="1"/>
  <c r="AH4" i="1"/>
  <c r="AA4" i="1"/>
  <c r="AG4" i="1" s="1"/>
  <c r="V5" i="1"/>
  <c r="U5" i="1"/>
  <c r="AI4" i="1" l="1"/>
  <c r="AJ4" i="1" s="1"/>
  <c r="U6" i="1"/>
  <c r="Z5" i="1"/>
  <c r="AF5" i="1"/>
  <c r="X5" i="1"/>
  <c r="V6" i="1"/>
  <c r="AA5" i="1"/>
  <c r="AG5" i="1" s="1"/>
  <c r="AC4" i="1"/>
  <c r="AB5" i="1"/>
  <c r="AH5" i="1"/>
  <c r="W6" i="1"/>
  <c r="AI5" i="1" l="1"/>
  <c r="W7" i="1"/>
  <c r="AH6" i="1"/>
  <c r="AB6" i="1"/>
  <c r="AC5" i="1"/>
  <c r="AD5" i="1" s="1"/>
  <c r="V7" i="1"/>
  <c r="AA6" i="1"/>
  <c r="AG6" i="1" s="1"/>
  <c r="AD4" i="1"/>
  <c r="AF6" i="1"/>
  <c r="Z6" i="1"/>
  <c r="U7" i="1"/>
  <c r="X6" i="1"/>
  <c r="AA7" i="1" l="1"/>
  <c r="AG7" i="1" s="1"/>
  <c r="V8" i="1"/>
  <c r="AI6" i="1"/>
  <c r="AJ6" i="1" s="1"/>
  <c r="W8" i="1"/>
  <c r="AB7" i="1"/>
  <c r="AH7" i="1"/>
  <c r="Z7" i="1"/>
  <c r="AF7" i="1"/>
  <c r="X7" i="1"/>
  <c r="U8" i="1"/>
  <c r="AJ5" i="1"/>
  <c r="AC6" i="1"/>
  <c r="AD6" i="1" s="1"/>
  <c r="AC7" i="1" l="1"/>
  <c r="AD7" i="1" s="1"/>
  <c r="AH8" i="1"/>
  <c r="AB8" i="1"/>
  <c r="W9" i="1"/>
  <c r="AF8" i="1"/>
  <c r="Z8" i="1"/>
  <c r="U9" i="1"/>
  <c r="X8" i="1"/>
  <c r="AA8" i="1"/>
  <c r="AG8" i="1" s="1"/>
  <c r="V9" i="1"/>
  <c r="AI7" i="1"/>
  <c r="AC8" i="1" l="1"/>
  <c r="AD8" i="1" s="1"/>
  <c r="AF9" i="1"/>
  <c r="Z9" i="1"/>
  <c r="U10" i="1"/>
  <c r="X9" i="1"/>
  <c r="AJ7" i="1"/>
  <c r="AA9" i="1"/>
  <c r="AG9" i="1" s="1"/>
  <c r="V10" i="1"/>
  <c r="AB9" i="1"/>
  <c r="AH9" i="1"/>
  <c r="W10" i="1"/>
  <c r="AI8" i="1"/>
  <c r="AJ8" i="1" s="1"/>
  <c r="Z10" i="1" l="1"/>
  <c r="AF10" i="1"/>
  <c r="U11" i="1"/>
  <c r="X10" i="1"/>
  <c r="AC9" i="1"/>
  <c r="AD9" i="1" s="1"/>
  <c r="AH10" i="1"/>
  <c r="AB10" i="1"/>
  <c r="W11" i="1"/>
  <c r="AA10" i="1"/>
  <c r="AG10" i="1" s="1"/>
  <c r="V11" i="1"/>
  <c r="AI9" i="1"/>
  <c r="AJ9" i="1" l="1"/>
  <c r="AH11" i="1"/>
  <c r="AB11" i="1"/>
  <c r="W12" i="1"/>
  <c r="AF11" i="1"/>
  <c r="Z11" i="1"/>
  <c r="U12" i="1"/>
  <c r="X11" i="1"/>
  <c r="AA11" i="1"/>
  <c r="AG11" i="1" s="1"/>
  <c r="V12" i="1"/>
  <c r="AI10" i="1"/>
  <c r="AJ10" i="1" s="1"/>
  <c r="AC10" i="1"/>
  <c r="AD10" i="1" s="1"/>
  <c r="AC11" i="1" l="1"/>
  <c r="AD11" i="1" s="1"/>
  <c r="AB12" i="1"/>
  <c r="AH12" i="1"/>
  <c r="W13" i="1"/>
  <c r="AI11" i="1"/>
  <c r="AJ11" i="1" s="1"/>
  <c r="AA12" i="1"/>
  <c r="AG12" i="1" s="1"/>
  <c r="V13" i="1"/>
  <c r="Z12" i="1"/>
  <c r="AF12" i="1"/>
  <c r="X12" i="1"/>
  <c r="U13" i="1"/>
  <c r="AI12" i="1" l="1"/>
  <c r="AJ12" i="1" s="1"/>
  <c r="AH13" i="1"/>
  <c r="AB13" i="1"/>
  <c r="W14" i="1"/>
  <c r="AA13" i="1"/>
  <c r="V14" i="1"/>
  <c r="AF13" i="1"/>
  <c r="Z13" i="1"/>
  <c r="U14" i="1"/>
  <c r="X13" i="1"/>
  <c r="AC12" i="1"/>
  <c r="AD12" i="1" s="1"/>
  <c r="AC13" i="1" l="1"/>
  <c r="AD13" i="1" s="1"/>
  <c r="AG13" i="1"/>
  <c r="AI13" i="1" s="1"/>
  <c r="AJ13" i="1" s="1"/>
  <c r="AA14" i="1"/>
  <c r="AG14" i="1" s="1"/>
  <c r="V15" i="1"/>
  <c r="AF14" i="1"/>
  <c r="Z14" i="1"/>
  <c r="X14" i="1"/>
  <c r="U15" i="1"/>
  <c r="AB14" i="1"/>
  <c r="AH14" i="1"/>
  <c r="W15" i="1"/>
  <c r="AI14" i="1" l="1"/>
  <c r="AJ14" i="1" s="1"/>
  <c r="AC14" i="1"/>
  <c r="AD14" i="1" s="1"/>
  <c r="W16" i="1"/>
  <c r="AH15" i="1"/>
  <c r="AB15" i="1"/>
  <c r="V16" i="1"/>
  <c r="AA15" i="1"/>
  <c r="AG15" i="1" s="1"/>
  <c r="Z15" i="1"/>
  <c r="AF15" i="1"/>
  <c r="X15" i="1"/>
  <c r="U16" i="1"/>
  <c r="AC15" i="1" l="1"/>
  <c r="AD15" i="1" s="1"/>
  <c r="AA16" i="1"/>
  <c r="AG16" i="1" s="1"/>
  <c r="V17" i="1"/>
  <c r="AI15" i="1"/>
  <c r="AJ15" i="1" s="1"/>
  <c r="AF16" i="1"/>
  <c r="Z16" i="1"/>
  <c r="U17" i="1"/>
  <c r="X16" i="1"/>
  <c r="AH16" i="1"/>
  <c r="AB16" i="1"/>
  <c r="W17" i="1"/>
  <c r="AC16" i="1" l="1"/>
  <c r="AD16" i="1" s="1"/>
  <c r="Z17" i="1"/>
  <c r="AF17" i="1"/>
  <c r="X17" i="1"/>
  <c r="U18" i="1"/>
  <c r="V18" i="1"/>
  <c r="AA17" i="1"/>
  <c r="AB17" i="1"/>
  <c r="AH17" i="1"/>
  <c r="W18" i="1"/>
  <c r="AI16" i="1"/>
  <c r="AJ16" i="1" s="1"/>
  <c r="AC17" i="1" l="1"/>
  <c r="AD17" i="1" s="1"/>
  <c r="AG17" i="1"/>
  <c r="AI17" i="1" s="1"/>
  <c r="AJ17" i="1" s="1"/>
  <c r="AF18" i="1"/>
  <c r="Z18" i="1"/>
  <c r="X18" i="1"/>
  <c r="U19" i="1"/>
  <c r="AA18" i="1"/>
  <c r="AG18" i="1" s="1"/>
  <c r="V19" i="1"/>
  <c r="AA19" i="1" s="1"/>
  <c r="AG19" i="1" s="1"/>
  <c r="AH18" i="1"/>
  <c r="AB18" i="1"/>
  <c r="W19" i="1"/>
  <c r="V20" i="1" l="1"/>
  <c r="AF19" i="1"/>
  <c r="Z19" i="1"/>
  <c r="X19" i="1"/>
  <c r="U20" i="1"/>
  <c r="AH19" i="1"/>
  <c r="AB19" i="1"/>
  <c r="W20" i="1"/>
  <c r="AI18" i="1"/>
  <c r="AJ18" i="1" s="1"/>
  <c r="AC18" i="1"/>
  <c r="AD18" i="1" s="1"/>
  <c r="AI19" i="1" l="1"/>
  <c r="AJ19" i="1" s="1"/>
  <c r="AH20" i="1"/>
  <c r="AB20" i="1"/>
  <c r="W21" i="1"/>
  <c r="Z20" i="1"/>
  <c r="AF20" i="1"/>
  <c r="U21" i="1"/>
  <c r="X20" i="1"/>
  <c r="AC19" i="1"/>
  <c r="AD19" i="1" s="1"/>
  <c r="AA20" i="1"/>
  <c r="AG20" i="1" s="1"/>
  <c r="V21" i="1"/>
  <c r="AI20" i="1" l="1"/>
  <c r="AJ20" i="1" s="1"/>
  <c r="W22" i="1"/>
  <c r="AH21" i="1"/>
  <c r="AB21" i="1"/>
  <c r="AF21" i="1"/>
  <c r="Z21" i="1"/>
  <c r="U22" i="1"/>
  <c r="X21" i="1"/>
  <c r="AA21" i="1"/>
  <c r="V22" i="1"/>
  <c r="AC20" i="1"/>
  <c r="AD20" i="1" s="1"/>
  <c r="AF22" i="1" l="1"/>
  <c r="Z22" i="1"/>
  <c r="X22" i="1"/>
  <c r="U23" i="1"/>
  <c r="AC21" i="1"/>
  <c r="AD21" i="1" s="1"/>
  <c r="AG21" i="1"/>
  <c r="AI21" i="1" s="1"/>
  <c r="AJ21" i="1" s="1"/>
  <c r="AA22" i="1"/>
  <c r="AG22" i="1" s="1"/>
  <c r="V23" i="1"/>
  <c r="AB22" i="1"/>
  <c r="AH22" i="1"/>
  <c r="W23" i="1"/>
  <c r="AF23" i="1" l="1"/>
  <c r="Z23" i="1"/>
  <c r="U24" i="1"/>
  <c r="X23" i="1"/>
  <c r="AI22" i="1"/>
  <c r="AJ22" i="1" s="1"/>
  <c r="AH23" i="1"/>
  <c r="W24" i="1"/>
  <c r="AB23" i="1"/>
  <c r="AC22" i="1"/>
  <c r="AD22" i="1" s="1"/>
  <c r="AA23" i="1"/>
  <c r="AG23" i="1" s="1"/>
  <c r="V24" i="1"/>
  <c r="AF24" i="1" l="1"/>
  <c r="Z24" i="1"/>
  <c r="X24" i="1"/>
  <c r="U25" i="1"/>
  <c r="W25" i="1"/>
  <c r="AB24" i="1"/>
  <c r="AH24" i="1"/>
  <c r="AC23" i="1"/>
  <c r="AD23" i="1" s="1"/>
  <c r="V25" i="1"/>
  <c r="AA24" i="1"/>
  <c r="AG24" i="1" s="1"/>
  <c r="AI23" i="1"/>
  <c r="AJ23" i="1" s="1"/>
  <c r="AH25" i="1" l="1"/>
  <c r="AB25" i="1"/>
  <c r="W26" i="1"/>
  <c r="AI24" i="1"/>
  <c r="AJ24" i="1" s="1"/>
  <c r="Z25" i="1"/>
  <c r="AF25" i="1"/>
  <c r="U26" i="1"/>
  <c r="X25" i="1"/>
  <c r="AC24" i="1"/>
  <c r="AD24" i="1" s="1"/>
  <c r="AA25" i="1"/>
  <c r="V26" i="1"/>
  <c r="AF26" i="1" l="1"/>
  <c r="Z26" i="1"/>
  <c r="X26" i="1"/>
  <c r="U27" i="1"/>
  <c r="AC25" i="1"/>
  <c r="AD25" i="1" s="1"/>
  <c r="AG25" i="1"/>
  <c r="AI25" i="1" s="1"/>
  <c r="AJ25" i="1" s="1"/>
  <c r="AA26" i="1"/>
  <c r="AG26" i="1" s="1"/>
  <c r="V27" i="1"/>
  <c r="AH26" i="1"/>
  <c r="AB26" i="1"/>
  <c r="W27" i="1"/>
  <c r="AH27" i="1" l="1"/>
  <c r="AB27" i="1"/>
  <c r="W28" i="1"/>
  <c r="Z27" i="1"/>
  <c r="AF27" i="1"/>
  <c r="U28" i="1"/>
  <c r="X27" i="1"/>
  <c r="AC26" i="1"/>
  <c r="AD26" i="1" s="1"/>
  <c r="V28" i="1"/>
  <c r="AA28" i="1" s="1"/>
  <c r="AG28" i="1" s="1"/>
  <c r="AA27" i="1"/>
  <c r="AG27" i="1" s="1"/>
  <c r="AI26" i="1"/>
  <c r="AJ26" i="1" s="1"/>
  <c r="AC27" i="1" l="1"/>
  <c r="AD27" i="1" s="1"/>
  <c r="V29" i="1"/>
  <c r="Z28" i="1"/>
  <c r="AF28" i="1"/>
  <c r="X28" i="1"/>
  <c r="U29" i="1"/>
  <c r="AB28" i="1"/>
  <c r="AH28" i="1"/>
  <c r="W29" i="1"/>
  <c r="AI27" i="1"/>
  <c r="AJ27" i="1" s="1"/>
  <c r="AC28" i="1" l="1"/>
  <c r="AD28" i="1" s="1"/>
  <c r="W30" i="1"/>
  <c r="AH29" i="1"/>
  <c r="AB29" i="1"/>
  <c r="AF29" i="1"/>
  <c r="Z29" i="1"/>
  <c r="U30" i="1"/>
  <c r="X29" i="1"/>
  <c r="AI28" i="1"/>
  <c r="AJ28" i="1" s="1"/>
  <c r="AA29" i="1"/>
  <c r="V30" i="1"/>
  <c r="Z30" i="1" l="1"/>
  <c r="AF30" i="1"/>
  <c r="X30" i="1"/>
  <c r="U31" i="1"/>
  <c r="AA30" i="1"/>
  <c r="AG30" i="1" s="1"/>
  <c r="V31" i="1"/>
  <c r="AC29" i="1"/>
  <c r="AD29" i="1" s="1"/>
  <c r="AG29" i="1"/>
  <c r="AI29" i="1" s="1"/>
  <c r="AJ29" i="1" s="1"/>
  <c r="AB30" i="1"/>
  <c r="AH30" i="1"/>
  <c r="W31" i="1"/>
  <c r="AC30" i="1" l="1"/>
  <c r="AD30" i="1" s="1"/>
  <c r="AA31" i="1"/>
  <c r="AG31" i="1" s="1"/>
  <c r="V32" i="1"/>
  <c r="AH31" i="1"/>
  <c r="AB31" i="1"/>
  <c r="W32" i="1"/>
  <c r="Z31" i="1"/>
  <c r="AF31" i="1"/>
  <c r="X31" i="1"/>
  <c r="U32" i="1"/>
  <c r="AI30" i="1"/>
  <c r="AJ30" i="1" s="1"/>
  <c r="AC31" i="1" l="1"/>
  <c r="AD31" i="1" s="1"/>
  <c r="AA32" i="1"/>
  <c r="AG32" i="1" s="1"/>
  <c r="V33" i="1"/>
  <c r="AA33" i="1" s="1"/>
  <c r="AH32" i="1"/>
  <c r="AB32" i="1"/>
  <c r="W33" i="1"/>
  <c r="Z32" i="1"/>
  <c r="AF32" i="1"/>
  <c r="X32" i="1"/>
  <c r="U33" i="1"/>
  <c r="AI31" i="1"/>
  <c r="AJ31" i="1" s="1"/>
  <c r="AI32" i="1" l="1"/>
  <c r="AJ32" i="1" s="1"/>
  <c r="AF33" i="1"/>
  <c r="Z33" i="1"/>
  <c r="X33" i="1"/>
  <c r="AC32" i="1"/>
  <c r="AD32" i="1" s="1"/>
  <c r="AB33" i="1"/>
  <c r="AH33" i="1"/>
  <c r="AG33" i="1"/>
  <c r="AC33" i="1" l="1"/>
  <c r="AD33" i="1" s="1"/>
  <c r="AD35" i="1" s="1"/>
  <c r="AP2" i="1" s="1"/>
  <c r="AI33" i="1"/>
  <c r="AC35" i="1" l="1"/>
  <c r="AJ33" i="1"/>
  <c r="AJ35" i="1" s="1"/>
  <c r="AO2" i="1" s="1"/>
  <c r="AI35" i="1"/>
</calcChain>
</file>

<file path=xl/sharedStrings.xml><?xml version="1.0" encoding="utf-8"?>
<sst xmlns="http://schemas.openxmlformats.org/spreadsheetml/2006/main" count="90" uniqueCount="52">
  <si>
    <t>Mean</t>
  </si>
  <si>
    <t>Para1</t>
  </si>
  <si>
    <t>Para2</t>
  </si>
  <si>
    <t>Sampled</t>
  </si>
  <si>
    <t>Live value</t>
  </si>
  <si>
    <t>Probabilistic:</t>
  </si>
  <si>
    <t>Progression</t>
  </si>
  <si>
    <t>Dead</t>
  </si>
  <si>
    <t>Cost</t>
  </si>
  <si>
    <t>QALYs</t>
  </si>
  <si>
    <t>Total</t>
  </si>
  <si>
    <t>Discounted</t>
  </si>
  <si>
    <t>Year</t>
  </si>
  <si>
    <t>Probabilities</t>
  </si>
  <si>
    <t>progression &gt;&gt; dead</t>
  </si>
  <si>
    <t>SE</t>
  </si>
  <si>
    <t>Inputs</t>
  </si>
  <si>
    <t>States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</si>
  <si>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</si>
  <si>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</si>
  <si>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</si>
  <si>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</si>
  <si>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</si>
  <si>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</si>
  <si>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</si>
  <si>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 xml:space="preserve">Note to use the 'dirich' function, you will need to install the SimTools add in from </t>
  </si>
  <si>
    <t>https://home.uchicago.edu/~rmyerson/addins.htm</t>
  </si>
  <si>
    <t>progression &gt;&gt; progression</t>
  </si>
  <si>
    <t>Dirich must be entered as an array formula (select answer cells, enter formula then ctrl+shift+enter)</t>
  </si>
  <si>
    <t>Checksum</t>
  </si>
  <si>
    <t>HRQoL</t>
  </si>
  <si>
    <t>progression</t>
  </si>
  <si>
    <t>dead</t>
  </si>
  <si>
    <t>Discount Rate</t>
  </si>
  <si>
    <t>Sum</t>
  </si>
  <si>
    <t>Monte Carlo simulations</t>
  </si>
  <si>
    <t>Mean:</t>
  </si>
  <si>
    <t>Deterministic:</t>
  </si>
  <si>
    <t>remission</t>
  </si>
  <si>
    <t>remission &gt;&gt; remission</t>
  </si>
  <si>
    <t>remission &gt;&gt; progression</t>
  </si>
  <si>
    <t>remission &gt;&gt; dead</t>
  </si>
  <si>
    <t>progression &gt;&gt; remission</t>
  </si>
  <si>
    <t>Distribution</t>
  </si>
  <si>
    <t>Dirichlet</t>
  </si>
  <si>
    <t>beta</t>
  </si>
  <si>
    <t>gamma</t>
  </si>
  <si>
    <t>RR remission, New</t>
  </si>
  <si>
    <t>New</t>
  </si>
  <si>
    <t>constant</t>
  </si>
  <si>
    <t>Old</t>
  </si>
  <si>
    <t>If it is not working, check your security settings.  Macros may need enabling, or making this doc a 'trusted document'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</si>
</sst>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7" formatCode="&quot;£&quot;#,##0.00;\-&quot;£&quot;#,##0.00"/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right"/>
    </xf>
    <xf numFmtId="0" fontId="2" fillId="0" borderId="0" xfId="2"/>
    <xf numFmtId="10" fontId="0" fillId="0" borderId="0" xfId="1" applyNumberFormat="1" applyFont="1"/>
    <xf numFmtId="9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7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396240</xdr:colOff>
          <xdr:row>25</xdr:row>
          <xdr:rowOff>83820</xdr:rowOff>
        </xdr:from>
        <xdr:to>
          <xdr:col>5</xdr:col>
          <xdr:colOff>22860</xdr:colOff>
          <xdr:row>28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im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diri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home.uchicago.edu/~rmyerson/addins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B498-5826-4182-9257-8C870DAE0EDB}">
  <sheetPr codeName="Sheet1"/>
  <dimension ref="B2:B5"/>
  <sheetViews>
    <sheetView workbookViewId="0">
      <selection activeCell="B6" sqref="B6"/>
    </sheetView>
  </sheetViews>
  <sheetFormatPr defaultRowHeight="14.4" x14ac:dyDescent="0.3"/>
  <sheetData>
    <row r="2" spans="2:2" x14ac:dyDescent="0.3">
      <c r="B2" t="s">
        <v>25</v>
      </c>
    </row>
    <row r="3" spans="2:2" x14ac:dyDescent="0.3">
      <c r="B3" s="2" t="s">
        <v>26</v>
      </c>
    </row>
    <row r="4" spans="2:2" x14ac:dyDescent="0.3">
      <c r="B4" t="s">
        <v>28</v>
      </c>
    </row>
    <row r="5" spans="2:2" x14ac:dyDescent="0.3">
      <c r="B5" t="s">
        <v>51</v>
      </c>
    </row>
  </sheetData>
  <hyperlinks>
    <hyperlink ref="B3" r:id="rId1" xr:uid="{C3CF0C4C-8C61-467D-94F6-A7B19CB3288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F7E5-1000-4157-9463-09E46CB7593F}">
  <sheetPr codeName="Sheet2"/>
  <dimension ref="A1:AP20004"/>
  <sheetViews>
    <sheetView tabSelected="1" topLeftCell="AH1" workbookViewId="0">
      <pane xSplit="10584" topLeftCell="AA1" activePane="topRight"/>
      <selection activeCell="AN4" sqref="AN4"/>
      <selection pane="topRight" activeCell="AG22" sqref="AG22"/>
    </sheetView>
  </sheetViews>
  <sheetFormatPr defaultRowHeight="14.4" x14ac:dyDescent="0.3"/>
  <cols>
    <col min="1" max="1" width="23.109375" bestFit="1" customWidth="1"/>
    <col min="22" max="22" width="10.44140625" bestFit="1" customWidth="1"/>
    <col min="38" max="38" width="0.6640625" style="10" customWidth="1"/>
    <col min="40" max="40" width="21.109375" bestFit="1" customWidth="1"/>
    <col min="41" max="41" width="10" bestFit="1" customWidth="1"/>
    <col min="42" max="42" width="12" style="9" bestFit="1" customWidth="1"/>
  </cols>
  <sheetData>
    <row r="1" spans="1:42" x14ac:dyDescent="0.3">
      <c r="E1" s="1" t="s">
        <v>5</v>
      </c>
      <c r="F1">
        <v>0</v>
      </c>
      <c r="K1" t="s">
        <v>50</v>
      </c>
      <c r="M1" t="s">
        <v>16</v>
      </c>
      <c r="U1" t="s">
        <v>17</v>
      </c>
      <c r="Z1" t="s">
        <v>9</v>
      </c>
      <c r="AD1" t="s">
        <v>11</v>
      </c>
      <c r="AF1" t="s">
        <v>8</v>
      </c>
      <c r="AJ1" t="s">
        <v>11</v>
      </c>
      <c r="AN1" t="s">
        <v>35</v>
      </c>
      <c r="AP1"/>
    </row>
    <row r="2" spans="1:42" x14ac:dyDescent="0.3">
      <c r="B2" t="s">
        <v>0</v>
      </c>
      <c r="C2" t="s">
        <v>15</v>
      </c>
      <c r="D2" t="s">
        <v>43</v>
      </c>
      <c r="E2" t="s">
        <v>1</v>
      </c>
      <c r="F2" t="s">
        <v>2</v>
      </c>
      <c r="G2" t="s">
        <v>3</v>
      </c>
      <c r="H2" t="s">
        <v>4</v>
      </c>
      <c r="L2" t="s">
        <v>12</v>
      </c>
      <c r="M2" t="s">
        <v>20</v>
      </c>
      <c r="N2" t="s">
        <v>18</v>
      </c>
      <c r="O2" t="s">
        <v>19</v>
      </c>
      <c r="P2" t="s">
        <v>21</v>
      </c>
      <c r="Q2" t="s">
        <v>22</v>
      </c>
      <c r="R2" t="s">
        <v>23</v>
      </c>
      <c r="S2" t="s">
        <v>24</v>
      </c>
      <c r="U2" t="s">
        <v>38</v>
      </c>
      <c r="V2" t="s">
        <v>6</v>
      </c>
      <c r="W2" t="s">
        <v>7</v>
      </c>
      <c r="X2" t="s">
        <v>29</v>
      </c>
      <c r="Z2" t="s">
        <v>38</v>
      </c>
      <c r="AA2" t="s">
        <v>6</v>
      </c>
      <c r="AB2" t="s">
        <v>7</v>
      </c>
      <c r="AC2" t="s">
        <v>10</v>
      </c>
      <c r="AD2" t="s">
        <v>10</v>
      </c>
      <c r="AF2" t="s">
        <v>38</v>
      </c>
      <c r="AG2" t="s">
        <v>6</v>
      </c>
      <c r="AH2" t="s">
        <v>7</v>
      </c>
      <c r="AI2" t="s">
        <v>10</v>
      </c>
      <c r="AJ2" t="s">
        <v>10</v>
      </c>
      <c r="AN2" t="s">
        <v>37</v>
      </c>
      <c r="AO2" s="7">
        <f>AJ35</f>
        <v>26742.211514515508</v>
      </c>
      <c r="AP2" s="9">
        <f>AD35</f>
        <v>3.3420781138632725</v>
      </c>
    </row>
    <row r="3" spans="1:42" x14ac:dyDescent="0.3">
      <c r="A3" t="s">
        <v>13</v>
      </c>
      <c r="L3">
        <v>0</v>
      </c>
      <c r="M3" s="5">
        <f>$H$4</f>
        <v>0.5</v>
      </c>
      <c r="N3" s="5">
        <f>$H$5</f>
        <v>0.4</v>
      </c>
      <c r="O3" s="5">
        <f>$H$6</f>
        <v>0.1</v>
      </c>
      <c r="P3" s="5">
        <f>$H$8</f>
        <v>0.05</v>
      </c>
      <c r="Q3" s="5">
        <f>$H$7</f>
        <v>0.75</v>
      </c>
      <c r="R3" s="5">
        <f>$H$9</f>
        <v>0.2</v>
      </c>
      <c r="S3" s="6">
        <v>1</v>
      </c>
      <c r="U3">
        <v>1</v>
      </c>
      <c r="V3">
        <v>0</v>
      </c>
      <c r="W3">
        <v>0</v>
      </c>
      <c r="X3">
        <f>SUM(U3:W3)</f>
        <v>1</v>
      </c>
      <c r="Z3">
        <f>U3*$H$14</f>
        <v>0.8</v>
      </c>
      <c r="AA3">
        <f>V3*$H$15</f>
        <v>0</v>
      </c>
      <c r="AB3">
        <f>W3*$H$16</f>
        <v>0</v>
      </c>
      <c r="AC3" s="9">
        <f>SUM(Z3:AB3)</f>
        <v>0.8</v>
      </c>
      <c r="AD3" s="9">
        <f t="shared" ref="AD3:AD18" si="0">AC3/(1+$H$24)^L3</f>
        <v>0.8</v>
      </c>
      <c r="AF3" s="7">
        <f t="shared" ref="AF3:AF18" si="1">U3*$H$20</f>
        <v>5000</v>
      </c>
      <c r="AG3" s="7">
        <f t="shared" ref="AG3:AG18" si="2">AA3*$H$21</f>
        <v>0</v>
      </c>
      <c r="AH3" s="7">
        <f t="shared" ref="AH3:AH18" si="3">W3*$H$22</f>
        <v>0</v>
      </c>
      <c r="AI3" s="7">
        <f>SUM(AF3:AH3)</f>
        <v>5000</v>
      </c>
      <c r="AJ3" s="7">
        <f t="shared" ref="AJ3:AJ18" si="4">AI3/(1+$H$24)^L3</f>
        <v>5000</v>
      </c>
      <c r="AN3" t="s">
        <v>36</v>
      </c>
      <c r="AO3" s="7">
        <f>AVERAGE(AO5:AO20004)</f>
        <v>27197.561903000103</v>
      </c>
      <c r="AP3" s="9">
        <f>AVERAGE(AP5:AP20004)</f>
        <v>3.3946122719988647</v>
      </c>
    </row>
    <row r="4" spans="1:42" ht="13.8" customHeight="1" x14ac:dyDescent="0.3">
      <c r="A4" t="s">
        <v>39</v>
      </c>
      <c r="B4" s="4">
        <f>E4/SUM(E4:E6)</f>
        <v>0.5</v>
      </c>
      <c r="D4" t="s">
        <v>44</v>
      </c>
      <c r="E4">
        <v>100</v>
      </c>
      <c r="G4" s="3">
        <f t="array" aca="1" ref="G4:G6" ca="1">[1]!dirich(E4:E6)</f>
        <v>0.49950469720422708</v>
      </c>
      <c r="H4" s="3">
        <f t="shared" ref="H4:H9" si="5">IF(probabilistic=0,B4,G4)</f>
        <v>0.5</v>
      </c>
      <c r="L4">
        <v>1</v>
      </c>
      <c r="M4" s="5">
        <f t="shared" ref="M4:M33" si="6">$H$4</f>
        <v>0.5</v>
      </c>
      <c r="N4" s="5">
        <f t="shared" ref="N4:N33" si="7">$H$5</f>
        <v>0.4</v>
      </c>
      <c r="O4" s="5">
        <f t="shared" ref="O4:O33" si="8">$H$6</f>
        <v>0.1</v>
      </c>
      <c r="P4" s="5">
        <f t="shared" ref="P4:P33" si="9">$H$8</f>
        <v>0.05</v>
      </c>
      <c r="Q4" s="5">
        <f t="shared" ref="Q4:Q33" si="10">$H$7</f>
        <v>0.75</v>
      </c>
      <c r="R4" s="5">
        <f t="shared" ref="R4:R33" si="11">$H$9</f>
        <v>0.2</v>
      </c>
      <c r="S4" s="6">
        <v>1</v>
      </c>
      <c r="U4">
        <f>U3+V3*P4-U3*(N4+O4)</f>
        <v>0.5</v>
      </c>
      <c r="V4">
        <f>V3+U3*N3-V3*(P3+R3)</f>
        <v>0.4</v>
      </c>
      <c r="W4">
        <f>W3+U3*O3+V3*R3</f>
        <v>0.1</v>
      </c>
      <c r="X4">
        <f>SUM(U4:W4)</f>
        <v>1</v>
      </c>
      <c r="Z4">
        <f>U4*$H$14</f>
        <v>0.4</v>
      </c>
      <c r="AA4">
        <f>V4*$H$15</f>
        <v>0.2</v>
      </c>
      <c r="AB4">
        <f>W4*$H$16</f>
        <v>0</v>
      </c>
      <c r="AC4" s="9">
        <f>SUM(Z4:AB4)</f>
        <v>0.60000000000000009</v>
      </c>
      <c r="AD4" s="9">
        <f t="shared" si="0"/>
        <v>0.57971014492753636</v>
      </c>
      <c r="AF4" s="7">
        <f t="shared" si="1"/>
        <v>2500</v>
      </c>
      <c r="AG4" s="7">
        <f t="shared" si="2"/>
        <v>2000</v>
      </c>
      <c r="AH4" s="7">
        <f t="shared" si="3"/>
        <v>0</v>
      </c>
      <c r="AI4" s="7">
        <f t="shared" ref="AI4:AI33" si="12">SUM(AF4:AH4)</f>
        <v>4500</v>
      </c>
      <c r="AJ4" s="7">
        <f t="shared" si="4"/>
        <v>4347.826086956522</v>
      </c>
      <c r="AO4" t="s">
        <v>8</v>
      </c>
      <c r="AP4" s="9" t="s">
        <v>9</v>
      </c>
    </row>
    <row r="5" spans="1:42" x14ac:dyDescent="0.3">
      <c r="A5" t="s">
        <v>40</v>
      </c>
      <c r="B5" s="4">
        <f>E5/SUM(E4:E6)</f>
        <v>0.4</v>
      </c>
      <c r="E5">
        <v>80</v>
      </c>
      <c r="G5" s="3">
        <f ca="1"/>
        <v>0.40691946731544104</v>
      </c>
      <c r="H5" s="3">
        <f t="shared" si="5"/>
        <v>0.4</v>
      </c>
      <c r="L5">
        <v>2</v>
      </c>
      <c r="M5" s="5">
        <f t="shared" si="6"/>
        <v>0.5</v>
      </c>
      <c r="N5" s="5">
        <f t="shared" si="7"/>
        <v>0.4</v>
      </c>
      <c r="O5" s="5">
        <f t="shared" si="8"/>
        <v>0.1</v>
      </c>
      <c r="P5" s="5">
        <f t="shared" si="9"/>
        <v>0.05</v>
      </c>
      <c r="Q5" s="5">
        <f t="shared" si="10"/>
        <v>0.75</v>
      </c>
      <c r="R5" s="5">
        <f t="shared" si="11"/>
        <v>0.2</v>
      </c>
      <c r="S5" s="6">
        <v>1</v>
      </c>
      <c r="U5">
        <f t="shared" ref="U5:U23" si="13">U4+V4*P5-U4*(N5+O5)</f>
        <v>0.27</v>
      </c>
      <c r="V5">
        <f t="shared" ref="V5:V23" si="14">V4+U4*N4-V4*(P4+R4)</f>
        <v>0.50000000000000011</v>
      </c>
      <c r="W5">
        <f t="shared" ref="W5:W23" si="15">W4+U4*O4+V4*R4</f>
        <v>0.23000000000000004</v>
      </c>
      <c r="X5">
        <f t="shared" ref="X5:X23" si="16">SUM(U5:W5)</f>
        <v>1.0000000000000002</v>
      </c>
      <c r="Z5">
        <f t="shared" ref="Z5:Z33" si="17">U5*$H$14</f>
        <v>0.21600000000000003</v>
      </c>
      <c r="AA5">
        <f t="shared" ref="AA5:AA33" si="18">V5*$H$15</f>
        <v>0.25000000000000006</v>
      </c>
      <c r="AB5">
        <f t="shared" ref="AB5:AB33" si="19">W5*$H$16</f>
        <v>0</v>
      </c>
      <c r="AC5" s="9">
        <f t="shared" ref="AC5:AC33" si="20">SUM(Z5:AB5)</f>
        <v>0.46600000000000008</v>
      </c>
      <c r="AD5" s="9">
        <f t="shared" si="0"/>
        <v>0.4350159863707439</v>
      </c>
      <c r="AF5" s="7">
        <f t="shared" si="1"/>
        <v>1350</v>
      </c>
      <c r="AG5" s="7">
        <f t="shared" si="2"/>
        <v>2500.0000000000005</v>
      </c>
      <c r="AH5" s="7">
        <f t="shared" si="3"/>
        <v>0</v>
      </c>
      <c r="AI5" s="7">
        <f t="shared" si="12"/>
        <v>3850.0000000000005</v>
      </c>
      <c r="AJ5" s="7">
        <f t="shared" si="4"/>
        <v>3594.0161964106524</v>
      </c>
      <c r="AN5">
        <v>1</v>
      </c>
      <c r="AO5" s="11">
        <v>28720.46</v>
      </c>
      <c r="AP5" s="9">
        <v>3.9134047789064188</v>
      </c>
    </row>
    <row r="6" spans="1:42" x14ac:dyDescent="0.3">
      <c r="A6" t="s">
        <v>41</v>
      </c>
      <c r="B6" s="4">
        <f>E6/SUM(E4:E6)</f>
        <v>0.1</v>
      </c>
      <c r="E6">
        <v>20</v>
      </c>
      <c r="G6" s="3">
        <f ca="1"/>
        <v>9.3575835480331881E-2</v>
      </c>
      <c r="H6" s="3">
        <f t="shared" si="5"/>
        <v>0.1</v>
      </c>
      <c r="L6">
        <v>3</v>
      </c>
      <c r="M6" s="5">
        <f t="shared" si="6"/>
        <v>0.5</v>
      </c>
      <c r="N6" s="5">
        <f t="shared" si="7"/>
        <v>0.4</v>
      </c>
      <c r="O6" s="5">
        <f t="shared" si="8"/>
        <v>0.1</v>
      </c>
      <c r="P6" s="5">
        <f t="shared" si="9"/>
        <v>0.05</v>
      </c>
      <c r="Q6" s="5">
        <f t="shared" si="10"/>
        <v>0.75</v>
      </c>
      <c r="R6" s="5">
        <f t="shared" si="11"/>
        <v>0.2</v>
      </c>
      <c r="S6" s="6">
        <v>1</v>
      </c>
      <c r="U6">
        <f t="shared" si="13"/>
        <v>0.16000000000000003</v>
      </c>
      <c r="V6">
        <f t="shared" si="14"/>
        <v>0.4830000000000001</v>
      </c>
      <c r="W6">
        <f t="shared" si="15"/>
        <v>0.3570000000000001</v>
      </c>
      <c r="X6">
        <f t="shared" si="16"/>
        <v>1.0000000000000002</v>
      </c>
      <c r="Z6">
        <f t="shared" si="17"/>
        <v>0.12800000000000003</v>
      </c>
      <c r="AA6">
        <f t="shared" si="18"/>
        <v>0.24150000000000005</v>
      </c>
      <c r="AB6">
        <f t="shared" si="19"/>
        <v>0</v>
      </c>
      <c r="AC6" s="9">
        <f t="shared" si="20"/>
        <v>0.36950000000000005</v>
      </c>
      <c r="AD6" s="9">
        <f t="shared" si="0"/>
        <v>0.33326782974433433</v>
      </c>
      <c r="AF6" s="7">
        <f t="shared" si="1"/>
        <v>800.00000000000011</v>
      </c>
      <c r="AG6" s="7">
        <f t="shared" si="2"/>
        <v>2415.0000000000005</v>
      </c>
      <c r="AH6" s="7">
        <f t="shared" si="3"/>
        <v>0</v>
      </c>
      <c r="AI6" s="7">
        <f t="shared" si="12"/>
        <v>3215.0000000000005</v>
      </c>
      <c r="AJ6" s="7">
        <f t="shared" si="4"/>
        <v>2899.7457987226926</v>
      </c>
      <c r="AN6">
        <v>2</v>
      </c>
      <c r="AO6" s="11">
        <v>23507.14</v>
      </c>
      <c r="AP6" s="9">
        <v>3.4094471043076693</v>
      </c>
    </row>
    <row r="7" spans="1:42" x14ac:dyDescent="0.3">
      <c r="A7" t="s">
        <v>27</v>
      </c>
      <c r="B7" s="4">
        <f>E7/SUM(E7:E9)</f>
        <v>0.75</v>
      </c>
      <c r="D7" t="s">
        <v>44</v>
      </c>
      <c r="E7">
        <v>75</v>
      </c>
      <c r="G7" s="3">
        <f t="array" aca="1" ref="G7:G9" ca="1">[1]!dirich(E7:E9)</f>
        <v>0.80648300062669442</v>
      </c>
      <c r="H7" s="3">
        <f t="shared" si="5"/>
        <v>0.75</v>
      </c>
      <c r="L7">
        <v>4</v>
      </c>
      <c r="M7" s="5">
        <f t="shared" si="6"/>
        <v>0.5</v>
      </c>
      <c r="N7" s="5">
        <f t="shared" si="7"/>
        <v>0.4</v>
      </c>
      <c r="O7" s="5">
        <f t="shared" si="8"/>
        <v>0.1</v>
      </c>
      <c r="P7" s="5">
        <f t="shared" si="9"/>
        <v>0.05</v>
      </c>
      <c r="Q7" s="5">
        <f t="shared" si="10"/>
        <v>0.75</v>
      </c>
      <c r="R7" s="5">
        <f t="shared" si="11"/>
        <v>0.2</v>
      </c>
      <c r="S7" s="6">
        <v>1</v>
      </c>
      <c r="U7">
        <f t="shared" si="13"/>
        <v>0.10415000000000002</v>
      </c>
      <c r="V7">
        <f t="shared" si="14"/>
        <v>0.42625000000000013</v>
      </c>
      <c r="W7">
        <f t="shared" si="15"/>
        <v>0.46960000000000013</v>
      </c>
      <c r="X7">
        <f t="shared" si="16"/>
        <v>1.0000000000000004</v>
      </c>
      <c r="Z7">
        <f t="shared" si="17"/>
        <v>8.3320000000000019E-2</v>
      </c>
      <c r="AA7">
        <f t="shared" si="18"/>
        <v>0.21312500000000006</v>
      </c>
      <c r="AB7">
        <f t="shared" si="19"/>
        <v>0</v>
      </c>
      <c r="AC7" s="9">
        <f t="shared" si="20"/>
        <v>0.29644500000000007</v>
      </c>
      <c r="AD7" s="9">
        <f t="shared" si="0"/>
        <v>0.25833469119010333</v>
      </c>
      <c r="AF7" s="7">
        <f t="shared" si="1"/>
        <v>520.75000000000011</v>
      </c>
      <c r="AG7" s="7">
        <f t="shared" si="2"/>
        <v>2131.2500000000005</v>
      </c>
      <c r="AH7" s="7">
        <f t="shared" si="3"/>
        <v>0</v>
      </c>
      <c r="AI7" s="7">
        <f t="shared" si="12"/>
        <v>2652.0000000000005</v>
      </c>
      <c r="AJ7" s="7">
        <f t="shared" si="4"/>
        <v>2311.0647878566142</v>
      </c>
      <c r="AN7">
        <v>3</v>
      </c>
      <c r="AO7" s="11">
        <v>21896.73</v>
      </c>
      <c r="AP7" s="9">
        <v>3.1047947004746064</v>
      </c>
    </row>
    <row r="8" spans="1:42" x14ac:dyDescent="0.3">
      <c r="A8" t="s">
        <v>42</v>
      </c>
      <c r="B8" s="4">
        <f>E8/SUM(E7:E9)</f>
        <v>0.05</v>
      </c>
      <c r="E8">
        <v>5</v>
      </c>
      <c r="G8" s="3">
        <f ca="1"/>
        <v>6.1231436321829175E-2</v>
      </c>
      <c r="H8" s="3">
        <f t="shared" si="5"/>
        <v>0.05</v>
      </c>
      <c r="L8">
        <v>5</v>
      </c>
      <c r="M8" s="5">
        <f t="shared" si="6"/>
        <v>0.5</v>
      </c>
      <c r="N8" s="5">
        <f t="shared" si="7"/>
        <v>0.4</v>
      </c>
      <c r="O8" s="5">
        <f t="shared" si="8"/>
        <v>0.1</v>
      </c>
      <c r="P8" s="5">
        <f t="shared" si="9"/>
        <v>0.05</v>
      </c>
      <c r="Q8" s="5">
        <f t="shared" si="10"/>
        <v>0.75</v>
      </c>
      <c r="R8" s="5">
        <f t="shared" si="11"/>
        <v>0.2</v>
      </c>
      <c r="S8" s="6">
        <v>1</v>
      </c>
      <c r="U8">
        <f t="shared" si="13"/>
        <v>7.3387500000000022E-2</v>
      </c>
      <c r="V8">
        <f t="shared" si="14"/>
        <v>0.36134750000000015</v>
      </c>
      <c r="W8">
        <f t="shared" si="15"/>
        <v>0.56526500000000013</v>
      </c>
      <c r="X8">
        <f t="shared" si="16"/>
        <v>1.0000000000000004</v>
      </c>
      <c r="Z8">
        <f t="shared" si="17"/>
        <v>5.8710000000000019E-2</v>
      </c>
      <c r="AA8">
        <f t="shared" si="18"/>
        <v>0.18067375000000008</v>
      </c>
      <c r="AB8">
        <f t="shared" si="19"/>
        <v>0</v>
      </c>
      <c r="AC8" s="9">
        <f t="shared" si="20"/>
        <v>0.23938375000000009</v>
      </c>
      <c r="AD8" s="9">
        <f t="shared" si="0"/>
        <v>0.2015546940819693</v>
      </c>
      <c r="AF8" s="7">
        <f t="shared" si="1"/>
        <v>366.93750000000011</v>
      </c>
      <c r="AG8" s="7">
        <f t="shared" si="2"/>
        <v>1806.7375000000009</v>
      </c>
      <c r="AH8" s="7">
        <f t="shared" si="3"/>
        <v>0</v>
      </c>
      <c r="AI8" s="7">
        <f t="shared" si="12"/>
        <v>2173.6750000000011</v>
      </c>
      <c r="AJ8" s="7">
        <f t="shared" si="4"/>
        <v>1830.1760234712035</v>
      </c>
      <c r="AN8">
        <v>4</v>
      </c>
      <c r="AO8" s="11">
        <v>25930.66</v>
      </c>
      <c r="AP8" s="9">
        <v>2.9822554207893388</v>
      </c>
    </row>
    <row r="9" spans="1:42" x14ac:dyDescent="0.3">
      <c r="A9" t="s">
        <v>14</v>
      </c>
      <c r="B9" s="4">
        <f>E9/SUM(E7:E9)</f>
        <v>0.2</v>
      </c>
      <c r="E9">
        <v>20</v>
      </c>
      <c r="G9" s="3">
        <f ca="1"/>
        <v>0.13228556305147646</v>
      </c>
      <c r="H9" s="3">
        <f t="shared" si="5"/>
        <v>0.2</v>
      </c>
      <c r="L9">
        <v>6</v>
      </c>
      <c r="M9" s="5">
        <f t="shared" si="6"/>
        <v>0.5</v>
      </c>
      <c r="N9" s="5">
        <f t="shared" si="7"/>
        <v>0.4</v>
      </c>
      <c r="O9" s="5">
        <f t="shared" si="8"/>
        <v>0.1</v>
      </c>
      <c r="P9" s="5">
        <f t="shared" si="9"/>
        <v>0.05</v>
      </c>
      <c r="Q9" s="5">
        <f t="shared" si="10"/>
        <v>0.75</v>
      </c>
      <c r="R9" s="5">
        <f t="shared" si="11"/>
        <v>0.2</v>
      </c>
      <c r="S9" s="6">
        <v>1</v>
      </c>
      <c r="U9">
        <f t="shared" si="13"/>
        <v>5.4761125000000022E-2</v>
      </c>
      <c r="V9">
        <f t="shared" si="14"/>
        <v>0.30036562500000014</v>
      </c>
      <c r="W9">
        <f t="shared" si="15"/>
        <v>0.64487325000000006</v>
      </c>
      <c r="X9">
        <f t="shared" si="16"/>
        <v>1.0000000000000002</v>
      </c>
      <c r="Z9">
        <f t="shared" si="17"/>
        <v>4.3808900000000019E-2</v>
      </c>
      <c r="AA9">
        <f t="shared" si="18"/>
        <v>0.15018281250000007</v>
      </c>
      <c r="AB9">
        <f t="shared" si="19"/>
        <v>0</v>
      </c>
      <c r="AC9" s="9">
        <f t="shared" si="20"/>
        <v>0.19399171250000008</v>
      </c>
      <c r="AD9" s="9">
        <f t="shared" si="0"/>
        <v>0.15781238310911441</v>
      </c>
      <c r="AF9" s="7">
        <f t="shared" si="1"/>
        <v>273.80562500000013</v>
      </c>
      <c r="AG9" s="7">
        <f t="shared" si="2"/>
        <v>1501.8281250000007</v>
      </c>
      <c r="AH9" s="7">
        <f t="shared" si="3"/>
        <v>0</v>
      </c>
      <c r="AI9" s="7">
        <f t="shared" si="12"/>
        <v>1775.6337500000009</v>
      </c>
      <c r="AJ9" s="7">
        <f t="shared" si="4"/>
        <v>1444.4791996795918</v>
      </c>
      <c r="AN9">
        <v>5</v>
      </c>
      <c r="AO9" s="11">
        <v>14875.16</v>
      </c>
      <c r="AP9" s="9">
        <v>3.6224016121264473</v>
      </c>
    </row>
    <row r="10" spans="1:42" x14ac:dyDescent="0.3">
      <c r="B10" s="4"/>
      <c r="G10" s="3"/>
      <c r="H10" s="3"/>
      <c r="L10">
        <v>7</v>
      </c>
      <c r="M10" s="5">
        <f t="shared" si="6"/>
        <v>0.5</v>
      </c>
      <c r="N10" s="5">
        <f t="shared" si="7"/>
        <v>0.4</v>
      </c>
      <c r="O10" s="5">
        <f t="shared" si="8"/>
        <v>0.1</v>
      </c>
      <c r="P10" s="5">
        <f t="shared" si="9"/>
        <v>0.05</v>
      </c>
      <c r="Q10" s="5">
        <f t="shared" si="10"/>
        <v>0.75</v>
      </c>
      <c r="R10" s="5">
        <f t="shared" si="11"/>
        <v>0.2</v>
      </c>
      <c r="S10" s="6">
        <v>1</v>
      </c>
      <c r="U10">
        <f t="shared" si="13"/>
        <v>4.2398843750000026E-2</v>
      </c>
      <c r="V10">
        <f t="shared" si="14"/>
        <v>0.24717866875000011</v>
      </c>
      <c r="W10">
        <f t="shared" si="15"/>
        <v>0.71042248750000014</v>
      </c>
      <c r="X10">
        <f t="shared" si="16"/>
        <v>1.0000000000000002</v>
      </c>
      <c r="Z10">
        <f t="shared" si="17"/>
        <v>3.3919075000000021E-2</v>
      </c>
      <c r="AA10">
        <f t="shared" si="18"/>
        <v>0.12358933437500005</v>
      </c>
      <c r="AB10">
        <f t="shared" si="19"/>
        <v>0</v>
      </c>
      <c r="AC10" s="9">
        <f t="shared" si="20"/>
        <v>0.15750840937500007</v>
      </c>
      <c r="AD10" s="9">
        <f t="shared" si="0"/>
        <v>0.12380018600043657</v>
      </c>
      <c r="AF10" s="7">
        <f t="shared" si="1"/>
        <v>211.99421875000013</v>
      </c>
      <c r="AG10" s="7">
        <f t="shared" si="2"/>
        <v>1235.8933437500004</v>
      </c>
      <c r="AH10" s="7">
        <f t="shared" si="3"/>
        <v>0</v>
      </c>
      <c r="AI10" s="7">
        <f t="shared" si="12"/>
        <v>1447.8875625000005</v>
      </c>
      <c r="AJ10" s="7">
        <f t="shared" si="4"/>
        <v>1138.0265362115288</v>
      </c>
      <c r="AN10">
        <v>6</v>
      </c>
      <c r="AO10" s="11">
        <v>21157.52</v>
      </c>
      <c r="AP10" s="9">
        <v>3.313327453935087</v>
      </c>
    </row>
    <row r="11" spans="1:42" x14ac:dyDescent="0.3">
      <c r="A11" t="s">
        <v>47</v>
      </c>
      <c r="B11">
        <v>0.7</v>
      </c>
      <c r="D11" t="s">
        <v>45</v>
      </c>
      <c r="E11">
        <v>70</v>
      </c>
      <c r="F11">
        <v>30</v>
      </c>
      <c r="G11">
        <f ca="1">BETAINV(RAND(),E11,F11)</f>
        <v>0.62281572120102702</v>
      </c>
      <c r="H11" s="8">
        <f>IF(probabilistic=0,B11,G11)</f>
        <v>0.7</v>
      </c>
      <c r="L11">
        <v>8</v>
      </c>
      <c r="M11" s="5">
        <f t="shared" si="6"/>
        <v>0.5</v>
      </c>
      <c r="N11" s="5">
        <f t="shared" si="7"/>
        <v>0.4</v>
      </c>
      <c r="O11" s="5">
        <f t="shared" si="8"/>
        <v>0.1</v>
      </c>
      <c r="P11" s="5">
        <f t="shared" si="9"/>
        <v>0.05</v>
      </c>
      <c r="Q11" s="5">
        <f t="shared" si="10"/>
        <v>0.75</v>
      </c>
      <c r="R11" s="5">
        <f t="shared" si="11"/>
        <v>0.2</v>
      </c>
      <c r="S11" s="6">
        <v>1</v>
      </c>
      <c r="U11">
        <f t="shared" si="13"/>
        <v>3.3558355312500017E-2</v>
      </c>
      <c r="V11">
        <f t="shared" si="14"/>
        <v>0.20234353906250008</v>
      </c>
      <c r="W11">
        <f t="shared" si="15"/>
        <v>0.76409810562500013</v>
      </c>
      <c r="X11">
        <f t="shared" si="16"/>
        <v>1.0000000000000002</v>
      </c>
      <c r="Z11">
        <f t="shared" si="17"/>
        <v>2.6846684250000016E-2</v>
      </c>
      <c r="AA11">
        <f t="shared" si="18"/>
        <v>0.10117176953125004</v>
      </c>
      <c r="AB11">
        <f t="shared" si="19"/>
        <v>0</v>
      </c>
      <c r="AC11" s="9">
        <f t="shared" si="20"/>
        <v>0.12801845378125004</v>
      </c>
      <c r="AD11" s="9">
        <f t="shared" si="0"/>
        <v>9.7218693210417234E-2</v>
      </c>
      <c r="AF11" s="7">
        <f t="shared" si="1"/>
        <v>167.79177656250008</v>
      </c>
      <c r="AG11" s="7">
        <f t="shared" si="2"/>
        <v>1011.7176953125004</v>
      </c>
      <c r="AH11" s="7">
        <f t="shared" si="3"/>
        <v>0</v>
      </c>
      <c r="AI11" s="7">
        <f t="shared" si="12"/>
        <v>1179.5094718750004</v>
      </c>
      <c r="AJ11" s="7">
        <f t="shared" si="4"/>
        <v>895.7331236084018</v>
      </c>
      <c r="AN11">
        <v>7</v>
      </c>
      <c r="AO11" s="11">
        <v>32812.42</v>
      </c>
      <c r="AP11" s="9">
        <v>3.6829413224273067</v>
      </c>
    </row>
    <row r="12" spans="1:42" x14ac:dyDescent="0.3">
      <c r="L12">
        <v>9</v>
      </c>
      <c r="M12" s="5">
        <f t="shared" si="6"/>
        <v>0.5</v>
      </c>
      <c r="N12" s="5">
        <f t="shared" si="7"/>
        <v>0.4</v>
      </c>
      <c r="O12" s="5">
        <f t="shared" si="8"/>
        <v>0.1</v>
      </c>
      <c r="P12" s="5">
        <f t="shared" si="9"/>
        <v>0.05</v>
      </c>
      <c r="Q12" s="5">
        <f t="shared" si="10"/>
        <v>0.75</v>
      </c>
      <c r="R12" s="5">
        <f t="shared" si="11"/>
        <v>0.2</v>
      </c>
      <c r="S12" s="6">
        <v>1</v>
      </c>
      <c r="U12">
        <f t="shared" si="13"/>
        <v>2.6896354609375017E-2</v>
      </c>
      <c r="V12">
        <f t="shared" si="14"/>
        <v>0.16518099642187506</v>
      </c>
      <c r="W12">
        <f t="shared" si="15"/>
        <v>0.8079226489687501</v>
      </c>
      <c r="X12">
        <f t="shared" si="16"/>
        <v>1.0000000000000002</v>
      </c>
      <c r="Z12">
        <f t="shared" si="17"/>
        <v>2.1517083687500015E-2</v>
      </c>
      <c r="AA12">
        <f t="shared" si="18"/>
        <v>8.259049821093753E-2</v>
      </c>
      <c r="AB12">
        <f t="shared" si="19"/>
        <v>0</v>
      </c>
      <c r="AC12" s="9">
        <f t="shared" si="20"/>
        <v>0.10410758189843755</v>
      </c>
      <c r="AD12" s="9">
        <f t="shared" si="0"/>
        <v>7.6386957278650469E-2</v>
      </c>
      <c r="AF12" s="7">
        <f t="shared" si="1"/>
        <v>134.48177304687508</v>
      </c>
      <c r="AG12" s="7">
        <f t="shared" si="2"/>
        <v>825.90498210937528</v>
      </c>
      <c r="AH12" s="7">
        <f t="shared" si="3"/>
        <v>0</v>
      </c>
      <c r="AI12" s="7">
        <f t="shared" si="12"/>
        <v>960.38675515625039</v>
      </c>
      <c r="AJ12" s="7">
        <f t="shared" si="4"/>
        <v>704.6655075388245</v>
      </c>
      <c r="AN12">
        <v>8</v>
      </c>
      <c r="AO12" s="11">
        <v>17605.66</v>
      </c>
      <c r="AP12" s="9">
        <v>2.9177601998067204</v>
      </c>
    </row>
    <row r="13" spans="1:42" x14ac:dyDescent="0.3">
      <c r="A13" t="s">
        <v>30</v>
      </c>
      <c r="L13">
        <v>10</v>
      </c>
      <c r="M13" s="5">
        <f t="shared" si="6"/>
        <v>0.5</v>
      </c>
      <c r="N13" s="5">
        <f t="shared" si="7"/>
        <v>0.4</v>
      </c>
      <c r="O13" s="5">
        <f t="shared" si="8"/>
        <v>0.1</v>
      </c>
      <c r="P13" s="5">
        <f t="shared" si="9"/>
        <v>0.05</v>
      </c>
      <c r="Q13" s="5">
        <f t="shared" si="10"/>
        <v>0.75</v>
      </c>
      <c r="R13" s="5">
        <f t="shared" si="11"/>
        <v>0.2</v>
      </c>
      <c r="S13" s="6">
        <v>1</v>
      </c>
      <c r="U13">
        <f t="shared" si="13"/>
        <v>2.1707227125781263E-2</v>
      </c>
      <c r="V13">
        <f t="shared" si="14"/>
        <v>0.13464428916015631</v>
      </c>
      <c r="W13">
        <f t="shared" si="15"/>
        <v>0.84364848371406254</v>
      </c>
      <c r="X13">
        <f t="shared" si="16"/>
        <v>1</v>
      </c>
      <c r="Z13">
        <f t="shared" si="17"/>
        <v>1.736578170062501E-2</v>
      </c>
      <c r="AA13">
        <f t="shared" si="18"/>
        <v>6.7322144580078153E-2</v>
      </c>
      <c r="AB13">
        <f t="shared" si="19"/>
        <v>0</v>
      </c>
      <c r="AC13" s="9">
        <f t="shared" si="20"/>
        <v>8.4687926280703166E-2</v>
      </c>
      <c r="AD13" s="9">
        <f t="shared" si="0"/>
        <v>6.0036864234456727E-2</v>
      </c>
      <c r="AF13" s="7">
        <f t="shared" si="1"/>
        <v>108.53613562890631</v>
      </c>
      <c r="AG13" s="7">
        <f t="shared" si="2"/>
        <v>673.22144580078157</v>
      </c>
      <c r="AH13" s="7">
        <f t="shared" si="3"/>
        <v>0</v>
      </c>
      <c r="AI13" s="7">
        <f t="shared" si="12"/>
        <v>781.75758142968789</v>
      </c>
      <c r="AJ13" s="7">
        <f t="shared" si="4"/>
        <v>554.20265723575494</v>
      </c>
      <c r="AN13">
        <v>9</v>
      </c>
      <c r="AO13" s="11">
        <v>15741.02</v>
      </c>
      <c r="AP13" s="9">
        <v>2.7455588257545056</v>
      </c>
    </row>
    <row r="14" spans="1:42" x14ac:dyDescent="0.3">
      <c r="A14" t="s">
        <v>38</v>
      </c>
      <c r="B14">
        <v>0.8</v>
      </c>
      <c r="D14" t="s">
        <v>45</v>
      </c>
      <c r="E14">
        <v>80</v>
      </c>
      <c r="F14">
        <v>20</v>
      </c>
      <c r="G14">
        <f ca="1">BETAINV(RAND(),E14,F14)</f>
        <v>0.78056856465020763</v>
      </c>
      <c r="H14" s="8">
        <f>IF(probabilistic=0,B14,G14)</f>
        <v>0.8</v>
      </c>
      <c r="L14">
        <v>11</v>
      </c>
      <c r="M14" s="5">
        <f t="shared" si="6"/>
        <v>0.5</v>
      </c>
      <c r="N14" s="5">
        <f t="shared" si="7"/>
        <v>0.4</v>
      </c>
      <c r="O14" s="5">
        <f t="shared" si="8"/>
        <v>0.1</v>
      </c>
      <c r="P14" s="5">
        <f t="shared" si="9"/>
        <v>0.05</v>
      </c>
      <c r="Q14" s="5">
        <f t="shared" si="10"/>
        <v>0.75</v>
      </c>
      <c r="R14" s="5">
        <f t="shared" si="11"/>
        <v>0.2</v>
      </c>
      <c r="S14" s="6">
        <v>1</v>
      </c>
      <c r="U14">
        <f t="shared" si="13"/>
        <v>1.7585828020898447E-2</v>
      </c>
      <c r="V14">
        <f t="shared" si="14"/>
        <v>0.10966610772042974</v>
      </c>
      <c r="W14">
        <f t="shared" si="15"/>
        <v>0.87274806425867191</v>
      </c>
      <c r="X14">
        <f t="shared" si="16"/>
        <v>1</v>
      </c>
      <c r="Z14">
        <f t="shared" si="17"/>
        <v>1.4068662416718759E-2</v>
      </c>
      <c r="AA14">
        <f t="shared" si="18"/>
        <v>5.4833053860214871E-2</v>
      </c>
      <c r="AB14">
        <f t="shared" si="19"/>
        <v>0</v>
      </c>
      <c r="AC14" s="9">
        <f t="shared" si="20"/>
        <v>6.8901716276933631E-2</v>
      </c>
      <c r="AD14" s="9">
        <f t="shared" si="0"/>
        <v>4.7193935232474483E-2</v>
      </c>
      <c r="AF14" s="7">
        <f t="shared" si="1"/>
        <v>87.929140104492234</v>
      </c>
      <c r="AG14" s="7">
        <f t="shared" si="2"/>
        <v>548.33053860214875</v>
      </c>
      <c r="AH14" s="7">
        <f t="shared" si="3"/>
        <v>0</v>
      </c>
      <c r="AI14" s="7">
        <f t="shared" si="12"/>
        <v>636.25967870664101</v>
      </c>
      <c r="AJ14" s="7">
        <f t="shared" si="4"/>
        <v>435.80333974886253</v>
      </c>
      <c r="AN14">
        <v>10</v>
      </c>
      <c r="AO14" s="11">
        <v>26686.95</v>
      </c>
      <c r="AP14" s="9">
        <v>3.7904844149005239</v>
      </c>
    </row>
    <row r="15" spans="1:42" x14ac:dyDescent="0.3">
      <c r="A15" t="s">
        <v>31</v>
      </c>
      <c r="B15">
        <v>0.5</v>
      </c>
      <c r="D15" t="s">
        <v>45</v>
      </c>
      <c r="E15">
        <v>50</v>
      </c>
      <c r="F15">
        <v>50</v>
      </c>
      <c r="G15">
        <f ca="1">BETAINV(RAND(),E15,F15)</f>
        <v>0.52998736746693509</v>
      </c>
      <c r="H15" s="8">
        <f>IF(probabilistic=0,B15,G15)</f>
        <v>0.5</v>
      </c>
      <c r="L15">
        <v>12</v>
      </c>
      <c r="M15" s="5">
        <f t="shared" si="6"/>
        <v>0.5</v>
      </c>
      <c r="N15" s="5">
        <f t="shared" si="7"/>
        <v>0.4</v>
      </c>
      <c r="O15" s="5">
        <f t="shared" si="8"/>
        <v>0.1</v>
      </c>
      <c r="P15" s="5">
        <f t="shared" si="9"/>
        <v>0.05</v>
      </c>
      <c r="Q15" s="5">
        <f t="shared" si="10"/>
        <v>0.75</v>
      </c>
      <c r="R15" s="5">
        <f t="shared" si="11"/>
        <v>0.2</v>
      </c>
      <c r="S15" s="6">
        <v>1</v>
      </c>
      <c r="U15">
        <f t="shared" si="13"/>
        <v>1.427621939647071E-2</v>
      </c>
      <c r="V15">
        <f t="shared" si="14"/>
        <v>8.9283911998681686E-2</v>
      </c>
      <c r="W15">
        <f t="shared" si="15"/>
        <v>0.8964398686048477</v>
      </c>
      <c r="X15">
        <f t="shared" si="16"/>
        <v>1</v>
      </c>
      <c r="Z15">
        <f t="shared" si="17"/>
        <v>1.1420975517176569E-2</v>
      </c>
      <c r="AA15">
        <f t="shared" si="18"/>
        <v>4.4641955999340843E-2</v>
      </c>
      <c r="AB15">
        <f t="shared" si="19"/>
        <v>0</v>
      </c>
      <c r="AC15" s="9">
        <f t="shared" si="20"/>
        <v>5.6062931516517409E-2</v>
      </c>
      <c r="AD15" s="9">
        <f t="shared" si="0"/>
        <v>3.710151173075845E-2</v>
      </c>
      <c r="AF15" s="7">
        <f t="shared" si="1"/>
        <v>71.381096982353554</v>
      </c>
      <c r="AG15" s="7">
        <f t="shared" si="2"/>
        <v>446.41955999340843</v>
      </c>
      <c r="AH15" s="7">
        <f t="shared" si="3"/>
        <v>0</v>
      </c>
      <c r="AI15" s="7">
        <f t="shared" si="12"/>
        <v>517.80065697576197</v>
      </c>
      <c r="AJ15" s="7">
        <f t="shared" si="4"/>
        <v>342.67182662969765</v>
      </c>
      <c r="AN15">
        <v>11</v>
      </c>
      <c r="AO15" s="11">
        <v>19330.53</v>
      </c>
      <c r="AP15" s="9">
        <v>3.1318512018155968</v>
      </c>
    </row>
    <row r="16" spans="1:42" x14ac:dyDescent="0.3">
      <c r="A16" t="s">
        <v>32</v>
      </c>
      <c r="B16">
        <v>0</v>
      </c>
      <c r="G16">
        <f>B16</f>
        <v>0</v>
      </c>
      <c r="H16" s="8">
        <f>IF(probabilistic=0,B16,G16)</f>
        <v>0</v>
      </c>
      <c r="L16">
        <v>13</v>
      </c>
      <c r="M16" s="5">
        <f t="shared" si="6"/>
        <v>0.5</v>
      </c>
      <c r="N16" s="5">
        <f t="shared" si="7"/>
        <v>0.4</v>
      </c>
      <c r="O16" s="5">
        <f t="shared" si="8"/>
        <v>0.1</v>
      </c>
      <c r="P16" s="5">
        <f t="shared" si="9"/>
        <v>0.05</v>
      </c>
      <c r="Q16" s="5">
        <f t="shared" si="10"/>
        <v>0.75</v>
      </c>
      <c r="R16" s="5">
        <f t="shared" si="11"/>
        <v>0.2</v>
      </c>
      <c r="S16" s="6">
        <v>1</v>
      </c>
      <c r="U16">
        <f t="shared" si="13"/>
        <v>1.1602305298169441E-2</v>
      </c>
      <c r="V16">
        <f t="shared" si="14"/>
        <v>7.2673421757599554E-2</v>
      </c>
      <c r="W16">
        <f t="shared" si="15"/>
        <v>0.91572427294423109</v>
      </c>
      <c r="X16">
        <f t="shared" si="16"/>
        <v>1</v>
      </c>
      <c r="Z16">
        <f t="shared" si="17"/>
        <v>9.2818442385355533E-3</v>
      </c>
      <c r="AA16">
        <f t="shared" si="18"/>
        <v>3.6336710878799777E-2</v>
      </c>
      <c r="AB16">
        <f t="shared" si="19"/>
        <v>0</v>
      </c>
      <c r="AC16" s="9">
        <f t="shared" si="20"/>
        <v>4.5618555117335327E-2</v>
      </c>
      <c r="AD16" s="9">
        <f t="shared" si="0"/>
        <v>2.9168693592980292E-2</v>
      </c>
      <c r="AF16" s="7">
        <f t="shared" si="1"/>
        <v>58.011526490847203</v>
      </c>
      <c r="AG16" s="7">
        <f t="shared" si="2"/>
        <v>363.36710878799778</v>
      </c>
      <c r="AH16" s="7">
        <f t="shared" si="3"/>
        <v>0</v>
      </c>
      <c r="AI16" s="7">
        <f t="shared" si="12"/>
        <v>421.37863527884497</v>
      </c>
      <c r="AJ16" s="7">
        <f t="shared" si="4"/>
        <v>269.43124935594784</v>
      </c>
      <c r="AN16">
        <v>12</v>
      </c>
      <c r="AO16" s="11">
        <v>23836.93</v>
      </c>
      <c r="AP16" s="9">
        <v>3.1818192656881972</v>
      </c>
    </row>
    <row r="17" spans="1:42" x14ac:dyDescent="0.3">
      <c r="L17">
        <v>14</v>
      </c>
      <c r="M17" s="5">
        <f t="shared" si="6"/>
        <v>0.5</v>
      </c>
      <c r="N17" s="5">
        <f t="shared" si="7"/>
        <v>0.4</v>
      </c>
      <c r="O17" s="5">
        <f t="shared" si="8"/>
        <v>0.1</v>
      </c>
      <c r="P17" s="5">
        <f t="shared" si="9"/>
        <v>0.05</v>
      </c>
      <c r="Q17" s="5">
        <f t="shared" si="10"/>
        <v>0.75</v>
      </c>
      <c r="R17" s="5">
        <f t="shared" si="11"/>
        <v>0.2</v>
      </c>
      <c r="S17" s="6">
        <v>1</v>
      </c>
      <c r="U17">
        <f t="shared" si="13"/>
        <v>9.4348237369646978E-3</v>
      </c>
      <c r="V17">
        <f t="shared" si="14"/>
        <v>5.9145988437467448E-2</v>
      </c>
      <c r="W17">
        <f t="shared" si="15"/>
        <v>0.93141918782556798</v>
      </c>
      <c r="X17">
        <f t="shared" si="16"/>
        <v>1.0000000000000002</v>
      </c>
      <c r="Z17">
        <f t="shared" si="17"/>
        <v>7.5478589895717589E-3</v>
      </c>
      <c r="AA17">
        <f t="shared" si="18"/>
        <v>2.9572994218733724E-2</v>
      </c>
      <c r="AB17">
        <f t="shared" si="19"/>
        <v>0</v>
      </c>
      <c r="AC17" s="9">
        <f t="shared" si="20"/>
        <v>3.7120853208305479E-2</v>
      </c>
      <c r="AD17" s="9">
        <f t="shared" si="0"/>
        <v>2.293258715162454E-2</v>
      </c>
      <c r="AF17" s="7">
        <f t="shared" si="1"/>
        <v>47.17411868482349</v>
      </c>
      <c r="AG17" s="7">
        <f t="shared" si="2"/>
        <v>295.72994218733726</v>
      </c>
      <c r="AH17" s="7">
        <f t="shared" si="3"/>
        <v>0</v>
      </c>
      <c r="AI17" s="7">
        <f t="shared" si="12"/>
        <v>342.90406087216076</v>
      </c>
      <c r="AJ17" s="7">
        <f t="shared" si="4"/>
        <v>211.83988461874475</v>
      </c>
      <c r="AN17">
        <v>13</v>
      </c>
      <c r="AO17" s="11">
        <v>29768.9</v>
      </c>
      <c r="AP17" s="9">
        <v>3.5366277882323494</v>
      </c>
    </row>
    <row r="18" spans="1:42" x14ac:dyDescent="0.3">
      <c r="A18" t="s">
        <v>8</v>
      </c>
      <c r="L18">
        <v>15</v>
      </c>
      <c r="M18" s="5">
        <f t="shared" si="6"/>
        <v>0.5</v>
      </c>
      <c r="N18" s="5">
        <f t="shared" si="7"/>
        <v>0.4</v>
      </c>
      <c r="O18" s="5">
        <f t="shared" si="8"/>
        <v>0.1</v>
      </c>
      <c r="P18" s="5">
        <f t="shared" si="9"/>
        <v>0.05</v>
      </c>
      <c r="Q18" s="5">
        <f t="shared" si="10"/>
        <v>0.75</v>
      </c>
      <c r="R18" s="5">
        <f t="shared" si="11"/>
        <v>0.2</v>
      </c>
      <c r="S18" s="6">
        <v>1</v>
      </c>
      <c r="U18">
        <f t="shared" si="13"/>
        <v>7.674711290355722E-3</v>
      </c>
      <c r="V18">
        <f t="shared" si="14"/>
        <v>4.8133420822886464E-2</v>
      </c>
      <c r="W18">
        <f t="shared" si="15"/>
        <v>0.94419186788675791</v>
      </c>
      <c r="X18">
        <f t="shared" si="16"/>
        <v>1</v>
      </c>
      <c r="Z18">
        <f t="shared" si="17"/>
        <v>6.1397690322845776E-3</v>
      </c>
      <c r="AA18">
        <f t="shared" si="18"/>
        <v>2.4066710411443232E-2</v>
      </c>
      <c r="AB18">
        <f t="shared" si="19"/>
        <v>0</v>
      </c>
      <c r="AC18" s="9">
        <f t="shared" si="20"/>
        <v>3.0206479443727809E-2</v>
      </c>
      <c r="AD18" s="9">
        <f t="shared" si="0"/>
        <v>1.8029964201644145E-2</v>
      </c>
      <c r="AF18" s="7">
        <f t="shared" si="1"/>
        <v>38.373556451778612</v>
      </c>
      <c r="AG18" s="7">
        <f t="shared" si="2"/>
        <v>240.66710411443231</v>
      </c>
      <c r="AH18" s="7">
        <f t="shared" si="3"/>
        <v>0</v>
      </c>
      <c r="AI18" s="7">
        <f t="shared" si="12"/>
        <v>279.04066056621093</v>
      </c>
      <c r="AJ18" s="7">
        <f t="shared" si="4"/>
        <v>166.55675250683984</v>
      </c>
      <c r="AN18">
        <v>14</v>
      </c>
      <c r="AO18" s="11">
        <v>23723.88</v>
      </c>
      <c r="AP18" s="9">
        <v>2.8303910268881918</v>
      </c>
    </row>
    <row r="19" spans="1:42" x14ac:dyDescent="0.3">
      <c r="A19" t="s">
        <v>48</v>
      </c>
      <c r="B19" s="7">
        <v>1000</v>
      </c>
      <c r="D19" t="s">
        <v>49</v>
      </c>
      <c r="H19" s="7">
        <f>B19</f>
        <v>1000</v>
      </c>
      <c r="L19">
        <v>16</v>
      </c>
      <c r="M19" s="5">
        <f t="shared" si="6"/>
        <v>0.5</v>
      </c>
      <c r="N19" s="5">
        <f t="shared" si="7"/>
        <v>0.4</v>
      </c>
      <c r="O19" s="5">
        <f t="shared" si="8"/>
        <v>0.1</v>
      </c>
      <c r="P19" s="5">
        <f t="shared" si="9"/>
        <v>0.05</v>
      </c>
      <c r="Q19" s="5">
        <f t="shared" si="10"/>
        <v>0.75</v>
      </c>
      <c r="R19" s="5">
        <f t="shared" si="11"/>
        <v>0.2</v>
      </c>
      <c r="S19" s="6">
        <v>1</v>
      </c>
      <c r="U19">
        <f>U18+V18*P19-U18*(N19+O19)</f>
        <v>6.2440266863221846E-3</v>
      </c>
      <c r="V19">
        <f>V18+U18*N18-V18*(P18+R18)</f>
        <v>3.9169950133307138E-2</v>
      </c>
      <c r="W19">
        <f>W18+U18*O18+V18*R18</f>
        <v>0.95458602318037067</v>
      </c>
      <c r="X19">
        <f t="shared" si="16"/>
        <v>1</v>
      </c>
      <c r="Z19">
        <f t="shared" si="17"/>
        <v>4.9952213490577482E-3</v>
      </c>
      <c r="AA19">
        <f t="shared" si="18"/>
        <v>1.9584975066653569E-2</v>
      </c>
      <c r="AB19">
        <f t="shared" si="19"/>
        <v>0</v>
      </c>
      <c r="AC19" s="9">
        <f t="shared" si="20"/>
        <v>2.4580196415711318E-2</v>
      </c>
      <c r="AD19" s="9">
        <f t="shared" ref="AD19:AD33" si="21">AC19/(1+$H$24)^L19</f>
        <v>1.4175544584051347E-2</v>
      </c>
      <c r="AF19" s="7">
        <f t="shared" ref="AF19:AF33" si="22">U19*$H$20</f>
        <v>31.220133431610922</v>
      </c>
      <c r="AG19" s="7">
        <f t="shared" ref="AG19:AG33" si="23">AA19*$H$21</f>
        <v>195.8497506665357</v>
      </c>
      <c r="AH19" s="7">
        <f t="shared" ref="AH19:AH33" si="24">W19*$H$22</f>
        <v>0</v>
      </c>
      <c r="AI19" s="7">
        <f t="shared" si="12"/>
        <v>227.06988409814662</v>
      </c>
      <c r="AJ19" s="7">
        <f t="shared" ref="AJ19:AJ33" si="25">AI19/(1+$H$24)^L19</f>
        <v>130.95254453179277</v>
      </c>
      <c r="AN19">
        <v>15</v>
      </c>
      <c r="AO19" s="11">
        <v>34057.980000000003</v>
      </c>
      <c r="AP19" s="9">
        <v>3.4257692239142745</v>
      </c>
    </row>
    <row r="20" spans="1:42" x14ac:dyDescent="0.3">
      <c r="A20" t="s">
        <v>38</v>
      </c>
      <c r="B20" s="7">
        <v>5000</v>
      </c>
      <c r="D20" t="s">
        <v>46</v>
      </c>
      <c r="E20">
        <v>10</v>
      </c>
      <c r="F20">
        <v>500</v>
      </c>
      <c r="G20" s="7">
        <f ca="1">GAMMAINV(RAND(),E20,F20)</f>
        <v>2332.6450165158303</v>
      </c>
      <c r="H20" s="7">
        <f>IF(probabilistic=0,B20,G20)</f>
        <v>5000</v>
      </c>
      <c r="L20">
        <v>17</v>
      </c>
      <c r="M20" s="5">
        <f t="shared" si="6"/>
        <v>0.5</v>
      </c>
      <c r="N20" s="5">
        <f t="shared" si="7"/>
        <v>0.4</v>
      </c>
      <c r="O20" s="5">
        <f t="shared" si="8"/>
        <v>0.1</v>
      </c>
      <c r="P20" s="5">
        <f t="shared" si="9"/>
        <v>0.05</v>
      </c>
      <c r="Q20" s="5">
        <f t="shared" si="10"/>
        <v>0.75</v>
      </c>
      <c r="R20" s="5">
        <f t="shared" si="11"/>
        <v>0.2</v>
      </c>
      <c r="S20" s="6">
        <v>1</v>
      </c>
      <c r="U20">
        <f t="shared" si="13"/>
        <v>5.0805108498264496E-3</v>
      </c>
      <c r="V20">
        <f t="shared" si="14"/>
        <v>3.1875073274509225E-2</v>
      </c>
      <c r="W20">
        <f t="shared" si="15"/>
        <v>0.96304441587566425</v>
      </c>
      <c r="X20">
        <f t="shared" si="16"/>
        <v>0.99999999999999989</v>
      </c>
      <c r="Z20">
        <f t="shared" si="17"/>
        <v>4.0644086798611598E-3</v>
      </c>
      <c r="AA20">
        <f t="shared" si="18"/>
        <v>1.5937536637254612E-2</v>
      </c>
      <c r="AB20">
        <f t="shared" si="19"/>
        <v>0</v>
      </c>
      <c r="AC20" s="9">
        <f t="shared" si="20"/>
        <v>2.0001945317115771E-2</v>
      </c>
      <c r="AD20" s="9">
        <f t="shared" si="21"/>
        <v>1.1145159526740653E-2</v>
      </c>
      <c r="AF20" s="7">
        <f t="shared" si="22"/>
        <v>25.402554249132248</v>
      </c>
      <c r="AG20" s="7">
        <f t="shared" si="23"/>
        <v>159.37536637254613</v>
      </c>
      <c r="AH20" s="7">
        <f t="shared" si="24"/>
        <v>0</v>
      </c>
      <c r="AI20" s="7">
        <f t="shared" si="12"/>
        <v>184.77792062167836</v>
      </c>
      <c r="AJ20" s="7">
        <f t="shared" si="25"/>
        <v>102.9589557264615</v>
      </c>
      <c r="AN20">
        <v>16</v>
      </c>
      <c r="AO20" s="11">
        <v>26832.61</v>
      </c>
      <c r="AP20" s="9">
        <v>3.2903658699919935</v>
      </c>
    </row>
    <row r="21" spans="1:42" x14ac:dyDescent="0.3">
      <c r="A21" t="s">
        <v>31</v>
      </c>
      <c r="B21" s="7">
        <v>10000</v>
      </c>
      <c r="D21" t="s">
        <v>46</v>
      </c>
      <c r="E21">
        <v>10</v>
      </c>
      <c r="F21">
        <v>1000</v>
      </c>
      <c r="G21" s="7">
        <f ca="1">GAMMAINV(RAND(),E21,F21)</f>
        <v>11038.112363587403</v>
      </c>
      <c r="H21" s="7">
        <f>IF(probabilistic=0,B21,G21)</f>
        <v>10000</v>
      </c>
      <c r="L21">
        <v>18</v>
      </c>
      <c r="M21" s="5">
        <f t="shared" si="6"/>
        <v>0.5</v>
      </c>
      <c r="N21" s="5">
        <f t="shared" si="7"/>
        <v>0.4</v>
      </c>
      <c r="O21" s="5">
        <f t="shared" si="8"/>
        <v>0.1</v>
      </c>
      <c r="P21" s="5">
        <f t="shared" si="9"/>
        <v>0.05</v>
      </c>
      <c r="Q21" s="5">
        <f t="shared" si="10"/>
        <v>0.75</v>
      </c>
      <c r="R21" s="5">
        <f t="shared" si="11"/>
        <v>0.2</v>
      </c>
      <c r="S21" s="6">
        <v>1</v>
      </c>
      <c r="U21">
        <f t="shared" si="13"/>
        <v>4.1340090886386859E-3</v>
      </c>
      <c r="V21">
        <f t="shared" si="14"/>
        <v>2.5938509295812498E-2</v>
      </c>
      <c r="W21">
        <f t="shared" si="15"/>
        <v>0.96992748161554876</v>
      </c>
      <c r="X21">
        <f t="shared" si="16"/>
        <v>1</v>
      </c>
      <c r="Z21">
        <f t="shared" si="17"/>
        <v>3.307207270910949E-3</v>
      </c>
      <c r="AA21">
        <f t="shared" si="18"/>
        <v>1.2969254647906249E-2</v>
      </c>
      <c r="AB21">
        <f t="shared" si="19"/>
        <v>0</v>
      </c>
      <c r="AC21" s="9">
        <f t="shared" si="20"/>
        <v>1.6276461918817198E-2</v>
      </c>
      <c r="AD21" s="9">
        <f t="shared" si="21"/>
        <v>8.7626145864617543E-3</v>
      </c>
      <c r="AF21" s="7">
        <f t="shared" si="22"/>
        <v>20.67004544319343</v>
      </c>
      <c r="AG21" s="7">
        <f t="shared" si="23"/>
        <v>129.69254647906249</v>
      </c>
      <c r="AH21" s="7">
        <f t="shared" si="24"/>
        <v>0</v>
      </c>
      <c r="AI21" s="7">
        <f t="shared" si="12"/>
        <v>150.36259192225592</v>
      </c>
      <c r="AJ21" s="7">
        <f t="shared" si="25"/>
        <v>80.949376333004878</v>
      </c>
      <c r="AN21">
        <v>17</v>
      </c>
      <c r="AO21" s="11">
        <v>28568.86</v>
      </c>
      <c r="AP21" s="9">
        <v>3.6203692636878717</v>
      </c>
    </row>
    <row r="22" spans="1:42" x14ac:dyDescent="0.3">
      <c r="A22" t="s">
        <v>32</v>
      </c>
      <c r="B22" s="7">
        <v>0</v>
      </c>
      <c r="G22" s="7">
        <f>B22</f>
        <v>0</v>
      </c>
      <c r="H22" s="7">
        <f>IF(probabilistic=0,B22,G22)</f>
        <v>0</v>
      </c>
      <c r="L22">
        <v>19</v>
      </c>
      <c r="M22" s="5">
        <f t="shared" si="6"/>
        <v>0.5</v>
      </c>
      <c r="N22" s="5">
        <f t="shared" si="7"/>
        <v>0.4</v>
      </c>
      <c r="O22" s="5">
        <f t="shared" si="8"/>
        <v>0.1</v>
      </c>
      <c r="P22" s="5">
        <f t="shared" si="9"/>
        <v>0.05</v>
      </c>
      <c r="Q22" s="5">
        <f t="shared" si="10"/>
        <v>0.75</v>
      </c>
      <c r="R22" s="5">
        <f t="shared" si="11"/>
        <v>0.2</v>
      </c>
      <c r="S22" s="6">
        <v>1</v>
      </c>
      <c r="U22">
        <f t="shared" si="13"/>
        <v>3.3639300091099682E-3</v>
      </c>
      <c r="V22">
        <f t="shared" si="14"/>
        <v>2.1107485607314846E-2</v>
      </c>
      <c r="W22">
        <f t="shared" si="15"/>
        <v>0.97552858438357515</v>
      </c>
      <c r="X22">
        <f t="shared" si="16"/>
        <v>1</v>
      </c>
      <c r="Z22">
        <f t="shared" si="17"/>
        <v>2.6911440072879748E-3</v>
      </c>
      <c r="AA22">
        <f t="shared" si="18"/>
        <v>1.0553742803657423E-2</v>
      </c>
      <c r="AB22">
        <f t="shared" si="19"/>
        <v>0</v>
      </c>
      <c r="AC22" s="9">
        <f t="shared" si="20"/>
        <v>1.3244886810945398E-2</v>
      </c>
      <c r="AD22" s="9">
        <f t="shared" si="21"/>
        <v>6.8894032432420486E-3</v>
      </c>
      <c r="AF22" s="7">
        <f t="shared" si="22"/>
        <v>16.819650045549842</v>
      </c>
      <c r="AG22" s="7">
        <f t="shared" si="23"/>
        <v>105.53742803657423</v>
      </c>
      <c r="AH22" s="7">
        <f t="shared" si="24"/>
        <v>0</v>
      </c>
      <c r="AI22" s="7">
        <f t="shared" si="12"/>
        <v>122.35707808212408</v>
      </c>
      <c r="AJ22" s="7">
        <f t="shared" si="25"/>
        <v>63.644730423516286</v>
      </c>
      <c r="AN22">
        <v>18</v>
      </c>
      <c r="AO22" s="11">
        <v>35939.1</v>
      </c>
      <c r="AP22" s="9">
        <v>3.6685474311602979</v>
      </c>
    </row>
    <row r="23" spans="1:42" x14ac:dyDescent="0.3">
      <c r="L23">
        <v>20</v>
      </c>
      <c r="M23" s="5">
        <f t="shared" si="6"/>
        <v>0.5</v>
      </c>
      <c r="N23" s="5">
        <f t="shared" si="7"/>
        <v>0.4</v>
      </c>
      <c r="O23" s="5">
        <f t="shared" si="8"/>
        <v>0.1</v>
      </c>
      <c r="P23" s="5">
        <f t="shared" si="9"/>
        <v>0.05</v>
      </c>
      <c r="Q23" s="5">
        <f t="shared" si="10"/>
        <v>0.75</v>
      </c>
      <c r="R23" s="5">
        <f t="shared" si="11"/>
        <v>0.2</v>
      </c>
      <c r="S23" s="6">
        <v>1</v>
      </c>
      <c r="U23">
        <f t="shared" si="13"/>
        <v>2.7373392849207264E-3</v>
      </c>
      <c r="V23">
        <f t="shared" si="14"/>
        <v>1.7176186209130122E-2</v>
      </c>
      <c r="W23">
        <f t="shared" si="15"/>
        <v>0.98008647450594921</v>
      </c>
      <c r="X23">
        <f t="shared" si="16"/>
        <v>1</v>
      </c>
      <c r="Z23">
        <f t="shared" si="17"/>
        <v>2.1898714279365811E-3</v>
      </c>
      <c r="AA23">
        <f t="shared" si="18"/>
        <v>8.5880931045650612E-3</v>
      </c>
      <c r="AB23">
        <f t="shared" si="19"/>
        <v>0</v>
      </c>
      <c r="AC23" s="9">
        <f t="shared" si="20"/>
        <v>1.0777964532501643E-2</v>
      </c>
      <c r="AD23" s="9">
        <f t="shared" si="21"/>
        <v>5.416637277649866E-3</v>
      </c>
      <c r="AF23" s="7">
        <f t="shared" si="22"/>
        <v>13.686696424603632</v>
      </c>
      <c r="AG23" s="7">
        <f t="shared" si="23"/>
        <v>85.880931045650613</v>
      </c>
      <c r="AH23" s="7">
        <f t="shared" si="24"/>
        <v>0</v>
      </c>
      <c r="AI23" s="7">
        <f t="shared" si="12"/>
        <v>99.567627470254251</v>
      </c>
      <c r="AJ23" s="7">
        <f t="shared" si="25"/>
        <v>50.039292760351437</v>
      </c>
      <c r="AN23">
        <v>19</v>
      </c>
      <c r="AO23" s="11">
        <v>23887.27</v>
      </c>
      <c r="AP23" s="9">
        <v>3.0318211465584488</v>
      </c>
    </row>
    <row r="24" spans="1:42" x14ac:dyDescent="0.3">
      <c r="A24" t="s">
        <v>33</v>
      </c>
      <c r="H24" s="5">
        <v>3.5000000000000003E-2</v>
      </c>
      <c r="L24">
        <v>21</v>
      </c>
      <c r="M24" s="5">
        <f t="shared" si="6"/>
        <v>0.5</v>
      </c>
      <c r="N24" s="5">
        <f t="shared" si="7"/>
        <v>0.4</v>
      </c>
      <c r="O24" s="5">
        <f t="shared" si="8"/>
        <v>0.1</v>
      </c>
      <c r="P24" s="5">
        <f t="shared" si="9"/>
        <v>0.05</v>
      </c>
      <c r="Q24" s="5">
        <f t="shared" si="10"/>
        <v>0.75</v>
      </c>
      <c r="R24" s="5">
        <f t="shared" si="11"/>
        <v>0.2</v>
      </c>
      <c r="S24" s="6">
        <v>1</v>
      </c>
      <c r="U24">
        <f t="shared" ref="U24:U33" si="26">U23+V23*P24-U23*(N24+O24)</f>
        <v>2.2274789529168693E-3</v>
      </c>
      <c r="V24">
        <f t="shared" ref="V24:V33" si="27">V23+U23*N23-V23*(P23+R23)</f>
        <v>1.397707537081588E-2</v>
      </c>
      <c r="W24">
        <f t="shared" ref="W24:W33" si="28">W23+U23*O23+V23*R23</f>
        <v>0.98379544567626731</v>
      </c>
      <c r="X24">
        <f t="shared" ref="X24:X33" si="29">SUM(U24:W24)</f>
        <v>1</v>
      </c>
      <c r="Z24">
        <f t="shared" si="17"/>
        <v>1.7819831623334956E-3</v>
      </c>
      <c r="AA24">
        <f t="shared" si="18"/>
        <v>6.98853768540794E-3</v>
      </c>
      <c r="AB24">
        <f t="shared" si="19"/>
        <v>0</v>
      </c>
      <c r="AC24" s="9">
        <f t="shared" si="20"/>
        <v>8.7705208477414365E-3</v>
      </c>
      <c r="AD24" s="9">
        <f t="shared" si="21"/>
        <v>4.2587097263493542E-3</v>
      </c>
      <c r="AF24" s="7">
        <f t="shared" si="22"/>
        <v>11.137394764584347</v>
      </c>
      <c r="AG24" s="7">
        <f t="shared" si="23"/>
        <v>69.885376854079396</v>
      </c>
      <c r="AH24" s="7">
        <f t="shared" si="24"/>
        <v>0</v>
      </c>
      <c r="AI24" s="7">
        <f t="shared" si="12"/>
        <v>81.022771618663739</v>
      </c>
      <c r="AJ24" s="7">
        <f t="shared" si="25"/>
        <v>39.342300364868613</v>
      </c>
      <c r="AN24">
        <v>20</v>
      </c>
      <c r="AO24" s="11">
        <v>25110</v>
      </c>
      <c r="AP24" s="9">
        <v>3.42793053340126</v>
      </c>
    </row>
    <row r="25" spans="1:42" x14ac:dyDescent="0.3">
      <c r="L25">
        <v>22</v>
      </c>
      <c r="M25" s="5">
        <f t="shared" si="6"/>
        <v>0.5</v>
      </c>
      <c r="N25" s="5">
        <f t="shared" si="7"/>
        <v>0.4</v>
      </c>
      <c r="O25" s="5">
        <f t="shared" si="8"/>
        <v>0.1</v>
      </c>
      <c r="P25" s="5">
        <f t="shared" si="9"/>
        <v>0.05</v>
      </c>
      <c r="Q25" s="5">
        <f t="shared" si="10"/>
        <v>0.75</v>
      </c>
      <c r="R25" s="5">
        <f t="shared" si="11"/>
        <v>0.2</v>
      </c>
      <c r="S25" s="6">
        <v>1</v>
      </c>
      <c r="U25">
        <f t="shared" si="26"/>
        <v>1.8125932449992287E-3</v>
      </c>
      <c r="V25">
        <f t="shared" si="27"/>
        <v>1.1373798109278657E-2</v>
      </c>
      <c r="W25">
        <f t="shared" si="28"/>
        <v>0.9868136086457221</v>
      </c>
      <c r="X25">
        <f t="shared" si="29"/>
        <v>1</v>
      </c>
      <c r="Z25">
        <f t="shared" si="17"/>
        <v>1.4500745959993831E-3</v>
      </c>
      <c r="AA25">
        <f t="shared" si="18"/>
        <v>5.6868990546393283E-3</v>
      </c>
      <c r="AB25">
        <f t="shared" si="19"/>
        <v>0</v>
      </c>
      <c r="AC25" s="9">
        <f t="shared" si="20"/>
        <v>7.1369736506387109E-3</v>
      </c>
      <c r="AD25" s="9">
        <f t="shared" si="21"/>
        <v>3.3483156898866002E-3</v>
      </c>
      <c r="AF25" s="7">
        <f t="shared" si="22"/>
        <v>9.0629662249961438</v>
      </c>
      <c r="AG25" s="7">
        <f t="shared" si="23"/>
        <v>56.868990546393285</v>
      </c>
      <c r="AH25" s="7">
        <f t="shared" si="24"/>
        <v>0</v>
      </c>
      <c r="AI25" s="7">
        <f t="shared" si="12"/>
        <v>65.931956771389423</v>
      </c>
      <c r="AJ25" s="7">
        <f t="shared" si="25"/>
        <v>30.932019106279267</v>
      </c>
      <c r="AN25">
        <v>21</v>
      </c>
      <c r="AO25" s="11">
        <v>22649.119999999999</v>
      </c>
      <c r="AP25" s="9">
        <v>3.1807030856222118</v>
      </c>
    </row>
    <row r="26" spans="1:42" x14ac:dyDescent="0.3">
      <c r="L26">
        <v>23</v>
      </c>
      <c r="M26" s="5">
        <f t="shared" si="6"/>
        <v>0.5</v>
      </c>
      <c r="N26" s="5">
        <f t="shared" si="7"/>
        <v>0.4</v>
      </c>
      <c r="O26" s="5">
        <f t="shared" si="8"/>
        <v>0.1</v>
      </c>
      <c r="P26" s="5">
        <f t="shared" si="9"/>
        <v>0.05</v>
      </c>
      <c r="Q26" s="5">
        <f t="shared" si="10"/>
        <v>0.75</v>
      </c>
      <c r="R26" s="5">
        <f t="shared" si="11"/>
        <v>0.2</v>
      </c>
      <c r="S26" s="6">
        <v>1</v>
      </c>
      <c r="U26">
        <f t="shared" si="26"/>
        <v>1.4749865279635472E-3</v>
      </c>
      <c r="V26">
        <f t="shared" si="27"/>
        <v>9.2553858799586837E-3</v>
      </c>
      <c r="W26">
        <f t="shared" si="28"/>
        <v>0.98926962759207782</v>
      </c>
      <c r="X26">
        <f t="shared" si="29"/>
        <v>1</v>
      </c>
      <c r="Z26">
        <f t="shared" si="17"/>
        <v>1.1799892223708379E-3</v>
      </c>
      <c r="AA26">
        <f t="shared" si="18"/>
        <v>4.6276929399793418E-3</v>
      </c>
      <c r="AB26">
        <f t="shared" si="19"/>
        <v>0</v>
      </c>
      <c r="AC26" s="9">
        <f t="shared" si="20"/>
        <v>5.8076821623501799E-3</v>
      </c>
      <c r="AD26" s="9">
        <f t="shared" si="21"/>
        <v>2.6325388885964844E-3</v>
      </c>
      <c r="AF26" s="7">
        <f t="shared" si="22"/>
        <v>7.3749326398177359</v>
      </c>
      <c r="AG26" s="7">
        <f t="shared" si="23"/>
        <v>46.276929399793417</v>
      </c>
      <c r="AH26" s="7">
        <f t="shared" si="24"/>
        <v>0</v>
      </c>
      <c r="AI26" s="7">
        <f t="shared" si="12"/>
        <v>53.651862039611153</v>
      </c>
      <c r="AJ26" s="7">
        <f t="shared" si="25"/>
        <v>24.319618277411791</v>
      </c>
      <c r="AN26">
        <v>22</v>
      </c>
      <c r="AO26" s="11">
        <v>13396.23</v>
      </c>
      <c r="AP26" s="9">
        <v>2.6842336083449307</v>
      </c>
    </row>
    <row r="27" spans="1:42" x14ac:dyDescent="0.3">
      <c r="L27">
        <v>24</v>
      </c>
      <c r="M27" s="5">
        <f t="shared" si="6"/>
        <v>0.5</v>
      </c>
      <c r="N27" s="5">
        <f t="shared" si="7"/>
        <v>0.4</v>
      </c>
      <c r="O27" s="5">
        <f t="shared" si="8"/>
        <v>0.1</v>
      </c>
      <c r="P27" s="5">
        <f t="shared" si="9"/>
        <v>0.05</v>
      </c>
      <c r="Q27" s="5">
        <f t="shared" si="10"/>
        <v>0.75</v>
      </c>
      <c r="R27" s="5">
        <f t="shared" si="11"/>
        <v>0.2</v>
      </c>
      <c r="S27" s="6">
        <v>1</v>
      </c>
      <c r="U27">
        <f t="shared" si="26"/>
        <v>1.2002625579797077E-3</v>
      </c>
      <c r="V27">
        <f t="shared" si="27"/>
        <v>7.531534021154431E-3</v>
      </c>
      <c r="W27">
        <f t="shared" si="28"/>
        <v>0.99126820342086597</v>
      </c>
      <c r="X27">
        <f t="shared" si="29"/>
        <v>1</v>
      </c>
      <c r="Z27">
        <f t="shared" si="17"/>
        <v>9.6021004638376616E-4</v>
      </c>
      <c r="AA27">
        <f t="shared" si="18"/>
        <v>3.7657670105772155E-3</v>
      </c>
      <c r="AB27">
        <f t="shared" si="19"/>
        <v>0</v>
      </c>
      <c r="AC27" s="9">
        <f t="shared" si="20"/>
        <v>4.7259770569609821E-3</v>
      </c>
      <c r="AD27" s="9">
        <f t="shared" si="21"/>
        <v>2.0697753667175047E-3</v>
      </c>
      <c r="AF27" s="7">
        <f t="shared" si="22"/>
        <v>6.0013127898985381</v>
      </c>
      <c r="AG27" s="7">
        <f t="shared" si="23"/>
        <v>37.657670105772155</v>
      </c>
      <c r="AH27" s="7">
        <f t="shared" si="24"/>
        <v>0</v>
      </c>
      <c r="AI27" s="7">
        <f t="shared" si="12"/>
        <v>43.65898289567069</v>
      </c>
      <c r="AJ27" s="7">
        <f t="shared" si="25"/>
        <v>19.120763017734244</v>
      </c>
      <c r="AN27">
        <v>23</v>
      </c>
      <c r="AO27" s="11">
        <v>19621.88</v>
      </c>
      <c r="AP27" s="9">
        <v>3.4831878492513231</v>
      </c>
    </row>
    <row r="28" spans="1:42" x14ac:dyDescent="0.3">
      <c r="L28">
        <v>25</v>
      </c>
      <c r="M28" s="5">
        <f t="shared" si="6"/>
        <v>0.5</v>
      </c>
      <c r="N28" s="5">
        <f t="shared" si="7"/>
        <v>0.4</v>
      </c>
      <c r="O28" s="5">
        <f t="shared" si="8"/>
        <v>0.1</v>
      </c>
      <c r="P28" s="5">
        <f t="shared" si="9"/>
        <v>0.05</v>
      </c>
      <c r="Q28" s="5">
        <f t="shared" si="10"/>
        <v>0.75</v>
      </c>
      <c r="R28" s="5">
        <f t="shared" si="11"/>
        <v>0.2</v>
      </c>
      <c r="S28" s="6">
        <v>1</v>
      </c>
      <c r="U28">
        <f t="shared" si="26"/>
        <v>9.7670798004757548E-4</v>
      </c>
      <c r="V28">
        <f t="shared" si="27"/>
        <v>6.1287555390577061E-3</v>
      </c>
      <c r="W28">
        <f t="shared" si="28"/>
        <v>0.99289453648089487</v>
      </c>
      <c r="X28">
        <f t="shared" si="29"/>
        <v>1.0000000000000002</v>
      </c>
      <c r="Z28">
        <f t="shared" si="17"/>
        <v>7.8136638403806039E-4</v>
      </c>
      <c r="AA28">
        <f t="shared" si="18"/>
        <v>3.064377769528853E-3</v>
      </c>
      <c r="AB28">
        <f t="shared" si="19"/>
        <v>0</v>
      </c>
      <c r="AC28" s="9">
        <f t="shared" si="20"/>
        <v>3.8457441535669134E-3</v>
      </c>
      <c r="AD28" s="9">
        <f t="shared" si="21"/>
        <v>1.627315060084501E-3</v>
      </c>
      <c r="AF28" s="7">
        <f t="shared" si="22"/>
        <v>4.883539900237877</v>
      </c>
      <c r="AG28" s="7">
        <f t="shared" si="23"/>
        <v>30.643777695288531</v>
      </c>
      <c r="AH28" s="7">
        <f t="shared" si="24"/>
        <v>0</v>
      </c>
      <c r="AI28" s="7">
        <f t="shared" si="12"/>
        <v>35.527317595526405</v>
      </c>
      <c r="AJ28" s="7">
        <f t="shared" si="25"/>
        <v>15.033277477385697</v>
      </c>
      <c r="AN28">
        <v>24</v>
      </c>
      <c r="AO28" s="11">
        <v>16035.88</v>
      </c>
      <c r="AP28" s="9">
        <v>3.1940421411466127</v>
      </c>
    </row>
    <row r="29" spans="1:42" x14ac:dyDescent="0.3">
      <c r="L29">
        <v>26</v>
      </c>
      <c r="M29" s="5">
        <f t="shared" si="6"/>
        <v>0.5</v>
      </c>
      <c r="N29" s="5">
        <f t="shared" si="7"/>
        <v>0.4</v>
      </c>
      <c r="O29" s="5">
        <f t="shared" si="8"/>
        <v>0.1</v>
      </c>
      <c r="P29" s="5">
        <f t="shared" si="9"/>
        <v>0.05</v>
      </c>
      <c r="Q29" s="5">
        <f t="shared" si="10"/>
        <v>0.75</v>
      </c>
      <c r="R29" s="5">
        <f t="shared" si="11"/>
        <v>0.2</v>
      </c>
      <c r="S29" s="6">
        <v>1</v>
      </c>
      <c r="U29">
        <f t="shared" si="26"/>
        <v>7.9479176697667313E-4</v>
      </c>
      <c r="V29">
        <f t="shared" si="27"/>
        <v>4.9872498463123093E-3</v>
      </c>
      <c r="W29">
        <f t="shared" si="28"/>
        <v>0.99421795838671112</v>
      </c>
      <c r="X29">
        <f t="shared" si="29"/>
        <v>1</v>
      </c>
      <c r="Z29">
        <f t="shared" si="17"/>
        <v>6.3583341358133859E-4</v>
      </c>
      <c r="AA29">
        <f t="shared" si="18"/>
        <v>2.4936249231561547E-3</v>
      </c>
      <c r="AB29">
        <f t="shared" si="19"/>
        <v>0</v>
      </c>
      <c r="AC29" s="9">
        <f t="shared" si="20"/>
        <v>3.1294583367374933E-3</v>
      </c>
      <c r="AD29" s="9">
        <f t="shared" si="21"/>
        <v>1.279440457233176E-3</v>
      </c>
      <c r="AF29" s="7">
        <f t="shared" si="22"/>
        <v>3.9739588348833657</v>
      </c>
      <c r="AG29" s="7">
        <f t="shared" si="23"/>
        <v>24.936249231561547</v>
      </c>
      <c r="AH29" s="7">
        <f t="shared" si="24"/>
        <v>0</v>
      </c>
      <c r="AI29" s="7">
        <f t="shared" si="12"/>
        <v>28.910208066444913</v>
      </c>
      <c r="AJ29" s="7">
        <f t="shared" si="25"/>
        <v>11.819582128004937</v>
      </c>
      <c r="AN29">
        <v>25</v>
      </c>
      <c r="AO29" s="11">
        <v>21254.66</v>
      </c>
      <c r="AP29" s="9">
        <v>3.2401677720273709</v>
      </c>
    </row>
    <row r="30" spans="1:42" x14ac:dyDescent="0.3">
      <c r="L30">
        <v>27</v>
      </c>
      <c r="M30" s="5">
        <f t="shared" si="6"/>
        <v>0.5</v>
      </c>
      <c r="N30" s="5">
        <f t="shared" si="7"/>
        <v>0.4</v>
      </c>
      <c r="O30" s="5">
        <f t="shared" si="8"/>
        <v>0.1</v>
      </c>
      <c r="P30" s="5">
        <f t="shared" si="9"/>
        <v>0.05</v>
      </c>
      <c r="Q30" s="5">
        <f t="shared" si="10"/>
        <v>0.75</v>
      </c>
      <c r="R30" s="5">
        <f t="shared" si="11"/>
        <v>0.2</v>
      </c>
      <c r="S30" s="6">
        <v>1</v>
      </c>
      <c r="U30">
        <f t="shared" si="26"/>
        <v>6.4675837580395207E-4</v>
      </c>
      <c r="V30">
        <f t="shared" si="27"/>
        <v>4.0583540915249006E-3</v>
      </c>
      <c r="W30">
        <f t="shared" si="28"/>
        <v>0.99529488753267126</v>
      </c>
      <c r="X30">
        <f t="shared" si="29"/>
        <v>1</v>
      </c>
      <c r="Z30">
        <f t="shared" si="17"/>
        <v>5.1740670064316164E-4</v>
      </c>
      <c r="AA30">
        <f t="shared" si="18"/>
        <v>2.0291770457624503E-3</v>
      </c>
      <c r="AB30">
        <f t="shared" si="19"/>
        <v>0</v>
      </c>
      <c r="AC30" s="9">
        <f t="shared" si="20"/>
        <v>2.5465837464056121E-3</v>
      </c>
      <c r="AD30" s="9">
        <f t="shared" si="21"/>
        <v>1.0059317559013498E-3</v>
      </c>
      <c r="AF30" s="7">
        <f t="shared" si="22"/>
        <v>3.2337918790197602</v>
      </c>
      <c r="AG30" s="7">
        <f t="shared" si="23"/>
        <v>20.291770457624501</v>
      </c>
      <c r="AH30" s="7">
        <f t="shared" si="24"/>
        <v>0</v>
      </c>
      <c r="AI30" s="7">
        <f t="shared" si="12"/>
        <v>23.525562336644263</v>
      </c>
      <c r="AJ30" s="7">
        <f t="shared" si="25"/>
        <v>9.2928851302335769</v>
      </c>
      <c r="AN30">
        <v>26</v>
      </c>
      <c r="AO30" s="11">
        <v>18273.03</v>
      </c>
      <c r="AP30" s="9">
        <v>2.9582469022706066</v>
      </c>
    </row>
    <row r="31" spans="1:42" x14ac:dyDescent="0.3">
      <c r="L31">
        <v>28</v>
      </c>
      <c r="M31" s="5">
        <f t="shared" si="6"/>
        <v>0.5</v>
      </c>
      <c r="N31" s="5">
        <f t="shared" si="7"/>
        <v>0.4</v>
      </c>
      <c r="O31" s="5">
        <f t="shared" si="8"/>
        <v>0.1</v>
      </c>
      <c r="P31" s="5">
        <f t="shared" si="9"/>
        <v>0.05</v>
      </c>
      <c r="Q31" s="5">
        <f t="shared" si="10"/>
        <v>0.75</v>
      </c>
      <c r="R31" s="5">
        <f t="shared" si="11"/>
        <v>0.2</v>
      </c>
      <c r="S31" s="6">
        <v>1</v>
      </c>
      <c r="U31">
        <f t="shared" si="26"/>
        <v>5.2629689247822109E-4</v>
      </c>
      <c r="V31">
        <f t="shared" si="27"/>
        <v>3.3024689189652561E-3</v>
      </c>
      <c r="W31">
        <f t="shared" si="28"/>
        <v>0.99617123418855669</v>
      </c>
      <c r="X31">
        <f t="shared" si="29"/>
        <v>1.0000000000000002</v>
      </c>
      <c r="Z31">
        <f t="shared" si="17"/>
        <v>4.2103751398257691E-4</v>
      </c>
      <c r="AA31">
        <f t="shared" si="18"/>
        <v>1.6512344594826281E-3</v>
      </c>
      <c r="AB31">
        <f t="shared" si="19"/>
        <v>0</v>
      </c>
      <c r="AC31" s="9">
        <f t="shared" si="20"/>
        <v>2.0722719734652048E-3</v>
      </c>
      <c r="AD31" s="9">
        <f t="shared" si="21"/>
        <v>7.9089159315698745E-4</v>
      </c>
      <c r="AF31" s="7">
        <f t="shared" si="22"/>
        <v>2.6314844623911053</v>
      </c>
      <c r="AG31" s="7">
        <f t="shared" si="23"/>
        <v>16.512344594826281</v>
      </c>
      <c r="AH31" s="7">
        <f t="shared" si="24"/>
        <v>0</v>
      </c>
      <c r="AI31" s="7">
        <f t="shared" si="12"/>
        <v>19.143829057217388</v>
      </c>
      <c r="AJ31" s="7">
        <f t="shared" si="25"/>
        <v>7.3063254515138638</v>
      </c>
      <c r="AN31">
        <v>27</v>
      </c>
      <c r="AO31" s="11">
        <v>21892.75</v>
      </c>
      <c r="AP31" s="9">
        <v>3.1889671271569493</v>
      </c>
    </row>
    <row r="32" spans="1:42" x14ac:dyDescent="0.3">
      <c r="L32">
        <v>29</v>
      </c>
      <c r="M32" s="5">
        <f t="shared" si="6"/>
        <v>0.5</v>
      </c>
      <c r="N32" s="5">
        <f t="shared" si="7"/>
        <v>0.4</v>
      </c>
      <c r="O32" s="5">
        <f t="shared" si="8"/>
        <v>0.1</v>
      </c>
      <c r="P32" s="5">
        <f t="shared" si="9"/>
        <v>0.05</v>
      </c>
      <c r="Q32" s="5">
        <f t="shared" si="10"/>
        <v>0.75</v>
      </c>
      <c r="R32" s="5">
        <f t="shared" si="11"/>
        <v>0.2</v>
      </c>
      <c r="S32" s="6">
        <v>1</v>
      </c>
      <c r="U32">
        <f t="shared" si="26"/>
        <v>4.2827189218737333E-4</v>
      </c>
      <c r="V32">
        <f t="shared" si="27"/>
        <v>2.6873704462152307E-3</v>
      </c>
      <c r="W32">
        <f t="shared" si="28"/>
        <v>0.99688435766159755</v>
      </c>
      <c r="X32">
        <f t="shared" si="29"/>
        <v>1.0000000000000002</v>
      </c>
      <c r="Z32">
        <f t="shared" si="17"/>
        <v>3.4261751374989866E-4</v>
      </c>
      <c r="AA32">
        <f t="shared" si="18"/>
        <v>1.3436852231076153E-3</v>
      </c>
      <c r="AB32">
        <f t="shared" si="19"/>
        <v>0</v>
      </c>
      <c r="AC32" s="9">
        <f t="shared" si="20"/>
        <v>1.686302736857514E-3</v>
      </c>
      <c r="AD32" s="9">
        <f t="shared" si="21"/>
        <v>6.2182102294277436E-4</v>
      </c>
      <c r="AF32" s="7">
        <f t="shared" si="22"/>
        <v>2.1413594609368665</v>
      </c>
      <c r="AG32" s="7">
        <f t="shared" si="23"/>
        <v>13.436852231076154</v>
      </c>
      <c r="AH32" s="7">
        <f t="shared" si="24"/>
        <v>0</v>
      </c>
      <c r="AI32" s="7">
        <f t="shared" si="12"/>
        <v>15.578211692013021</v>
      </c>
      <c r="AJ32" s="7">
        <f t="shared" si="25"/>
        <v>5.7444368192145836</v>
      </c>
      <c r="AN32">
        <v>28</v>
      </c>
      <c r="AO32" s="11">
        <v>30896.85</v>
      </c>
      <c r="AP32" s="9">
        <v>3.6921190848108729</v>
      </c>
    </row>
    <row r="33" spans="12:42" x14ac:dyDescent="0.3">
      <c r="L33">
        <v>30</v>
      </c>
      <c r="M33" s="5">
        <f t="shared" si="6"/>
        <v>0.5</v>
      </c>
      <c r="N33" s="5">
        <f t="shared" si="7"/>
        <v>0.4</v>
      </c>
      <c r="O33" s="5">
        <f t="shared" si="8"/>
        <v>0.1</v>
      </c>
      <c r="P33" s="5">
        <f t="shared" si="9"/>
        <v>0.05</v>
      </c>
      <c r="Q33" s="5">
        <f t="shared" si="10"/>
        <v>0.75</v>
      </c>
      <c r="R33" s="5">
        <f t="shared" si="11"/>
        <v>0.2</v>
      </c>
      <c r="S33" s="6">
        <v>1</v>
      </c>
      <c r="U33">
        <f t="shared" si="26"/>
        <v>3.4850446840444828E-4</v>
      </c>
      <c r="V33">
        <f t="shared" si="27"/>
        <v>2.1868365915363721E-3</v>
      </c>
      <c r="W33">
        <f t="shared" si="28"/>
        <v>0.99746465894005942</v>
      </c>
      <c r="X33">
        <f t="shared" si="29"/>
        <v>1.0000000000000002</v>
      </c>
      <c r="Z33">
        <f t="shared" si="17"/>
        <v>2.7880357472355861E-4</v>
      </c>
      <c r="AA33">
        <f t="shared" si="18"/>
        <v>1.0934182957681861E-3</v>
      </c>
      <c r="AB33">
        <f t="shared" si="19"/>
        <v>0</v>
      </c>
      <c r="AC33" s="9">
        <f t="shared" si="20"/>
        <v>1.3722218704917447E-3</v>
      </c>
      <c r="AD33" s="9">
        <f t="shared" si="21"/>
        <v>4.8889302701251723E-4</v>
      </c>
      <c r="AF33" s="7">
        <f t="shared" si="22"/>
        <v>1.7425223420222413</v>
      </c>
      <c r="AG33" s="7">
        <f t="shared" si="23"/>
        <v>10.934182957681861</v>
      </c>
      <c r="AH33" s="7">
        <f t="shared" si="24"/>
        <v>0</v>
      </c>
      <c r="AI33" s="7">
        <f t="shared" si="12"/>
        <v>12.676705299704102</v>
      </c>
      <c r="AJ33" s="7">
        <f t="shared" si="25"/>
        <v>4.5164364158523602</v>
      </c>
      <c r="AN33">
        <v>29</v>
      </c>
      <c r="AO33" s="11">
        <v>14540.8</v>
      </c>
      <c r="AP33" s="9">
        <v>3.1593374329504691</v>
      </c>
    </row>
    <row r="34" spans="12:42" x14ac:dyDescent="0.3">
      <c r="M34" s="5"/>
      <c r="N34" s="5"/>
      <c r="O34" s="5"/>
      <c r="P34" s="5"/>
      <c r="Q34" s="5"/>
      <c r="R34" s="5"/>
      <c r="S34" s="6"/>
      <c r="AC34" s="9"/>
      <c r="AD34" s="9"/>
      <c r="AN34">
        <v>30</v>
      </c>
      <c r="AO34" s="11">
        <v>41483.360000000001</v>
      </c>
      <c r="AP34" s="9">
        <v>3.5417625677717663</v>
      </c>
    </row>
    <row r="35" spans="12:42" x14ac:dyDescent="0.3">
      <c r="M35" s="5"/>
      <c r="N35" s="5"/>
      <c r="O35" s="5"/>
      <c r="P35" s="5"/>
      <c r="Q35" s="5"/>
      <c r="R35" s="5"/>
      <c r="S35" s="6"/>
      <c r="AB35" t="s">
        <v>34</v>
      </c>
      <c r="AC35" s="9">
        <f>SUM(AC3:AC33)</f>
        <v>3.8035285609285179</v>
      </c>
      <c r="AD35" s="9">
        <f>SUM(AD3:AD33)</f>
        <v>3.3420781138632725</v>
      </c>
      <c r="AI35" s="7">
        <f>SUM(AI3:AI33)</f>
        <v>30896.996322927913</v>
      </c>
      <c r="AJ35" s="7">
        <f>SUM(AJ3:AJ33)</f>
        <v>26742.211514515508</v>
      </c>
      <c r="AN35">
        <v>31</v>
      </c>
      <c r="AO35" s="11">
        <v>25868.16</v>
      </c>
      <c r="AP35" s="9">
        <v>3.6937599565721921</v>
      </c>
    </row>
    <row r="36" spans="12:42" x14ac:dyDescent="0.3">
      <c r="AN36">
        <v>32</v>
      </c>
      <c r="AO36" s="11">
        <v>32860.33</v>
      </c>
      <c r="AP36" s="9">
        <v>3.035397055612544</v>
      </c>
    </row>
    <row r="37" spans="12:42" x14ac:dyDescent="0.3">
      <c r="AN37">
        <v>33</v>
      </c>
      <c r="AO37" s="11">
        <v>21893.3</v>
      </c>
      <c r="AP37" s="9">
        <v>2.9548033573334007</v>
      </c>
    </row>
    <row r="38" spans="12:42" x14ac:dyDescent="0.3">
      <c r="AN38">
        <v>34</v>
      </c>
      <c r="AO38" s="11">
        <v>40048.89</v>
      </c>
      <c r="AP38" s="9">
        <v>3.7496474993697566</v>
      </c>
    </row>
    <row r="39" spans="12:42" x14ac:dyDescent="0.3">
      <c r="AN39">
        <v>35</v>
      </c>
      <c r="AO39" s="11">
        <v>29976.47</v>
      </c>
      <c r="AP39" s="9">
        <v>3.344070939579102</v>
      </c>
    </row>
    <row r="40" spans="12:42" x14ac:dyDescent="0.3">
      <c r="AN40">
        <v>36</v>
      </c>
      <c r="AO40" s="11">
        <v>34161.29</v>
      </c>
      <c r="AP40" s="9">
        <v>3.142311641805728</v>
      </c>
    </row>
    <row r="41" spans="12:42" x14ac:dyDescent="0.3">
      <c r="AN41">
        <v>37</v>
      </c>
      <c r="AO41" s="11">
        <v>20065.22</v>
      </c>
      <c r="AP41" s="9">
        <v>3.5090483968531725</v>
      </c>
    </row>
    <row r="42" spans="12:42" x14ac:dyDescent="0.3">
      <c r="AN42">
        <v>38</v>
      </c>
      <c r="AO42" s="11">
        <v>25627.72</v>
      </c>
      <c r="AP42" s="9">
        <v>3.1554868308127229</v>
      </c>
    </row>
    <row r="43" spans="12:42" x14ac:dyDescent="0.3">
      <c r="AN43">
        <v>39</v>
      </c>
      <c r="AO43" s="11">
        <v>28233.72</v>
      </c>
      <c r="AP43" s="9">
        <v>3.2381639418431161</v>
      </c>
    </row>
    <row r="44" spans="12:42" x14ac:dyDescent="0.3">
      <c r="AN44">
        <v>40</v>
      </c>
      <c r="AO44" s="11">
        <v>22938</v>
      </c>
      <c r="AP44" s="9">
        <v>2.7423707152336276</v>
      </c>
    </row>
    <row r="45" spans="12:42" x14ac:dyDescent="0.3">
      <c r="AN45">
        <v>41</v>
      </c>
      <c r="AO45" s="11">
        <v>28263.7</v>
      </c>
      <c r="AP45" s="9">
        <v>3.7830543120868048</v>
      </c>
    </row>
    <row r="46" spans="12:42" x14ac:dyDescent="0.3">
      <c r="AN46">
        <v>42</v>
      </c>
      <c r="AO46" s="11">
        <v>33881.980000000003</v>
      </c>
      <c r="AP46" s="9">
        <v>3.318606511124548</v>
      </c>
    </row>
    <row r="47" spans="12:42" x14ac:dyDescent="0.3">
      <c r="AN47">
        <v>43</v>
      </c>
      <c r="AO47" s="11">
        <v>34932.480000000003</v>
      </c>
      <c r="AP47" s="9">
        <v>3.7677819655401263</v>
      </c>
    </row>
    <row r="48" spans="12:42" x14ac:dyDescent="0.3">
      <c r="AN48">
        <v>44</v>
      </c>
      <c r="AO48" s="11">
        <v>25436.26</v>
      </c>
      <c r="AP48" s="9">
        <v>3.7060251067048817</v>
      </c>
    </row>
    <row r="49" spans="40:42" x14ac:dyDescent="0.3">
      <c r="AN49">
        <v>45</v>
      </c>
      <c r="AO49" s="11">
        <v>17547.93</v>
      </c>
      <c r="AP49" s="9">
        <v>2.7729593307961937</v>
      </c>
    </row>
    <row r="50" spans="40:42" x14ac:dyDescent="0.3">
      <c r="AN50">
        <v>46</v>
      </c>
      <c r="AO50" s="11">
        <v>25183.119999999999</v>
      </c>
      <c r="AP50" s="9">
        <v>3.2039721607706722</v>
      </c>
    </row>
    <row r="51" spans="40:42" x14ac:dyDescent="0.3">
      <c r="AN51">
        <v>47</v>
      </c>
      <c r="AO51" s="11">
        <v>23805.66</v>
      </c>
      <c r="AP51" s="9">
        <v>3.1842380234802152</v>
      </c>
    </row>
    <row r="52" spans="40:42" x14ac:dyDescent="0.3">
      <c r="AN52">
        <v>48</v>
      </c>
      <c r="AO52" s="11">
        <v>30860.93</v>
      </c>
      <c r="AP52" s="9">
        <v>2.9592453223238526</v>
      </c>
    </row>
    <row r="53" spans="40:42" x14ac:dyDescent="0.3">
      <c r="AN53">
        <v>49</v>
      </c>
      <c r="AO53" s="11">
        <v>33506.22</v>
      </c>
      <c r="AP53" s="9">
        <v>3.5234630940640437</v>
      </c>
    </row>
    <row r="54" spans="40:42" x14ac:dyDescent="0.3">
      <c r="AN54">
        <v>50</v>
      </c>
      <c r="AO54" s="11">
        <v>22225.599999999999</v>
      </c>
      <c r="AP54" s="9">
        <v>3.8196067559280298</v>
      </c>
    </row>
    <row r="55" spans="40:42" x14ac:dyDescent="0.3">
      <c r="AN55">
        <v>51</v>
      </c>
      <c r="AO55" s="11">
        <v>16900.73</v>
      </c>
      <c r="AP55" s="9">
        <v>3.0450621591376068</v>
      </c>
    </row>
    <row r="56" spans="40:42" x14ac:dyDescent="0.3">
      <c r="AN56">
        <v>52</v>
      </c>
      <c r="AO56" s="11">
        <v>22488.45</v>
      </c>
      <c r="AP56" s="9">
        <v>3.9041090347143159</v>
      </c>
    </row>
    <row r="57" spans="40:42" x14ac:dyDescent="0.3">
      <c r="AN57">
        <v>53</v>
      </c>
      <c r="AO57" s="11">
        <v>33186.26</v>
      </c>
      <c r="AP57" s="9">
        <v>3.7009787027017476</v>
      </c>
    </row>
    <row r="58" spans="40:42" x14ac:dyDescent="0.3">
      <c r="AN58">
        <v>54</v>
      </c>
      <c r="AO58" s="11">
        <v>20523.689999999999</v>
      </c>
      <c r="AP58" s="9">
        <v>3.573287958251004</v>
      </c>
    </row>
    <row r="59" spans="40:42" x14ac:dyDescent="0.3">
      <c r="AN59">
        <v>55</v>
      </c>
      <c r="AO59" s="11">
        <v>26288.38</v>
      </c>
      <c r="AP59" s="9">
        <v>4.1476248068003736</v>
      </c>
    </row>
    <row r="60" spans="40:42" x14ac:dyDescent="0.3">
      <c r="AN60">
        <v>56</v>
      </c>
      <c r="AO60" s="11">
        <v>35047.31</v>
      </c>
      <c r="AP60" s="9">
        <v>3.2323870928487115</v>
      </c>
    </row>
    <row r="61" spans="40:42" x14ac:dyDescent="0.3">
      <c r="AN61">
        <v>57</v>
      </c>
      <c r="AO61" s="11">
        <v>28934.22</v>
      </c>
      <c r="AP61" s="9">
        <v>3.109930716020604</v>
      </c>
    </row>
    <row r="62" spans="40:42" x14ac:dyDescent="0.3">
      <c r="AN62">
        <v>58</v>
      </c>
      <c r="AO62" s="11">
        <v>23922.48</v>
      </c>
      <c r="AP62" s="9">
        <v>3.6511535634435366</v>
      </c>
    </row>
    <row r="63" spans="40:42" x14ac:dyDescent="0.3">
      <c r="AN63">
        <v>59</v>
      </c>
      <c r="AO63" s="11">
        <v>20211.189999999999</v>
      </c>
      <c r="AP63" s="9">
        <v>3.6714033339035148</v>
      </c>
    </row>
    <row r="64" spans="40:42" x14ac:dyDescent="0.3">
      <c r="AN64">
        <v>60</v>
      </c>
      <c r="AO64" s="11">
        <v>27994.93</v>
      </c>
      <c r="AP64" s="9">
        <v>3.3718372431546793</v>
      </c>
    </row>
    <row r="65" spans="40:42" x14ac:dyDescent="0.3">
      <c r="AN65">
        <v>61</v>
      </c>
      <c r="AO65" s="11">
        <v>28364.84</v>
      </c>
      <c r="AP65" s="9">
        <v>4.1191529533194675</v>
      </c>
    </row>
    <row r="66" spans="40:42" x14ac:dyDescent="0.3">
      <c r="AN66">
        <v>62</v>
      </c>
      <c r="AO66" s="11">
        <v>30469.22</v>
      </c>
      <c r="AP66" s="9">
        <v>3.7786597748748476</v>
      </c>
    </row>
    <row r="67" spans="40:42" x14ac:dyDescent="0.3">
      <c r="AN67">
        <v>63</v>
      </c>
      <c r="AO67" s="11">
        <v>25391.42</v>
      </c>
      <c r="AP67" s="9">
        <v>2.9172153518174468</v>
      </c>
    </row>
    <row r="68" spans="40:42" x14ac:dyDescent="0.3">
      <c r="AN68">
        <v>64</v>
      </c>
      <c r="AO68" s="11">
        <v>33680.199999999997</v>
      </c>
      <c r="AP68" s="9">
        <v>3.1426465456489145</v>
      </c>
    </row>
    <row r="69" spans="40:42" x14ac:dyDescent="0.3">
      <c r="AN69">
        <v>65</v>
      </c>
      <c r="AO69" s="11">
        <v>33032.839999999997</v>
      </c>
      <c r="AP69" s="9">
        <v>3.4276443068923967</v>
      </c>
    </row>
    <row r="70" spans="40:42" x14ac:dyDescent="0.3">
      <c r="AN70">
        <v>66</v>
      </c>
      <c r="AO70" s="11">
        <v>20057.02</v>
      </c>
      <c r="AP70" s="9">
        <v>3.6717735142746628</v>
      </c>
    </row>
    <row r="71" spans="40:42" x14ac:dyDescent="0.3">
      <c r="AN71">
        <v>67</v>
      </c>
      <c r="AO71" s="11">
        <v>26424.42</v>
      </c>
      <c r="AP71" s="9">
        <v>3.4052324855242695</v>
      </c>
    </row>
    <row r="72" spans="40:42" x14ac:dyDescent="0.3">
      <c r="AN72">
        <v>68</v>
      </c>
      <c r="AO72" s="11">
        <v>31100.95</v>
      </c>
      <c r="AP72" s="9">
        <v>3.6619466149521722</v>
      </c>
    </row>
    <row r="73" spans="40:42" x14ac:dyDescent="0.3">
      <c r="AN73">
        <v>69</v>
      </c>
      <c r="AO73" s="11">
        <v>34029.300000000003</v>
      </c>
      <c r="AP73" s="9">
        <v>3.026893620317415</v>
      </c>
    </row>
    <row r="74" spans="40:42" x14ac:dyDescent="0.3">
      <c r="AN74">
        <v>70</v>
      </c>
      <c r="AO74" s="11">
        <v>29470.94</v>
      </c>
      <c r="AP74" s="9">
        <v>3.6732633868885105</v>
      </c>
    </row>
    <row r="75" spans="40:42" x14ac:dyDescent="0.3">
      <c r="AN75">
        <v>71</v>
      </c>
      <c r="AO75" s="11">
        <v>19769.419999999998</v>
      </c>
      <c r="AP75" s="9">
        <v>3.3030319699330821</v>
      </c>
    </row>
    <row r="76" spans="40:42" x14ac:dyDescent="0.3">
      <c r="AN76">
        <v>72</v>
      </c>
      <c r="AO76" s="11">
        <v>29352.28</v>
      </c>
      <c r="AP76" s="9">
        <v>3.1215197798042995</v>
      </c>
    </row>
    <row r="77" spans="40:42" x14ac:dyDescent="0.3">
      <c r="AN77">
        <v>73</v>
      </c>
      <c r="AO77" s="11">
        <v>29244.21</v>
      </c>
      <c r="AP77" s="9">
        <v>3.4809376291710947</v>
      </c>
    </row>
    <row r="78" spans="40:42" x14ac:dyDescent="0.3">
      <c r="AN78">
        <v>74</v>
      </c>
      <c r="AO78" s="11">
        <v>32812.46</v>
      </c>
      <c r="AP78" s="9">
        <v>2.8648013373220431</v>
      </c>
    </row>
    <row r="79" spans="40:42" x14ac:dyDescent="0.3">
      <c r="AN79">
        <v>75</v>
      </c>
      <c r="AO79" s="11">
        <v>38642.839999999997</v>
      </c>
      <c r="AP79" s="9">
        <v>3.7903883719034304</v>
      </c>
    </row>
    <row r="80" spans="40:42" x14ac:dyDescent="0.3">
      <c r="AN80">
        <v>76</v>
      </c>
      <c r="AO80" s="11">
        <v>26773.72</v>
      </c>
      <c r="AP80" s="9">
        <v>3.6379217613794004</v>
      </c>
    </row>
    <row r="81" spans="40:42" x14ac:dyDescent="0.3">
      <c r="AN81">
        <v>77</v>
      </c>
      <c r="AO81" s="11">
        <v>46012.7</v>
      </c>
      <c r="AP81" s="9">
        <v>4.2401214009066353</v>
      </c>
    </row>
    <row r="82" spans="40:42" x14ac:dyDescent="0.3">
      <c r="AN82">
        <v>78</v>
      </c>
      <c r="AO82" s="11">
        <v>29172.73</v>
      </c>
      <c r="AP82" s="9">
        <v>3.1532443406261792</v>
      </c>
    </row>
    <row r="83" spans="40:42" x14ac:dyDescent="0.3">
      <c r="AN83">
        <v>79</v>
      </c>
      <c r="AO83" s="11">
        <v>22555.65</v>
      </c>
      <c r="AP83" s="9">
        <v>3.0140222816432196</v>
      </c>
    </row>
    <row r="84" spans="40:42" x14ac:dyDescent="0.3">
      <c r="AN84">
        <v>80</v>
      </c>
      <c r="AO84" s="11">
        <v>24253.22</v>
      </c>
      <c r="AP84" s="9">
        <v>3.4071163341160062</v>
      </c>
    </row>
    <row r="85" spans="40:42" x14ac:dyDescent="0.3">
      <c r="AN85">
        <v>81</v>
      </c>
      <c r="AO85" s="11">
        <v>16838.43</v>
      </c>
      <c r="AP85" s="9">
        <v>2.7682310087758277</v>
      </c>
    </row>
    <row r="86" spans="40:42" x14ac:dyDescent="0.3">
      <c r="AN86">
        <v>82</v>
      </c>
      <c r="AO86" s="11">
        <v>44242.73</v>
      </c>
      <c r="AP86" s="9">
        <v>3.6342199160502324</v>
      </c>
    </row>
    <row r="87" spans="40:42" x14ac:dyDescent="0.3">
      <c r="AN87">
        <v>83</v>
      </c>
      <c r="AO87" s="11">
        <v>26606.97</v>
      </c>
      <c r="AP87" s="9">
        <v>3.5543268826668597</v>
      </c>
    </row>
    <row r="88" spans="40:42" x14ac:dyDescent="0.3">
      <c r="AN88">
        <v>84</v>
      </c>
      <c r="AO88" s="11">
        <v>26728.09</v>
      </c>
      <c r="AP88" s="9">
        <v>3.5086138656142674</v>
      </c>
    </row>
    <row r="89" spans="40:42" x14ac:dyDescent="0.3">
      <c r="AN89">
        <v>85</v>
      </c>
      <c r="AO89" s="11">
        <v>23497.439999999999</v>
      </c>
      <c r="AP89" s="9">
        <v>2.7415497795723796</v>
      </c>
    </row>
    <row r="90" spans="40:42" x14ac:dyDescent="0.3">
      <c r="AN90">
        <v>86</v>
      </c>
      <c r="AO90" s="11">
        <v>26566.58</v>
      </c>
      <c r="AP90" s="9">
        <v>3.8757838104669586</v>
      </c>
    </row>
    <row r="91" spans="40:42" x14ac:dyDescent="0.3">
      <c r="AN91">
        <v>87</v>
      </c>
      <c r="AO91" s="11">
        <v>48895.92</v>
      </c>
      <c r="AP91" s="9">
        <v>4.097038029222305</v>
      </c>
    </row>
    <row r="92" spans="40:42" x14ac:dyDescent="0.3">
      <c r="AN92">
        <v>88</v>
      </c>
      <c r="AO92" s="11">
        <v>33909.43</v>
      </c>
      <c r="AP92" s="9">
        <v>3.4226396368455374</v>
      </c>
    </row>
    <row r="93" spans="40:42" x14ac:dyDescent="0.3">
      <c r="AN93">
        <v>89</v>
      </c>
      <c r="AO93" s="11">
        <v>17550.68</v>
      </c>
      <c r="AP93" s="9">
        <v>2.7012889178142294</v>
      </c>
    </row>
    <row r="94" spans="40:42" x14ac:dyDescent="0.3">
      <c r="AN94">
        <v>90</v>
      </c>
      <c r="AO94" s="11">
        <v>40764.68</v>
      </c>
      <c r="AP94" s="9">
        <v>3.9372269593159661</v>
      </c>
    </row>
    <row r="95" spans="40:42" x14ac:dyDescent="0.3">
      <c r="AN95">
        <v>91</v>
      </c>
      <c r="AO95" s="11">
        <v>25299.19</v>
      </c>
      <c r="AP95" s="9">
        <v>3.1916882380015563</v>
      </c>
    </row>
    <row r="96" spans="40:42" x14ac:dyDescent="0.3">
      <c r="AN96">
        <v>92</v>
      </c>
      <c r="AO96" s="11">
        <v>23782.29</v>
      </c>
      <c r="AP96" s="9">
        <v>2.9287084965167569</v>
      </c>
    </row>
    <row r="97" spans="40:42" x14ac:dyDescent="0.3">
      <c r="AN97">
        <v>93</v>
      </c>
      <c r="AO97" s="11">
        <v>26077.27</v>
      </c>
      <c r="AP97" s="9">
        <v>3.3988577634064532</v>
      </c>
    </row>
    <row r="98" spans="40:42" x14ac:dyDescent="0.3">
      <c r="AN98">
        <v>94</v>
      </c>
      <c r="AO98" s="11">
        <v>28141.14</v>
      </c>
      <c r="AP98" s="9">
        <v>3.1746095100896294</v>
      </c>
    </row>
    <row r="99" spans="40:42" x14ac:dyDescent="0.3">
      <c r="AN99">
        <v>95</v>
      </c>
      <c r="AO99" s="11">
        <v>35342.42</v>
      </c>
      <c r="AP99" s="9">
        <v>2.9457685815874286</v>
      </c>
    </row>
    <row r="100" spans="40:42" x14ac:dyDescent="0.3">
      <c r="AN100">
        <v>96</v>
      </c>
      <c r="AO100" s="11">
        <v>21775.29</v>
      </c>
      <c r="AP100" s="9">
        <v>4.3203625450782654</v>
      </c>
    </row>
    <row r="101" spans="40:42" x14ac:dyDescent="0.3">
      <c r="AN101">
        <v>97</v>
      </c>
      <c r="AO101" s="11">
        <v>16509.419999999998</v>
      </c>
      <c r="AP101" s="9">
        <v>3.1656270902423982</v>
      </c>
    </row>
    <row r="102" spans="40:42" x14ac:dyDescent="0.3">
      <c r="AN102">
        <v>98</v>
      </c>
      <c r="AO102" s="11">
        <v>21508.58</v>
      </c>
      <c r="AP102" s="9">
        <v>2.9339488426838325</v>
      </c>
    </row>
    <row r="103" spans="40:42" x14ac:dyDescent="0.3">
      <c r="AN103">
        <v>99</v>
      </c>
      <c r="AO103" s="11">
        <v>20830.13</v>
      </c>
      <c r="AP103" s="9">
        <v>3.2854110251668072</v>
      </c>
    </row>
    <row r="104" spans="40:42" x14ac:dyDescent="0.3">
      <c r="AN104">
        <v>100</v>
      </c>
      <c r="AO104" s="11">
        <v>24142.82</v>
      </c>
      <c r="AP104" s="9">
        <v>3.2362294114809136</v>
      </c>
    </row>
    <row r="105" spans="40:42" x14ac:dyDescent="0.3">
      <c r="AN105">
        <v>101</v>
      </c>
      <c r="AO105" s="11">
        <v>15502.51</v>
      </c>
      <c r="AP105" s="9">
        <v>2.9606500809648026</v>
      </c>
    </row>
    <row r="106" spans="40:42" x14ac:dyDescent="0.3">
      <c r="AN106">
        <v>102</v>
      </c>
      <c r="AO106" s="11">
        <v>21759.97</v>
      </c>
      <c r="AP106" s="9">
        <v>3.8665591387511866</v>
      </c>
    </row>
    <row r="107" spans="40:42" x14ac:dyDescent="0.3">
      <c r="AN107">
        <v>103</v>
      </c>
      <c r="AO107" s="11">
        <v>30017.11</v>
      </c>
      <c r="AP107" s="9">
        <v>3.103955394538775</v>
      </c>
    </row>
    <row r="108" spans="40:42" x14ac:dyDescent="0.3">
      <c r="AN108">
        <v>104</v>
      </c>
      <c r="AO108" s="11">
        <v>27892.28</v>
      </c>
      <c r="AP108" s="9">
        <v>4.182731099220045</v>
      </c>
    </row>
    <row r="109" spans="40:42" x14ac:dyDescent="0.3">
      <c r="AN109">
        <v>105</v>
      </c>
      <c r="AO109" s="11">
        <v>22611.77</v>
      </c>
      <c r="AP109" s="9">
        <v>3.1318835593204821</v>
      </c>
    </row>
    <row r="110" spans="40:42" x14ac:dyDescent="0.3">
      <c r="AN110">
        <v>106</v>
      </c>
      <c r="AO110" s="11">
        <v>17858.25</v>
      </c>
      <c r="AP110" s="9">
        <v>3.316024429378932</v>
      </c>
    </row>
    <row r="111" spans="40:42" x14ac:dyDescent="0.3">
      <c r="AN111">
        <v>107</v>
      </c>
      <c r="AO111" s="11">
        <v>23312.18</v>
      </c>
      <c r="AP111" s="9">
        <v>2.7724932403984783</v>
      </c>
    </row>
    <row r="112" spans="40:42" x14ac:dyDescent="0.3">
      <c r="AN112">
        <v>108</v>
      </c>
      <c r="AO112" s="11">
        <v>38720.82</v>
      </c>
      <c r="AP112" s="9">
        <v>4.4436575379628405</v>
      </c>
    </row>
    <row r="113" spans="40:42" x14ac:dyDescent="0.3">
      <c r="AN113">
        <v>109</v>
      </c>
      <c r="AO113" s="11">
        <v>39279.440000000002</v>
      </c>
      <c r="AP113" s="9">
        <v>3.0639714202126576</v>
      </c>
    </row>
    <row r="114" spans="40:42" x14ac:dyDescent="0.3">
      <c r="AN114">
        <v>110</v>
      </c>
      <c r="AO114" s="11">
        <v>32248.39</v>
      </c>
      <c r="AP114" s="9">
        <v>3.2568217687100951</v>
      </c>
    </row>
    <row r="115" spans="40:42" x14ac:dyDescent="0.3">
      <c r="AN115">
        <v>111</v>
      </c>
      <c r="AO115" s="11">
        <v>26019.439999999999</v>
      </c>
      <c r="AP115" s="9">
        <v>3.0720755023111073</v>
      </c>
    </row>
    <row r="116" spans="40:42" x14ac:dyDescent="0.3">
      <c r="AN116">
        <v>112</v>
      </c>
      <c r="AO116" s="11">
        <v>20774.259999999998</v>
      </c>
      <c r="AP116" s="9">
        <v>2.9932287041652006</v>
      </c>
    </row>
    <row r="117" spans="40:42" x14ac:dyDescent="0.3">
      <c r="AN117">
        <v>113</v>
      </c>
      <c r="AO117" s="11">
        <v>21426.93</v>
      </c>
      <c r="AP117" s="9">
        <v>3.2707292759984599</v>
      </c>
    </row>
    <row r="118" spans="40:42" x14ac:dyDescent="0.3">
      <c r="AN118">
        <v>114</v>
      </c>
      <c r="AO118" s="11">
        <v>19719.599999999999</v>
      </c>
      <c r="AP118" s="9">
        <v>3.7884179048704434</v>
      </c>
    </row>
    <row r="119" spans="40:42" x14ac:dyDescent="0.3">
      <c r="AN119">
        <v>115</v>
      </c>
      <c r="AO119" s="11">
        <v>22962.5</v>
      </c>
      <c r="AP119" s="9">
        <v>3.1412680932880828</v>
      </c>
    </row>
    <row r="120" spans="40:42" x14ac:dyDescent="0.3">
      <c r="AN120">
        <v>116</v>
      </c>
      <c r="AO120" s="11">
        <v>13158.16</v>
      </c>
      <c r="AP120" s="9">
        <v>2.9392913285666609</v>
      </c>
    </row>
    <row r="121" spans="40:42" x14ac:dyDescent="0.3">
      <c r="AN121">
        <v>117</v>
      </c>
      <c r="AO121" s="11">
        <v>32281.55</v>
      </c>
      <c r="AP121" s="9">
        <v>3.3757680300464554</v>
      </c>
    </row>
    <row r="122" spans="40:42" x14ac:dyDescent="0.3">
      <c r="AN122">
        <v>118</v>
      </c>
      <c r="AO122" s="11">
        <v>17010.5</v>
      </c>
      <c r="AP122" s="9">
        <v>3.2244488905283171</v>
      </c>
    </row>
    <row r="123" spans="40:42" x14ac:dyDescent="0.3">
      <c r="AN123">
        <v>119</v>
      </c>
      <c r="AO123" s="11">
        <v>26499.74</v>
      </c>
      <c r="AP123" s="9">
        <v>3.9636019099207074</v>
      </c>
    </row>
    <row r="124" spans="40:42" x14ac:dyDescent="0.3">
      <c r="AN124">
        <v>120</v>
      </c>
      <c r="AO124" s="11">
        <v>20652.63</v>
      </c>
      <c r="AP124" s="9">
        <v>3.7450870695764205</v>
      </c>
    </row>
    <row r="125" spans="40:42" x14ac:dyDescent="0.3">
      <c r="AN125">
        <v>121</v>
      </c>
      <c r="AO125" s="11">
        <v>22710.34</v>
      </c>
      <c r="AP125" s="9">
        <v>2.958721992552892</v>
      </c>
    </row>
    <row r="126" spans="40:42" x14ac:dyDescent="0.3">
      <c r="AN126">
        <v>122</v>
      </c>
      <c r="AO126" s="11">
        <v>25664.25</v>
      </c>
      <c r="AP126" s="9">
        <v>3.3340856833892145</v>
      </c>
    </row>
    <row r="127" spans="40:42" x14ac:dyDescent="0.3">
      <c r="AN127">
        <v>123</v>
      </c>
      <c r="AO127" s="11">
        <v>20886.82</v>
      </c>
      <c r="AP127" s="9">
        <v>3.2491277766361342</v>
      </c>
    </row>
    <row r="128" spans="40:42" x14ac:dyDescent="0.3">
      <c r="AN128">
        <v>124</v>
      </c>
      <c r="AO128" s="11">
        <v>31616.57</v>
      </c>
      <c r="AP128" s="9">
        <v>3.4610473660297103</v>
      </c>
    </row>
    <row r="129" spans="40:42" x14ac:dyDescent="0.3">
      <c r="AN129">
        <v>125</v>
      </c>
      <c r="AO129" s="11">
        <v>27424.06</v>
      </c>
      <c r="AP129" s="9">
        <v>4.0839292987155913</v>
      </c>
    </row>
    <row r="130" spans="40:42" x14ac:dyDescent="0.3">
      <c r="AN130">
        <v>126</v>
      </c>
      <c r="AO130" s="11">
        <v>29509.5</v>
      </c>
      <c r="AP130" s="9">
        <v>3.6996370092746811</v>
      </c>
    </row>
    <row r="131" spans="40:42" x14ac:dyDescent="0.3">
      <c r="AN131">
        <v>127</v>
      </c>
      <c r="AO131" s="11">
        <v>53848.41</v>
      </c>
      <c r="AP131" s="9">
        <v>3.7205267047326491</v>
      </c>
    </row>
    <row r="132" spans="40:42" x14ac:dyDescent="0.3">
      <c r="AN132">
        <v>128</v>
      </c>
      <c r="AO132" s="11">
        <v>38663.339999999997</v>
      </c>
      <c r="AP132" s="9">
        <v>3.3357354842863871</v>
      </c>
    </row>
    <row r="133" spans="40:42" x14ac:dyDescent="0.3">
      <c r="AN133">
        <v>129</v>
      </c>
      <c r="AO133" s="11">
        <v>25518.09</v>
      </c>
      <c r="AP133" s="9">
        <v>3.4520691021328043</v>
      </c>
    </row>
    <row r="134" spans="40:42" x14ac:dyDescent="0.3">
      <c r="AN134">
        <v>130</v>
      </c>
      <c r="AO134" s="11">
        <v>25904.01</v>
      </c>
      <c r="AP134" s="9">
        <v>3.3245122502500335</v>
      </c>
    </row>
    <row r="135" spans="40:42" x14ac:dyDescent="0.3">
      <c r="AN135">
        <v>131</v>
      </c>
      <c r="AO135" s="11">
        <v>35203.360000000001</v>
      </c>
      <c r="AP135" s="9">
        <v>3.510081817942837</v>
      </c>
    </row>
    <row r="136" spans="40:42" x14ac:dyDescent="0.3">
      <c r="AN136">
        <v>132</v>
      </c>
      <c r="AO136" s="11">
        <v>18749.97</v>
      </c>
      <c r="AP136" s="9">
        <v>3.11868345724913</v>
      </c>
    </row>
    <row r="137" spans="40:42" x14ac:dyDescent="0.3">
      <c r="AN137">
        <v>133</v>
      </c>
      <c r="AO137" s="11">
        <v>25973.97</v>
      </c>
      <c r="AP137" s="9">
        <v>3.4284611764087765</v>
      </c>
    </row>
    <row r="138" spans="40:42" x14ac:dyDescent="0.3">
      <c r="AN138">
        <v>134</v>
      </c>
      <c r="AO138" s="11">
        <v>30921.03</v>
      </c>
      <c r="AP138" s="9">
        <v>3.22969059267187</v>
      </c>
    </row>
    <row r="139" spans="40:42" x14ac:dyDescent="0.3">
      <c r="AN139">
        <v>135</v>
      </c>
      <c r="AO139" s="11">
        <v>29398.31</v>
      </c>
      <c r="AP139" s="9">
        <v>3.5685615357768579</v>
      </c>
    </row>
    <row r="140" spans="40:42" x14ac:dyDescent="0.3">
      <c r="AN140">
        <v>136</v>
      </c>
      <c r="AO140" s="11">
        <v>38335.949999999997</v>
      </c>
      <c r="AP140" s="9">
        <v>4.2412940326920836</v>
      </c>
    </row>
    <row r="141" spans="40:42" x14ac:dyDescent="0.3">
      <c r="AN141">
        <v>137</v>
      </c>
      <c r="AO141" s="11">
        <v>28364.94</v>
      </c>
      <c r="AP141" s="9">
        <v>3.7492699125940843</v>
      </c>
    </row>
    <row r="142" spans="40:42" x14ac:dyDescent="0.3">
      <c r="AN142">
        <v>138</v>
      </c>
      <c r="AO142" s="11">
        <v>22713.68</v>
      </c>
      <c r="AP142" s="9">
        <v>2.9239512570881669</v>
      </c>
    </row>
    <row r="143" spans="40:42" x14ac:dyDescent="0.3">
      <c r="AN143">
        <v>139</v>
      </c>
      <c r="AO143" s="11">
        <v>38875.360000000001</v>
      </c>
      <c r="AP143" s="9">
        <v>3.6696185768365317</v>
      </c>
    </row>
    <row r="144" spans="40:42" x14ac:dyDescent="0.3">
      <c r="AN144">
        <v>140</v>
      </c>
      <c r="AO144" s="11">
        <v>25415.24</v>
      </c>
      <c r="AP144" s="9">
        <v>2.8730064089595486</v>
      </c>
    </row>
    <row r="145" spans="40:42" x14ac:dyDescent="0.3">
      <c r="AN145">
        <v>141</v>
      </c>
      <c r="AO145" s="11">
        <v>26868.04</v>
      </c>
      <c r="AP145" s="9">
        <v>3.1348784098048217</v>
      </c>
    </row>
    <row r="146" spans="40:42" x14ac:dyDescent="0.3">
      <c r="AN146">
        <v>142</v>
      </c>
      <c r="AO146" s="11">
        <v>22357.25</v>
      </c>
      <c r="AP146" s="9">
        <v>3.317742931709478</v>
      </c>
    </row>
    <row r="147" spans="40:42" x14ac:dyDescent="0.3">
      <c r="AN147">
        <v>143</v>
      </c>
      <c r="AO147" s="11">
        <v>28912.7</v>
      </c>
      <c r="AP147" s="9">
        <v>4.0162779518477816</v>
      </c>
    </row>
    <row r="148" spans="40:42" x14ac:dyDescent="0.3">
      <c r="AN148">
        <v>144</v>
      </c>
      <c r="AO148" s="11">
        <v>34813.160000000003</v>
      </c>
      <c r="AP148" s="9">
        <v>3.5212009194324825</v>
      </c>
    </row>
    <row r="149" spans="40:42" x14ac:dyDescent="0.3">
      <c r="AN149">
        <v>145</v>
      </c>
      <c r="AO149" s="11">
        <v>24676.5</v>
      </c>
      <c r="AP149" s="9">
        <v>3.7950597529121377</v>
      </c>
    </row>
    <row r="150" spans="40:42" x14ac:dyDescent="0.3">
      <c r="AN150">
        <v>146</v>
      </c>
      <c r="AO150" s="11">
        <v>23249.78</v>
      </c>
      <c r="AP150" s="9">
        <v>3.1380509588545902</v>
      </c>
    </row>
    <row r="151" spans="40:42" x14ac:dyDescent="0.3">
      <c r="AN151">
        <v>147</v>
      </c>
      <c r="AO151" s="11">
        <v>34651.120000000003</v>
      </c>
      <c r="AP151" s="9">
        <v>3.886784537569361</v>
      </c>
    </row>
    <row r="152" spans="40:42" x14ac:dyDescent="0.3">
      <c r="AN152">
        <v>148</v>
      </c>
      <c r="AO152" s="11">
        <v>21426.34</v>
      </c>
      <c r="AP152" s="9">
        <v>3.2705904017516798</v>
      </c>
    </row>
    <row r="153" spans="40:42" x14ac:dyDescent="0.3">
      <c r="AN153">
        <v>149</v>
      </c>
      <c r="AO153" s="11">
        <v>33599.1</v>
      </c>
      <c r="AP153" s="9">
        <v>3.6061289695850562</v>
      </c>
    </row>
    <row r="154" spans="40:42" x14ac:dyDescent="0.3">
      <c r="AN154">
        <v>150</v>
      </c>
      <c r="AO154" s="11">
        <v>21808.3</v>
      </c>
      <c r="AP154" s="9">
        <v>3.2656142190502027</v>
      </c>
    </row>
    <row r="155" spans="40:42" x14ac:dyDescent="0.3">
      <c r="AN155">
        <v>151</v>
      </c>
      <c r="AO155" s="11">
        <v>23273.18</v>
      </c>
      <c r="AP155" s="9">
        <v>4.096164426905502</v>
      </c>
    </row>
    <row r="156" spans="40:42" x14ac:dyDescent="0.3">
      <c r="AN156">
        <v>152</v>
      </c>
      <c r="AO156" s="11">
        <v>34594.57</v>
      </c>
      <c r="AP156" s="9">
        <v>3.152178111922967</v>
      </c>
    </row>
    <row r="157" spans="40:42" x14ac:dyDescent="0.3">
      <c r="AN157">
        <v>153</v>
      </c>
      <c r="AO157" s="11">
        <v>32833.64</v>
      </c>
      <c r="AP157" s="9">
        <v>3.634690551130709</v>
      </c>
    </row>
    <row r="158" spans="40:42" x14ac:dyDescent="0.3">
      <c r="AN158">
        <v>154</v>
      </c>
      <c r="AO158" s="11">
        <v>49226.78</v>
      </c>
      <c r="AP158" s="9">
        <v>4.2051116452083726</v>
      </c>
    </row>
    <row r="159" spans="40:42" x14ac:dyDescent="0.3">
      <c r="AN159">
        <v>155</v>
      </c>
      <c r="AO159" s="11">
        <v>33618.160000000003</v>
      </c>
      <c r="AP159" s="9">
        <v>3.3225297821578708</v>
      </c>
    </row>
    <row r="160" spans="40:42" x14ac:dyDescent="0.3">
      <c r="AN160">
        <v>156</v>
      </c>
      <c r="AO160" s="11">
        <v>28524.67</v>
      </c>
      <c r="AP160" s="9">
        <v>3.1676790652145388</v>
      </c>
    </row>
    <row r="161" spans="40:42" x14ac:dyDescent="0.3">
      <c r="AN161">
        <v>157</v>
      </c>
      <c r="AO161" s="11">
        <v>27509.83</v>
      </c>
      <c r="AP161" s="9">
        <v>3.0770959783435217</v>
      </c>
    </row>
    <row r="162" spans="40:42" x14ac:dyDescent="0.3">
      <c r="AN162">
        <v>158</v>
      </c>
      <c r="AO162" s="11">
        <v>28172.89</v>
      </c>
      <c r="AP162" s="9">
        <v>3.9549875743960361</v>
      </c>
    </row>
    <row r="163" spans="40:42" x14ac:dyDescent="0.3">
      <c r="AN163">
        <v>159</v>
      </c>
      <c r="AO163" s="11">
        <v>32750.68</v>
      </c>
      <c r="AP163" s="9">
        <v>3.4659162912594561</v>
      </c>
    </row>
    <row r="164" spans="40:42" x14ac:dyDescent="0.3">
      <c r="AN164">
        <v>160</v>
      </c>
      <c r="AO164" s="11">
        <v>19586.8</v>
      </c>
      <c r="AP164" s="9">
        <v>3.071539068363446</v>
      </c>
    </row>
    <row r="165" spans="40:42" x14ac:dyDescent="0.3">
      <c r="AN165">
        <v>161</v>
      </c>
      <c r="AO165" s="11">
        <v>28535.49</v>
      </c>
      <c r="AP165" s="9">
        <v>3.7733708755531641</v>
      </c>
    </row>
    <row r="166" spans="40:42" x14ac:dyDescent="0.3">
      <c r="AN166">
        <v>162</v>
      </c>
      <c r="AO166" s="11">
        <v>28635.49</v>
      </c>
      <c r="AP166" s="9">
        <v>3.7554260630960452</v>
      </c>
    </row>
    <row r="167" spans="40:42" x14ac:dyDescent="0.3">
      <c r="AN167">
        <v>163</v>
      </c>
      <c r="AO167" s="11">
        <v>24614.99</v>
      </c>
      <c r="AP167" s="9">
        <v>3.3914122912002038</v>
      </c>
    </row>
    <row r="168" spans="40:42" x14ac:dyDescent="0.3">
      <c r="AN168">
        <v>164</v>
      </c>
      <c r="AO168" s="11">
        <v>16557.55</v>
      </c>
      <c r="AP168" s="9">
        <v>3.3476213562473824</v>
      </c>
    </row>
    <row r="169" spans="40:42" x14ac:dyDescent="0.3">
      <c r="AN169">
        <v>165</v>
      </c>
      <c r="AO169" s="11">
        <v>19228.53</v>
      </c>
      <c r="AP169" s="9">
        <v>2.9415979026905501</v>
      </c>
    </row>
    <row r="170" spans="40:42" x14ac:dyDescent="0.3">
      <c r="AN170">
        <v>166</v>
      </c>
      <c r="AO170" s="11">
        <v>31147.54</v>
      </c>
      <c r="AP170" s="9">
        <v>3.6442722836962278</v>
      </c>
    </row>
    <row r="171" spans="40:42" x14ac:dyDescent="0.3">
      <c r="AN171">
        <v>167</v>
      </c>
      <c r="AO171" s="11">
        <v>22488.39</v>
      </c>
      <c r="AP171" s="9">
        <v>2.9812670776496426</v>
      </c>
    </row>
    <row r="172" spans="40:42" x14ac:dyDescent="0.3">
      <c r="AN172">
        <v>168</v>
      </c>
      <c r="AO172" s="11">
        <v>35855.64</v>
      </c>
      <c r="AP172" s="9">
        <v>3.0837608153394536</v>
      </c>
    </row>
    <row r="173" spans="40:42" x14ac:dyDescent="0.3">
      <c r="AN173">
        <v>169</v>
      </c>
      <c r="AO173" s="11">
        <v>21449.58</v>
      </c>
      <c r="AP173" s="9">
        <v>3.0906352603460507</v>
      </c>
    </row>
    <row r="174" spans="40:42" x14ac:dyDescent="0.3">
      <c r="AN174">
        <v>170</v>
      </c>
      <c r="AO174" s="11">
        <v>26780.38</v>
      </c>
      <c r="AP174" s="9">
        <v>3.5282703844912189</v>
      </c>
    </row>
    <row r="175" spans="40:42" x14ac:dyDescent="0.3">
      <c r="AN175">
        <v>171</v>
      </c>
      <c r="AO175" s="11">
        <v>29100.81</v>
      </c>
      <c r="AP175" s="9">
        <v>3.7053767940331768</v>
      </c>
    </row>
    <row r="176" spans="40:42" x14ac:dyDescent="0.3">
      <c r="AN176">
        <v>172</v>
      </c>
      <c r="AO176" s="11">
        <v>23977.360000000001</v>
      </c>
      <c r="AP176" s="9">
        <v>3.685044463620025</v>
      </c>
    </row>
    <row r="177" spans="40:42" x14ac:dyDescent="0.3">
      <c r="AN177">
        <v>173</v>
      </c>
      <c r="AO177" s="11">
        <v>20804.29</v>
      </c>
      <c r="AP177" s="9">
        <v>3.3675037824514518</v>
      </c>
    </row>
    <row r="178" spans="40:42" x14ac:dyDescent="0.3">
      <c r="AN178">
        <v>174</v>
      </c>
      <c r="AO178" s="11">
        <v>16431.98</v>
      </c>
      <c r="AP178" s="9">
        <v>3.4118451915282106</v>
      </c>
    </row>
    <row r="179" spans="40:42" x14ac:dyDescent="0.3">
      <c r="AN179">
        <v>175</v>
      </c>
      <c r="AO179" s="11">
        <v>37209.29</v>
      </c>
      <c r="AP179" s="9">
        <v>3.2025006043556261</v>
      </c>
    </row>
    <row r="180" spans="40:42" x14ac:dyDescent="0.3">
      <c r="AN180">
        <v>176</v>
      </c>
      <c r="AO180" s="11">
        <v>32459.78</v>
      </c>
      <c r="AP180" s="9">
        <v>3.8884171004139856</v>
      </c>
    </row>
    <row r="181" spans="40:42" x14ac:dyDescent="0.3">
      <c r="AN181">
        <v>177</v>
      </c>
      <c r="AO181" s="11">
        <v>21354.06</v>
      </c>
      <c r="AP181" s="9">
        <v>2.995682454311523</v>
      </c>
    </row>
    <row r="182" spans="40:42" x14ac:dyDescent="0.3">
      <c r="AN182">
        <v>178</v>
      </c>
      <c r="AO182" s="11">
        <v>28412.31</v>
      </c>
      <c r="AP182" s="9">
        <v>3.2216051838735895</v>
      </c>
    </row>
    <row r="183" spans="40:42" x14ac:dyDescent="0.3">
      <c r="AN183">
        <v>179</v>
      </c>
      <c r="AO183" s="11">
        <v>27926.94</v>
      </c>
      <c r="AP183" s="9">
        <v>3.1867756506715019</v>
      </c>
    </row>
    <row r="184" spans="40:42" x14ac:dyDescent="0.3">
      <c r="AN184">
        <v>180</v>
      </c>
      <c r="AO184" s="11">
        <v>24164.85</v>
      </c>
      <c r="AP184" s="9">
        <v>2.9105334470596671</v>
      </c>
    </row>
    <row r="185" spans="40:42" x14ac:dyDescent="0.3">
      <c r="AN185">
        <v>181</v>
      </c>
      <c r="AO185" s="11">
        <v>28123.27</v>
      </c>
      <c r="AP185" s="9">
        <v>3.8858060486835773</v>
      </c>
    </row>
    <row r="186" spans="40:42" x14ac:dyDescent="0.3">
      <c r="AN186">
        <v>182</v>
      </c>
      <c r="AO186" s="11">
        <v>25896.29</v>
      </c>
      <c r="AP186" s="9">
        <v>3.8417198399120025</v>
      </c>
    </row>
    <row r="187" spans="40:42" x14ac:dyDescent="0.3">
      <c r="AN187">
        <v>183</v>
      </c>
      <c r="AO187" s="11">
        <v>23444.3</v>
      </c>
      <c r="AP187" s="9">
        <v>3.3969034969863459</v>
      </c>
    </row>
    <row r="188" spans="40:42" x14ac:dyDescent="0.3">
      <c r="AN188">
        <v>184</v>
      </c>
      <c r="AO188" s="11">
        <v>29632.080000000002</v>
      </c>
      <c r="AP188" s="9">
        <v>2.9598978638481874</v>
      </c>
    </row>
    <row r="189" spans="40:42" x14ac:dyDescent="0.3">
      <c r="AN189">
        <v>185</v>
      </c>
      <c r="AO189" s="11">
        <v>20650.73</v>
      </c>
      <c r="AP189" s="9">
        <v>3.2074787089431842</v>
      </c>
    </row>
    <row r="190" spans="40:42" x14ac:dyDescent="0.3">
      <c r="AN190">
        <v>186</v>
      </c>
      <c r="AO190" s="11">
        <v>24523.07</v>
      </c>
      <c r="AP190" s="9">
        <v>4.2975106556491083</v>
      </c>
    </row>
    <row r="191" spans="40:42" x14ac:dyDescent="0.3">
      <c r="AN191">
        <v>187</v>
      </c>
      <c r="AO191" s="11">
        <v>31538.19</v>
      </c>
      <c r="AP191" s="9">
        <v>3.4303503829182955</v>
      </c>
    </row>
    <row r="192" spans="40:42" x14ac:dyDescent="0.3">
      <c r="AN192">
        <v>188</v>
      </c>
      <c r="AO192" s="11">
        <v>37760.92</v>
      </c>
      <c r="AP192" s="9">
        <v>3.1757597010248619</v>
      </c>
    </row>
    <row r="193" spans="40:42" x14ac:dyDescent="0.3">
      <c r="AN193">
        <v>189</v>
      </c>
      <c r="AO193" s="11">
        <v>39856.57</v>
      </c>
      <c r="AP193" s="9">
        <v>3.9578007033798119</v>
      </c>
    </row>
    <row r="194" spans="40:42" x14ac:dyDescent="0.3">
      <c r="AN194">
        <v>190</v>
      </c>
      <c r="AO194" s="11">
        <v>19651.03</v>
      </c>
      <c r="AP194" s="9">
        <v>3.2290844824808924</v>
      </c>
    </row>
    <row r="195" spans="40:42" x14ac:dyDescent="0.3">
      <c r="AN195">
        <v>191</v>
      </c>
      <c r="AO195" s="11">
        <v>26534.33</v>
      </c>
      <c r="AP195" s="9">
        <v>3.0023898509545774</v>
      </c>
    </row>
    <row r="196" spans="40:42" x14ac:dyDescent="0.3">
      <c r="AN196">
        <v>192</v>
      </c>
      <c r="AO196" s="11">
        <v>32534.3</v>
      </c>
      <c r="AP196" s="9">
        <v>3.6684798928957814</v>
      </c>
    </row>
    <row r="197" spans="40:42" x14ac:dyDescent="0.3">
      <c r="AN197">
        <v>193</v>
      </c>
      <c r="AO197" s="11">
        <v>26710.66</v>
      </c>
      <c r="AP197" s="9">
        <v>3.1903857514389622</v>
      </c>
    </row>
    <row r="198" spans="40:42" x14ac:dyDescent="0.3">
      <c r="AN198">
        <v>194</v>
      </c>
      <c r="AO198" s="11">
        <v>28184.76</v>
      </c>
      <c r="AP198" s="9">
        <v>2.8637561154837141</v>
      </c>
    </row>
    <row r="199" spans="40:42" x14ac:dyDescent="0.3">
      <c r="AN199">
        <v>195</v>
      </c>
      <c r="AO199" s="11">
        <v>23191.72</v>
      </c>
      <c r="AP199" s="9">
        <v>3.7512475883371255</v>
      </c>
    </row>
    <row r="200" spans="40:42" x14ac:dyDescent="0.3">
      <c r="AN200">
        <v>196</v>
      </c>
      <c r="AO200" s="11">
        <v>14164.16</v>
      </c>
      <c r="AP200" s="9">
        <v>2.7935714011379091</v>
      </c>
    </row>
    <row r="201" spans="40:42" x14ac:dyDescent="0.3">
      <c r="AN201">
        <v>197</v>
      </c>
      <c r="AO201" s="11">
        <v>33513.83</v>
      </c>
      <c r="AP201" s="9">
        <v>3.8628013946455262</v>
      </c>
    </row>
    <row r="202" spans="40:42" x14ac:dyDescent="0.3">
      <c r="AN202">
        <v>198</v>
      </c>
      <c r="AO202" s="11">
        <v>27129.200000000001</v>
      </c>
      <c r="AP202" s="9">
        <v>2.9292568329305722</v>
      </c>
    </row>
    <row r="203" spans="40:42" x14ac:dyDescent="0.3">
      <c r="AN203">
        <v>199</v>
      </c>
      <c r="AO203" s="11">
        <v>20210.990000000002</v>
      </c>
      <c r="AP203" s="9">
        <v>2.60985007351589</v>
      </c>
    </row>
    <row r="204" spans="40:42" x14ac:dyDescent="0.3">
      <c r="AN204">
        <v>200</v>
      </c>
      <c r="AO204" s="11">
        <v>32134.67</v>
      </c>
      <c r="AP204" s="9">
        <v>3.3156264245959362</v>
      </c>
    </row>
    <row r="205" spans="40:42" x14ac:dyDescent="0.3">
      <c r="AN205">
        <v>201</v>
      </c>
      <c r="AO205" s="11">
        <v>17166.28</v>
      </c>
      <c r="AP205" s="9">
        <v>3.5694809053164809</v>
      </c>
    </row>
    <row r="206" spans="40:42" x14ac:dyDescent="0.3">
      <c r="AN206">
        <v>202</v>
      </c>
      <c r="AO206" s="11">
        <v>25685.09</v>
      </c>
      <c r="AP206" s="9">
        <v>3.3899355169076282</v>
      </c>
    </row>
    <row r="207" spans="40:42" x14ac:dyDescent="0.3">
      <c r="AN207">
        <v>203</v>
      </c>
      <c r="AO207" s="11">
        <v>26419.759999999998</v>
      </c>
      <c r="AP207" s="9">
        <v>3.3326061468319641</v>
      </c>
    </row>
    <row r="208" spans="40:42" x14ac:dyDescent="0.3">
      <c r="AN208">
        <v>204</v>
      </c>
      <c r="AO208" s="11">
        <v>23965.78</v>
      </c>
      <c r="AP208" s="9">
        <v>3.2635848035130719</v>
      </c>
    </row>
    <row r="209" spans="40:42" x14ac:dyDescent="0.3">
      <c r="AN209">
        <v>205</v>
      </c>
      <c r="AO209" s="11">
        <v>31357.17</v>
      </c>
      <c r="AP209" s="9">
        <v>3.6049309653737476</v>
      </c>
    </row>
    <row r="210" spans="40:42" x14ac:dyDescent="0.3">
      <c r="AN210">
        <v>206</v>
      </c>
      <c r="AO210" s="11">
        <v>25379.03</v>
      </c>
      <c r="AP210" s="9">
        <v>3.8972979234001786</v>
      </c>
    </row>
    <row r="211" spans="40:42" x14ac:dyDescent="0.3">
      <c r="AN211">
        <v>207</v>
      </c>
      <c r="AO211" s="11">
        <v>21931.21</v>
      </c>
      <c r="AP211" s="9">
        <v>3.1250086444884309</v>
      </c>
    </row>
    <row r="212" spans="40:42" x14ac:dyDescent="0.3">
      <c r="AN212">
        <v>208</v>
      </c>
      <c r="AO212" s="11">
        <v>30020.28</v>
      </c>
      <c r="AP212" s="9">
        <v>4.0258076767599924</v>
      </c>
    </row>
    <row r="213" spans="40:42" x14ac:dyDescent="0.3">
      <c r="AN213">
        <v>209</v>
      </c>
      <c r="AO213" s="11">
        <v>34243.019999999997</v>
      </c>
      <c r="AP213" s="9">
        <v>4.2230514704095592</v>
      </c>
    </row>
    <row r="214" spans="40:42" x14ac:dyDescent="0.3">
      <c r="AN214">
        <v>210</v>
      </c>
      <c r="AO214" s="11">
        <v>31678.68</v>
      </c>
      <c r="AP214" s="9">
        <v>3.6784404293756832</v>
      </c>
    </row>
    <row r="215" spans="40:42" x14ac:dyDescent="0.3">
      <c r="AN215">
        <v>211</v>
      </c>
      <c r="AO215" s="11">
        <v>42994.74</v>
      </c>
      <c r="AP215" s="9">
        <v>4.1311417268142625</v>
      </c>
    </row>
    <row r="216" spans="40:42" x14ac:dyDescent="0.3">
      <c r="AN216">
        <v>212</v>
      </c>
      <c r="AO216" s="11">
        <v>25752.639999999999</v>
      </c>
      <c r="AP216" s="9">
        <v>3.3765868464114557</v>
      </c>
    </row>
    <row r="217" spans="40:42" x14ac:dyDescent="0.3">
      <c r="AN217">
        <v>213</v>
      </c>
      <c r="AO217" s="11">
        <v>31913.33</v>
      </c>
      <c r="AP217" s="9">
        <v>3.3482877434747342</v>
      </c>
    </row>
    <row r="218" spans="40:42" x14ac:dyDescent="0.3">
      <c r="AN218">
        <v>214</v>
      </c>
      <c r="AO218" s="11">
        <v>33789.800000000003</v>
      </c>
      <c r="AP218" s="9">
        <v>3.4048845420136589</v>
      </c>
    </row>
    <row r="219" spans="40:42" x14ac:dyDescent="0.3">
      <c r="AN219">
        <v>215</v>
      </c>
      <c r="AO219" s="11">
        <v>27154.94</v>
      </c>
      <c r="AP219" s="9">
        <v>3.2614272050291548</v>
      </c>
    </row>
    <row r="220" spans="40:42" x14ac:dyDescent="0.3">
      <c r="AN220">
        <v>216</v>
      </c>
      <c r="AO220" s="11">
        <v>31693.99</v>
      </c>
      <c r="AP220" s="9">
        <v>3.5985840056168681</v>
      </c>
    </row>
    <row r="221" spans="40:42" x14ac:dyDescent="0.3">
      <c r="AN221">
        <v>217</v>
      </c>
      <c r="AO221" s="11">
        <v>22411.56</v>
      </c>
      <c r="AP221" s="9">
        <v>2.6571778723721167</v>
      </c>
    </row>
    <row r="222" spans="40:42" x14ac:dyDescent="0.3">
      <c r="AN222">
        <v>218</v>
      </c>
      <c r="AO222" s="11">
        <v>27959.42</v>
      </c>
      <c r="AP222" s="9">
        <v>3.2479625358018471</v>
      </c>
    </row>
    <row r="223" spans="40:42" x14ac:dyDescent="0.3">
      <c r="AN223">
        <v>219</v>
      </c>
      <c r="AO223" s="11">
        <v>38742.769999999997</v>
      </c>
      <c r="AP223" s="9">
        <v>4.0793087961217527</v>
      </c>
    </row>
    <row r="224" spans="40:42" x14ac:dyDescent="0.3">
      <c r="AN224">
        <v>220</v>
      </c>
      <c r="AO224" s="11">
        <v>38018.86</v>
      </c>
      <c r="AP224" s="9">
        <v>3.3574654914034125</v>
      </c>
    </row>
    <row r="225" spans="40:42" x14ac:dyDescent="0.3">
      <c r="AN225">
        <v>221</v>
      </c>
      <c r="AO225" s="11">
        <v>16670.599999999999</v>
      </c>
      <c r="AP225" s="9">
        <v>2.9997846543439826</v>
      </c>
    </row>
    <row r="226" spans="40:42" x14ac:dyDescent="0.3">
      <c r="AN226">
        <v>222</v>
      </c>
      <c r="AO226" s="11">
        <v>28744.32</v>
      </c>
      <c r="AP226" s="9">
        <v>3.6219974629075682</v>
      </c>
    </row>
    <row r="227" spans="40:42" x14ac:dyDescent="0.3">
      <c r="AN227">
        <v>223</v>
      </c>
      <c r="AO227" s="11">
        <v>29231.71</v>
      </c>
      <c r="AP227" s="9">
        <v>3.364219298085851</v>
      </c>
    </row>
    <row r="228" spans="40:42" x14ac:dyDescent="0.3">
      <c r="AN228">
        <v>224</v>
      </c>
      <c r="AO228" s="11">
        <v>22767.62</v>
      </c>
      <c r="AP228" s="9">
        <v>3.4602611029596777</v>
      </c>
    </row>
    <row r="229" spans="40:42" x14ac:dyDescent="0.3">
      <c r="AN229">
        <v>225</v>
      </c>
      <c r="AO229" s="11">
        <v>39644.97</v>
      </c>
      <c r="AP229" s="9">
        <v>4.413303366237967</v>
      </c>
    </row>
    <row r="230" spans="40:42" x14ac:dyDescent="0.3">
      <c r="AN230">
        <v>226</v>
      </c>
      <c r="AO230" s="11">
        <v>25290.69</v>
      </c>
      <c r="AP230" s="9">
        <v>3.16883021219622</v>
      </c>
    </row>
    <row r="231" spans="40:42" x14ac:dyDescent="0.3">
      <c r="AN231">
        <v>227</v>
      </c>
      <c r="AO231" s="11">
        <v>64327.96</v>
      </c>
      <c r="AP231" s="9">
        <v>3.8930588732357778</v>
      </c>
    </row>
    <row r="232" spans="40:42" x14ac:dyDescent="0.3">
      <c r="AN232">
        <v>228</v>
      </c>
      <c r="AO232" s="11">
        <v>31676.37</v>
      </c>
      <c r="AP232" s="9">
        <v>3.6174523156629972</v>
      </c>
    </row>
    <row r="233" spans="40:42" x14ac:dyDescent="0.3">
      <c r="AN233">
        <v>229</v>
      </c>
      <c r="AO233" s="11">
        <v>22092.44</v>
      </c>
      <c r="AP233" s="9">
        <v>3.322918208759019</v>
      </c>
    </row>
    <row r="234" spans="40:42" x14ac:dyDescent="0.3">
      <c r="AN234">
        <v>230</v>
      </c>
      <c r="AO234" s="11">
        <v>20353.39</v>
      </c>
      <c r="AP234" s="9">
        <v>3.6107945800915831</v>
      </c>
    </row>
    <row r="235" spans="40:42" x14ac:dyDescent="0.3">
      <c r="AN235">
        <v>231</v>
      </c>
      <c r="AO235" s="11">
        <v>20344.12</v>
      </c>
      <c r="AP235" s="9">
        <v>3.453649296476367</v>
      </c>
    </row>
    <row r="236" spans="40:42" x14ac:dyDescent="0.3">
      <c r="AN236">
        <v>232</v>
      </c>
      <c r="AO236" s="11">
        <v>33512.35</v>
      </c>
      <c r="AP236" s="9">
        <v>3.6440983616300775</v>
      </c>
    </row>
    <row r="237" spans="40:42" x14ac:dyDescent="0.3">
      <c r="AN237">
        <v>233</v>
      </c>
      <c r="AO237" s="11">
        <v>28199.29</v>
      </c>
      <c r="AP237" s="9">
        <v>3.3187076351328284</v>
      </c>
    </row>
    <row r="238" spans="40:42" x14ac:dyDescent="0.3">
      <c r="AN238">
        <v>234</v>
      </c>
      <c r="AO238" s="11">
        <v>32057.16</v>
      </c>
      <c r="AP238" s="9">
        <v>3.8904907056245674</v>
      </c>
    </row>
    <row r="239" spans="40:42" x14ac:dyDescent="0.3">
      <c r="AN239">
        <v>235</v>
      </c>
      <c r="AO239" s="11">
        <v>20495.2</v>
      </c>
      <c r="AP239" s="9">
        <v>3.2110323881851888</v>
      </c>
    </row>
    <row r="240" spans="40:42" x14ac:dyDescent="0.3">
      <c r="AN240">
        <v>236</v>
      </c>
      <c r="AO240" s="11">
        <v>30927.759999999998</v>
      </c>
      <c r="AP240" s="9">
        <v>2.9166224689600222</v>
      </c>
    </row>
    <row r="241" spans="40:42" x14ac:dyDescent="0.3">
      <c r="AN241">
        <v>237</v>
      </c>
      <c r="AO241" s="11">
        <v>22203.53</v>
      </c>
      <c r="AP241" s="9">
        <v>3.4343476551060204</v>
      </c>
    </row>
    <row r="242" spans="40:42" x14ac:dyDescent="0.3">
      <c r="AN242">
        <v>238</v>
      </c>
      <c r="AO242" s="11">
        <v>34335.42</v>
      </c>
      <c r="AP242" s="9">
        <v>2.7969834596026781</v>
      </c>
    </row>
    <row r="243" spans="40:42" x14ac:dyDescent="0.3">
      <c r="AN243">
        <v>239</v>
      </c>
      <c r="AO243" s="11">
        <v>17657.900000000001</v>
      </c>
      <c r="AP243" s="9">
        <v>3.3096018203519626</v>
      </c>
    </row>
    <row r="244" spans="40:42" x14ac:dyDescent="0.3">
      <c r="AN244">
        <v>240</v>
      </c>
      <c r="AO244" s="11">
        <v>23767.41</v>
      </c>
      <c r="AP244" s="9">
        <v>3.7817716392241363</v>
      </c>
    </row>
    <row r="245" spans="40:42" x14ac:dyDescent="0.3">
      <c r="AN245">
        <v>241</v>
      </c>
      <c r="AO245" s="11">
        <v>26596.400000000001</v>
      </c>
      <c r="AP245" s="9">
        <v>3.8770945554825786</v>
      </c>
    </row>
    <row r="246" spans="40:42" x14ac:dyDescent="0.3">
      <c r="AN246">
        <v>242</v>
      </c>
      <c r="AO246" s="11">
        <v>21249.57</v>
      </c>
      <c r="AP246" s="9">
        <v>2.905328403995775</v>
      </c>
    </row>
    <row r="247" spans="40:42" x14ac:dyDescent="0.3">
      <c r="AN247">
        <v>243</v>
      </c>
      <c r="AO247" s="11">
        <v>32761.61</v>
      </c>
      <c r="AP247" s="9">
        <v>3.6666827920003202</v>
      </c>
    </row>
    <row r="248" spans="40:42" x14ac:dyDescent="0.3">
      <c r="AN248">
        <v>244</v>
      </c>
      <c r="AO248" s="11">
        <v>21422.639999999999</v>
      </c>
      <c r="AP248" s="9">
        <v>3.4338638578161369</v>
      </c>
    </row>
    <row r="249" spans="40:42" x14ac:dyDescent="0.3">
      <c r="AN249">
        <v>245</v>
      </c>
      <c r="AO249" s="11">
        <v>32711.599999999999</v>
      </c>
      <c r="AP249" s="9">
        <v>3.1404220465254187</v>
      </c>
    </row>
    <row r="250" spans="40:42" x14ac:dyDescent="0.3">
      <c r="AN250">
        <v>246</v>
      </c>
      <c r="AO250" s="11">
        <v>21057.8</v>
      </c>
      <c r="AP250" s="9">
        <v>3.1807845597137931</v>
      </c>
    </row>
    <row r="251" spans="40:42" x14ac:dyDescent="0.3">
      <c r="AN251">
        <v>247</v>
      </c>
      <c r="AO251" s="11">
        <v>32038.26</v>
      </c>
      <c r="AP251" s="9">
        <v>3.2276931889308056</v>
      </c>
    </row>
    <row r="252" spans="40:42" x14ac:dyDescent="0.3">
      <c r="AN252">
        <v>248</v>
      </c>
      <c r="AO252" s="11">
        <v>26507.03</v>
      </c>
      <c r="AP252" s="9">
        <v>3.6771489437997005</v>
      </c>
    </row>
    <row r="253" spans="40:42" x14ac:dyDescent="0.3">
      <c r="AN253">
        <v>249</v>
      </c>
      <c r="AO253" s="11">
        <v>21489.78</v>
      </c>
      <c r="AP253" s="9">
        <v>2.8550815538888346</v>
      </c>
    </row>
    <row r="254" spans="40:42" x14ac:dyDescent="0.3">
      <c r="AN254">
        <v>250</v>
      </c>
      <c r="AO254" s="11">
        <v>26495.75</v>
      </c>
      <c r="AP254" s="9">
        <v>3.5860126936521883</v>
      </c>
    </row>
    <row r="255" spans="40:42" x14ac:dyDescent="0.3">
      <c r="AN255">
        <v>251</v>
      </c>
      <c r="AO255" s="11">
        <v>23217</v>
      </c>
      <c r="AP255" s="9">
        <v>3.0204705324005876</v>
      </c>
    </row>
    <row r="256" spans="40:42" x14ac:dyDescent="0.3">
      <c r="AN256">
        <v>252</v>
      </c>
      <c r="AO256" s="11">
        <v>23101.41</v>
      </c>
      <c r="AP256" s="9">
        <v>3.6190808441989222</v>
      </c>
    </row>
    <row r="257" spans="40:42" x14ac:dyDescent="0.3">
      <c r="AN257">
        <v>253</v>
      </c>
      <c r="AO257" s="11">
        <v>29208.97</v>
      </c>
      <c r="AP257" s="9">
        <v>3.4243187054462254</v>
      </c>
    </row>
    <row r="258" spans="40:42" x14ac:dyDescent="0.3">
      <c r="AN258">
        <v>254</v>
      </c>
      <c r="AO258" s="11">
        <v>20745.509999999998</v>
      </c>
      <c r="AP258" s="9">
        <v>3.7260719292556739</v>
      </c>
    </row>
    <row r="259" spans="40:42" x14ac:dyDescent="0.3">
      <c r="AN259">
        <v>255</v>
      </c>
      <c r="AO259" s="11">
        <v>31298.38</v>
      </c>
      <c r="AP259" s="9">
        <v>2.9394474018132497</v>
      </c>
    </row>
    <row r="260" spans="40:42" x14ac:dyDescent="0.3">
      <c r="AN260">
        <v>256</v>
      </c>
      <c r="AO260" s="11">
        <v>32564.78</v>
      </c>
      <c r="AP260" s="9">
        <v>3.3707228092020296</v>
      </c>
    </row>
    <row r="261" spans="40:42" x14ac:dyDescent="0.3">
      <c r="AN261">
        <v>257</v>
      </c>
      <c r="AO261" s="11">
        <v>23227.3</v>
      </c>
      <c r="AP261" s="9">
        <v>3.2002497522488538</v>
      </c>
    </row>
    <row r="262" spans="40:42" x14ac:dyDescent="0.3">
      <c r="AN262">
        <v>258</v>
      </c>
      <c r="AO262" s="11">
        <v>25785.599999999999</v>
      </c>
      <c r="AP262" s="9">
        <v>3.2991453948600933</v>
      </c>
    </row>
    <row r="263" spans="40:42" x14ac:dyDescent="0.3">
      <c r="AN263">
        <v>259</v>
      </c>
      <c r="AO263" s="11">
        <v>24023.37</v>
      </c>
      <c r="AP263" s="9">
        <v>3.4385402295406067</v>
      </c>
    </row>
    <row r="264" spans="40:42" x14ac:dyDescent="0.3">
      <c r="AN264">
        <v>260</v>
      </c>
      <c r="AO264" s="11">
        <v>28577.43</v>
      </c>
      <c r="AP264" s="9">
        <v>2.6857741791936003</v>
      </c>
    </row>
    <row r="265" spans="40:42" x14ac:dyDescent="0.3">
      <c r="AN265">
        <v>261</v>
      </c>
      <c r="AO265" s="11">
        <v>19451.580000000002</v>
      </c>
      <c r="AP265" s="9">
        <v>3.8067220227365777</v>
      </c>
    </row>
    <row r="266" spans="40:42" x14ac:dyDescent="0.3">
      <c r="AN266">
        <v>262</v>
      </c>
      <c r="AO266" s="11">
        <v>23739.15</v>
      </c>
      <c r="AP266" s="9">
        <v>4.1219552140037212</v>
      </c>
    </row>
    <row r="267" spans="40:42" x14ac:dyDescent="0.3">
      <c r="AN267">
        <v>263</v>
      </c>
      <c r="AO267" s="11">
        <v>26070.28</v>
      </c>
      <c r="AP267" s="9">
        <v>3.3806653092581831</v>
      </c>
    </row>
    <row r="268" spans="40:42" x14ac:dyDescent="0.3">
      <c r="AN268">
        <v>264</v>
      </c>
      <c r="AO268" s="11">
        <v>24460.59</v>
      </c>
      <c r="AP268" s="9">
        <v>3.4879752670180313</v>
      </c>
    </row>
    <row r="269" spans="40:42" x14ac:dyDescent="0.3">
      <c r="AN269">
        <v>265</v>
      </c>
      <c r="AO269" s="11">
        <v>37047.54</v>
      </c>
      <c r="AP269" s="9">
        <v>4.1965306056035123</v>
      </c>
    </row>
    <row r="270" spans="40:42" x14ac:dyDescent="0.3">
      <c r="AN270">
        <v>266</v>
      </c>
      <c r="AO270" s="11">
        <v>30554.25</v>
      </c>
      <c r="AP270" s="9">
        <v>3.2042142437088152</v>
      </c>
    </row>
    <row r="271" spans="40:42" x14ac:dyDescent="0.3">
      <c r="AN271">
        <v>267</v>
      </c>
      <c r="AO271" s="11">
        <v>33506.639999999999</v>
      </c>
      <c r="AP271" s="9">
        <v>2.9669646230443982</v>
      </c>
    </row>
    <row r="272" spans="40:42" x14ac:dyDescent="0.3">
      <c r="AN272">
        <v>268</v>
      </c>
      <c r="AO272" s="11">
        <v>24244.2</v>
      </c>
      <c r="AP272" s="9">
        <v>3.9596388426179008</v>
      </c>
    </row>
    <row r="273" spans="40:42" x14ac:dyDescent="0.3">
      <c r="AN273">
        <v>269</v>
      </c>
      <c r="AO273" s="11">
        <v>20890.11</v>
      </c>
      <c r="AP273" s="9">
        <v>3.8298865840582885</v>
      </c>
    </row>
    <row r="274" spans="40:42" x14ac:dyDescent="0.3">
      <c r="AN274">
        <v>270</v>
      </c>
      <c r="AO274" s="11">
        <v>16738.52</v>
      </c>
      <c r="AP274" s="9">
        <v>2.9509112753214022</v>
      </c>
    </row>
    <row r="275" spans="40:42" x14ac:dyDescent="0.3">
      <c r="AN275">
        <v>271</v>
      </c>
      <c r="AO275" s="11">
        <v>18644.330000000002</v>
      </c>
      <c r="AP275" s="9">
        <v>3.303985790660604</v>
      </c>
    </row>
    <row r="276" spans="40:42" x14ac:dyDescent="0.3">
      <c r="AN276">
        <v>272</v>
      </c>
      <c r="AO276" s="11">
        <v>27988.6</v>
      </c>
      <c r="AP276" s="9">
        <v>3.4039010043432896</v>
      </c>
    </row>
    <row r="277" spans="40:42" x14ac:dyDescent="0.3">
      <c r="AN277">
        <v>273</v>
      </c>
      <c r="AO277" s="11">
        <v>31973.62</v>
      </c>
      <c r="AP277" s="9">
        <v>3.6707989607683169</v>
      </c>
    </row>
    <row r="278" spans="40:42" x14ac:dyDescent="0.3">
      <c r="AN278">
        <v>274</v>
      </c>
      <c r="AO278" s="11">
        <v>21208.36</v>
      </c>
      <c r="AP278" s="9">
        <v>3.5220963389733031</v>
      </c>
    </row>
    <row r="279" spans="40:42" x14ac:dyDescent="0.3">
      <c r="AN279">
        <v>275</v>
      </c>
      <c r="AO279" s="11">
        <v>26149.040000000001</v>
      </c>
      <c r="AP279" s="9">
        <v>2.6723052569315793</v>
      </c>
    </row>
    <row r="280" spans="40:42" x14ac:dyDescent="0.3">
      <c r="AN280">
        <v>276</v>
      </c>
      <c r="AO280" s="11">
        <v>20135.580000000002</v>
      </c>
      <c r="AP280" s="9">
        <v>3.1694971459721457</v>
      </c>
    </row>
    <row r="281" spans="40:42" x14ac:dyDescent="0.3">
      <c r="AN281">
        <v>277</v>
      </c>
      <c r="AO281" s="11">
        <v>20782.46</v>
      </c>
      <c r="AP281" s="9">
        <v>2.7238794193094802</v>
      </c>
    </row>
    <row r="282" spans="40:42" x14ac:dyDescent="0.3">
      <c r="AN282">
        <v>278</v>
      </c>
      <c r="AO282" s="11">
        <v>30587.91</v>
      </c>
      <c r="AP282" s="9">
        <v>3.6232723240521962</v>
      </c>
    </row>
    <row r="283" spans="40:42" x14ac:dyDescent="0.3">
      <c r="AN283">
        <v>279</v>
      </c>
      <c r="AO283" s="11">
        <v>25572.15</v>
      </c>
      <c r="AP283" s="9">
        <v>2.9014492457408472</v>
      </c>
    </row>
    <row r="284" spans="40:42" x14ac:dyDescent="0.3">
      <c r="AN284">
        <v>280</v>
      </c>
      <c r="AO284" s="11">
        <v>21075.040000000001</v>
      </c>
      <c r="AP284" s="9">
        <v>2.8704272643385398</v>
      </c>
    </row>
    <row r="285" spans="40:42" x14ac:dyDescent="0.3">
      <c r="AN285">
        <v>281</v>
      </c>
      <c r="AO285" s="11">
        <v>26921.21</v>
      </c>
      <c r="AP285" s="9">
        <v>3.5789966864562781</v>
      </c>
    </row>
    <row r="286" spans="40:42" x14ac:dyDescent="0.3">
      <c r="AN286">
        <v>282</v>
      </c>
      <c r="AO286" s="11">
        <v>21026.67</v>
      </c>
      <c r="AP286" s="9">
        <v>3.5684517041027264</v>
      </c>
    </row>
    <row r="287" spans="40:42" x14ac:dyDescent="0.3">
      <c r="AN287">
        <v>283</v>
      </c>
      <c r="AO287" s="11">
        <v>23359.62</v>
      </c>
      <c r="AP287" s="9">
        <v>3.0260291861157889</v>
      </c>
    </row>
    <row r="288" spans="40:42" x14ac:dyDescent="0.3">
      <c r="AN288">
        <v>284</v>
      </c>
      <c r="AO288" s="11">
        <v>39266.22</v>
      </c>
      <c r="AP288" s="9">
        <v>3.2197047227763371</v>
      </c>
    </row>
    <row r="289" spans="40:42" x14ac:dyDescent="0.3">
      <c r="AN289">
        <v>285</v>
      </c>
      <c r="AO289" s="11">
        <v>33915.06</v>
      </c>
      <c r="AP289" s="9">
        <v>4.1584960037609511</v>
      </c>
    </row>
    <row r="290" spans="40:42" x14ac:dyDescent="0.3">
      <c r="AN290">
        <v>286</v>
      </c>
      <c r="AO290" s="11">
        <v>31069.279999999999</v>
      </c>
      <c r="AP290" s="9">
        <v>3.4702198193709939</v>
      </c>
    </row>
    <row r="291" spans="40:42" x14ac:dyDescent="0.3">
      <c r="AN291">
        <v>287</v>
      </c>
      <c r="AO291" s="11">
        <v>19105.240000000002</v>
      </c>
      <c r="AP291" s="9">
        <v>3.55347993523241</v>
      </c>
    </row>
    <row r="292" spans="40:42" x14ac:dyDescent="0.3">
      <c r="AN292">
        <v>288</v>
      </c>
      <c r="AO292" s="11">
        <v>22829.78</v>
      </c>
      <c r="AP292" s="9">
        <v>2.8450207068198416</v>
      </c>
    </row>
    <row r="293" spans="40:42" x14ac:dyDescent="0.3">
      <c r="AN293">
        <v>289</v>
      </c>
      <c r="AO293" s="11">
        <v>28709.03</v>
      </c>
      <c r="AP293" s="9">
        <v>3.2907354933611734</v>
      </c>
    </row>
    <row r="294" spans="40:42" x14ac:dyDescent="0.3">
      <c r="AN294">
        <v>290</v>
      </c>
      <c r="AO294" s="11">
        <v>29378.91</v>
      </c>
      <c r="AP294" s="9">
        <v>3.8550612505698045</v>
      </c>
    </row>
    <row r="295" spans="40:42" x14ac:dyDescent="0.3">
      <c r="AN295">
        <v>291</v>
      </c>
      <c r="AO295" s="11">
        <v>29656.37</v>
      </c>
      <c r="AP295" s="9">
        <v>3.9588797155439193</v>
      </c>
    </row>
    <row r="296" spans="40:42" x14ac:dyDescent="0.3">
      <c r="AN296">
        <v>292</v>
      </c>
      <c r="AO296" s="11">
        <v>33457.660000000003</v>
      </c>
      <c r="AP296" s="9">
        <v>4.4369730568637262</v>
      </c>
    </row>
    <row r="297" spans="40:42" x14ac:dyDescent="0.3">
      <c r="AN297">
        <v>293</v>
      </c>
      <c r="AO297" s="11">
        <v>34783.85</v>
      </c>
      <c r="AP297" s="9">
        <v>3.7746017478381844</v>
      </c>
    </row>
    <row r="298" spans="40:42" x14ac:dyDescent="0.3">
      <c r="AN298">
        <v>294</v>
      </c>
      <c r="AO298" s="11">
        <v>19728.61</v>
      </c>
      <c r="AP298" s="9">
        <v>3.1087779635748647</v>
      </c>
    </row>
    <row r="299" spans="40:42" x14ac:dyDescent="0.3">
      <c r="AN299">
        <v>295</v>
      </c>
      <c r="AO299" s="11">
        <v>22189.84</v>
      </c>
      <c r="AP299" s="9">
        <v>4.0905561050143762</v>
      </c>
    </row>
    <row r="300" spans="40:42" x14ac:dyDescent="0.3">
      <c r="AN300">
        <v>296</v>
      </c>
      <c r="AO300" s="11">
        <v>18160.54</v>
      </c>
      <c r="AP300" s="9">
        <v>3.6681602017266113</v>
      </c>
    </row>
    <row r="301" spans="40:42" x14ac:dyDescent="0.3">
      <c r="AN301">
        <v>297</v>
      </c>
      <c r="AO301" s="11">
        <v>22226.92</v>
      </c>
      <c r="AP301" s="9">
        <v>2.8118946625162464</v>
      </c>
    </row>
    <row r="302" spans="40:42" x14ac:dyDescent="0.3">
      <c r="AN302">
        <v>298</v>
      </c>
      <c r="AO302" s="11">
        <v>23768.23</v>
      </c>
      <c r="AP302" s="9">
        <v>3.5847780890080383</v>
      </c>
    </row>
    <row r="303" spans="40:42" x14ac:dyDescent="0.3">
      <c r="AN303">
        <v>299</v>
      </c>
      <c r="AO303" s="11">
        <v>22872.9</v>
      </c>
      <c r="AP303" s="9">
        <v>3.0168680952123936</v>
      </c>
    </row>
    <row r="304" spans="40:42" x14ac:dyDescent="0.3">
      <c r="AN304">
        <v>300</v>
      </c>
      <c r="AO304" s="11">
        <v>21729.5</v>
      </c>
      <c r="AP304" s="9">
        <v>3.9728149501724745</v>
      </c>
    </row>
    <row r="305" spans="40:42" x14ac:dyDescent="0.3">
      <c r="AN305">
        <v>301</v>
      </c>
      <c r="AO305" s="11">
        <v>29964.47</v>
      </c>
      <c r="AP305" s="9">
        <v>3.3129341565912642</v>
      </c>
    </row>
    <row r="306" spans="40:42" x14ac:dyDescent="0.3">
      <c r="AN306">
        <v>302</v>
      </c>
      <c r="AO306" s="11">
        <v>19338.349999999999</v>
      </c>
      <c r="AP306" s="9">
        <v>3.5714805162730121</v>
      </c>
    </row>
    <row r="307" spans="40:42" x14ac:dyDescent="0.3">
      <c r="AN307">
        <v>303</v>
      </c>
      <c r="AO307" s="11">
        <v>33140.870000000003</v>
      </c>
      <c r="AP307" s="9">
        <v>3.7691443391651052</v>
      </c>
    </row>
    <row r="308" spans="40:42" x14ac:dyDescent="0.3">
      <c r="AN308">
        <v>304</v>
      </c>
      <c r="AO308" s="11">
        <v>34884.9</v>
      </c>
      <c r="AP308" s="9">
        <v>3.3073816194363301</v>
      </c>
    </row>
    <row r="309" spans="40:42" x14ac:dyDescent="0.3">
      <c r="AN309">
        <v>305</v>
      </c>
      <c r="AO309" s="11">
        <v>22059</v>
      </c>
      <c r="AP309" s="9">
        <v>3.4804949303290478</v>
      </c>
    </row>
    <row r="310" spans="40:42" x14ac:dyDescent="0.3">
      <c r="AN310">
        <v>306</v>
      </c>
      <c r="AO310" s="11">
        <v>25493.34</v>
      </c>
      <c r="AP310" s="9">
        <v>2.9285865085561458</v>
      </c>
    </row>
    <row r="311" spans="40:42" x14ac:dyDescent="0.3">
      <c r="AN311">
        <v>307</v>
      </c>
      <c r="AO311" s="11">
        <v>25796.07</v>
      </c>
      <c r="AP311" s="9">
        <v>3.4402551839396827</v>
      </c>
    </row>
    <row r="312" spans="40:42" x14ac:dyDescent="0.3">
      <c r="AN312">
        <v>308</v>
      </c>
      <c r="AO312" s="11">
        <v>24693.57</v>
      </c>
      <c r="AP312" s="9">
        <v>3.2396280794956689</v>
      </c>
    </row>
    <row r="313" spans="40:42" x14ac:dyDescent="0.3">
      <c r="AN313">
        <v>309</v>
      </c>
      <c r="AO313" s="11">
        <v>23834.65</v>
      </c>
      <c r="AP313" s="9">
        <v>3.2839250539313789</v>
      </c>
    </row>
    <row r="314" spans="40:42" x14ac:dyDescent="0.3">
      <c r="AN314">
        <v>310</v>
      </c>
      <c r="AO314" s="11">
        <v>25081.51</v>
      </c>
      <c r="AP314" s="9">
        <v>3.004280468798866</v>
      </c>
    </row>
    <row r="315" spans="40:42" x14ac:dyDescent="0.3">
      <c r="AN315">
        <v>311</v>
      </c>
      <c r="AO315" s="11">
        <v>25194.61</v>
      </c>
      <c r="AP315" s="9">
        <v>3.7583730203229155</v>
      </c>
    </row>
    <row r="316" spans="40:42" x14ac:dyDescent="0.3">
      <c r="AN316">
        <v>312</v>
      </c>
      <c r="AO316" s="11">
        <v>31305.27</v>
      </c>
      <c r="AP316" s="9">
        <v>3.7670742906595827</v>
      </c>
    </row>
    <row r="317" spans="40:42" x14ac:dyDescent="0.3">
      <c r="AN317">
        <v>313</v>
      </c>
      <c r="AO317" s="11">
        <v>38976.720000000001</v>
      </c>
      <c r="AP317" s="9">
        <v>4.1178404586178798</v>
      </c>
    </row>
    <row r="318" spans="40:42" x14ac:dyDescent="0.3">
      <c r="AN318">
        <v>314</v>
      </c>
      <c r="AO318" s="11">
        <v>43094.25</v>
      </c>
      <c r="AP318" s="9">
        <v>3.6615998964223477</v>
      </c>
    </row>
    <row r="319" spans="40:42" x14ac:dyDescent="0.3">
      <c r="AN319">
        <v>315</v>
      </c>
      <c r="AO319" s="11">
        <v>21316.76</v>
      </c>
      <c r="AP319" s="9">
        <v>3.1608516197539864</v>
      </c>
    </row>
    <row r="320" spans="40:42" x14ac:dyDescent="0.3">
      <c r="AN320">
        <v>316</v>
      </c>
      <c r="AO320" s="11">
        <v>26621.39</v>
      </c>
      <c r="AP320" s="9">
        <v>3.4878462524379068</v>
      </c>
    </row>
    <row r="321" spans="40:42" x14ac:dyDescent="0.3">
      <c r="AN321">
        <v>317</v>
      </c>
      <c r="AO321" s="11">
        <v>28423.99</v>
      </c>
      <c r="AP321" s="9">
        <v>3.5239529656473665</v>
      </c>
    </row>
    <row r="322" spans="40:42" x14ac:dyDescent="0.3">
      <c r="AN322">
        <v>318</v>
      </c>
      <c r="AO322" s="11">
        <v>28894.47</v>
      </c>
      <c r="AP322" s="9">
        <v>3.3276493890827581</v>
      </c>
    </row>
    <row r="323" spans="40:42" x14ac:dyDescent="0.3">
      <c r="AN323">
        <v>319</v>
      </c>
      <c r="AO323" s="11">
        <v>24562.080000000002</v>
      </c>
      <c r="AP323" s="9">
        <v>3.6643555522460631</v>
      </c>
    </row>
    <row r="324" spans="40:42" x14ac:dyDescent="0.3">
      <c r="AN324">
        <v>320</v>
      </c>
      <c r="AO324" s="11">
        <v>37335.870000000003</v>
      </c>
      <c r="AP324" s="9">
        <v>4.0539828724518037</v>
      </c>
    </row>
    <row r="325" spans="40:42" x14ac:dyDescent="0.3">
      <c r="AN325">
        <v>321</v>
      </c>
      <c r="AO325" s="11">
        <v>32650.36</v>
      </c>
      <c r="AP325" s="9">
        <v>3.4142423029728657</v>
      </c>
    </row>
    <row r="326" spans="40:42" x14ac:dyDescent="0.3">
      <c r="AN326">
        <v>322</v>
      </c>
      <c r="AO326" s="11">
        <v>26757.46</v>
      </c>
      <c r="AP326" s="9">
        <v>3.3065108844915847</v>
      </c>
    </row>
    <row r="327" spans="40:42" x14ac:dyDescent="0.3">
      <c r="AN327">
        <v>323</v>
      </c>
      <c r="AO327" s="11">
        <v>27830.03</v>
      </c>
      <c r="AP327" s="9">
        <v>3.1398118964195412</v>
      </c>
    </row>
    <row r="328" spans="40:42" x14ac:dyDescent="0.3">
      <c r="AN328">
        <v>324</v>
      </c>
      <c r="AO328" s="11">
        <v>30466.71</v>
      </c>
      <c r="AP328" s="9">
        <v>3.3174862208816203</v>
      </c>
    </row>
    <row r="329" spans="40:42" x14ac:dyDescent="0.3">
      <c r="AN329">
        <v>325</v>
      </c>
      <c r="AO329" s="11">
        <v>21906.59</v>
      </c>
      <c r="AP329" s="9">
        <v>3.1904968465817425</v>
      </c>
    </row>
    <row r="330" spans="40:42" x14ac:dyDescent="0.3">
      <c r="AN330">
        <v>326</v>
      </c>
      <c r="AO330" s="11">
        <v>20167.86</v>
      </c>
      <c r="AP330" s="9">
        <v>3.0615227724599783</v>
      </c>
    </row>
    <row r="331" spans="40:42" x14ac:dyDescent="0.3">
      <c r="AN331">
        <v>327</v>
      </c>
      <c r="AO331" s="11">
        <v>40778.03</v>
      </c>
      <c r="AP331" s="9">
        <v>3.4086130113500515</v>
      </c>
    </row>
    <row r="332" spans="40:42" x14ac:dyDescent="0.3">
      <c r="AN332">
        <v>328</v>
      </c>
      <c r="AO332" s="11">
        <v>25312.71</v>
      </c>
      <c r="AP332" s="9">
        <v>3.1628475460986714</v>
      </c>
    </row>
    <row r="333" spans="40:42" x14ac:dyDescent="0.3">
      <c r="AN333">
        <v>329</v>
      </c>
      <c r="AO333" s="11">
        <v>26499.29</v>
      </c>
      <c r="AP333" s="9">
        <v>2.9338034977429475</v>
      </c>
    </row>
    <row r="334" spans="40:42" x14ac:dyDescent="0.3">
      <c r="AN334">
        <v>330</v>
      </c>
      <c r="AO334" s="11">
        <v>27472.15</v>
      </c>
      <c r="AP334" s="9">
        <v>3.1697884811513561</v>
      </c>
    </row>
    <row r="335" spans="40:42" x14ac:dyDescent="0.3">
      <c r="AN335">
        <v>331</v>
      </c>
      <c r="AO335" s="11">
        <v>30869.41</v>
      </c>
      <c r="AP335" s="9">
        <v>3.5541483078673535</v>
      </c>
    </row>
    <row r="336" spans="40:42" x14ac:dyDescent="0.3">
      <c r="AN336">
        <v>332</v>
      </c>
      <c r="AO336" s="11">
        <v>21159.439999999999</v>
      </c>
      <c r="AP336" s="9">
        <v>3.6005288527838002</v>
      </c>
    </row>
    <row r="337" spans="40:42" x14ac:dyDescent="0.3">
      <c r="AN337">
        <v>333</v>
      </c>
      <c r="AO337" s="11">
        <v>38608.199999999997</v>
      </c>
      <c r="AP337" s="9">
        <v>3.49055304768584</v>
      </c>
    </row>
    <row r="338" spans="40:42" x14ac:dyDescent="0.3">
      <c r="AN338">
        <v>334</v>
      </c>
      <c r="AO338" s="11">
        <v>31446.46</v>
      </c>
      <c r="AP338" s="9">
        <v>3.6442449352990254</v>
      </c>
    </row>
    <row r="339" spans="40:42" x14ac:dyDescent="0.3">
      <c r="AN339">
        <v>335</v>
      </c>
      <c r="AO339" s="11">
        <v>26433.7</v>
      </c>
      <c r="AP339" s="9">
        <v>4.0088356248412964</v>
      </c>
    </row>
    <row r="340" spans="40:42" x14ac:dyDescent="0.3">
      <c r="AN340">
        <v>336</v>
      </c>
      <c r="AO340" s="11">
        <v>23980.240000000002</v>
      </c>
      <c r="AP340" s="9">
        <v>3.86601567440065</v>
      </c>
    </row>
    <row r="341" spans="40:42" x14ac:dyDescent="0.3">
      <c r="AN341">
        <v>337</v>
      </c>
      <c r="AO341" s="11">
        <v>38175.96</v>
      </c>
      <c r="AP341" s="9">
        <v>3.9347052109002005</v>
      </c>
    </row>
    <row r="342" spans="40:42" x14ac:dyDescent="0.3">
      <c r="AN342">
        <v>338</v>
      </c>
      <c r="AO342" s="11">
        <v>22026.5</v>
      </c>
      <c r="AP342" s="9">
        <v>3.6109556218348291</v>
      </c>
    </row>
    <row r="343" spans="40:42" x14ac:dyDescent="0.3">
      <c r="AN343">
        <v>339</v>
      </c>
      <c r="AO343" s="11">
        <v>25293.759999999998</v>
      </c>
      <c r="AP343" s="9">
        <v>3.3206083445744405</v>
      </c>
    </row>
    <row r="344" spans="40:42" x14ac:dyDescent="0.3">
      <c r="AN344">
        <v>340</v>
      </c>
      <c r="AO344" s="11">
        <v>45357.78</v>
      </c>
      <c r="AP344" s="9">
        <v>4.3679277646082166</v>
      </c>
    </row>
    <row r="345" spans="40:42" x14ac:dyDescent="0.3">
      <c r="AN345">
        <v>341</v>
      </c>
      <c r="AO345" s="11">
        <v>46216.51</v>
      </c>
      <c r="AP345" s="9">
        <v>3.1741345020957166</v>
      </c>
    </row>
    <row r="346" spans="40:42" x14ac:dyDescent="0.3">
      <c r="AN346">
        <v>342</v>
      </c>
      <c r="AO346" s="11">
        <v>33880.31</v>
      </c>
      <c r="AP346" s="9">
        <v>3.4067819606321259</v>
      </c>
    </row>
    <row r="347" spans="40:42" x14ac:dyDescent="0.3">
      <c r="AN347">
        <v>343</v>
      </c>
      <c r="AO347" s="11">
        <v>28011.74</v>
      </c>
      <c r="AP347" s="9">
        <v>2.8557723655713714</v>
      </c>
    </row>
    <row r="348" spans="40:42" x14ac:dyDescent="0.3">
      <c r="AN348">
        <v>344</v>
      </c>
      <c r="AO348" s="11">
        <v>41086.25</v>
      </c>
      <c r="AP348" s="9">
        <v>4.7992172570997695</v>
      </c>
    </row>
    <row r="349" spans="40:42" x14ac:dyDescent="0.3">
      <c r="AN349">
        <v>345</v>
      </c>
      <c r="AO349" s="11">
        <v>36547.769999999997</v>
      </c>
      <c r="AP349" s="9">
        <v>4.3067239804011761</v>
      </c>
    </row>
    <row r="350" spans="40:42" x14ac:dyDescent="0.3">
      <c r="AN350">
        <v>346</v>
      </c>
      <c r="AO350" s="11">
        <v>38018.300000000003</v>
      </c>
      <c r="AP350" s="9">
        <v>4.1179506909260226</v>
      </c>
    </row>
    <row r="351" spans="40:42" x14ac:dyDescent="0.3">
      <c r="AN351">
        <v>347</v>
      </c>
      <c r="AO351" s="11">
        <v>24650.38</v>
      </c>
      <c r="AP351" s="9">
        <v>3.8884120505075752</v>
      </c>
    </row>
    <row r="352" spans="40:42" x14ac:dyDescent="0.3">
      <c r="AN352">
        <v>348</v>
      </c>
      <c r="AO352" s="11">
        <v>29771.7</v>
      </c>
      <c r="AP352" s="9">
        <v>2.8741061764004905</v>
      </c>
    </row>
    <row r="353" spans="40:42" x14ac:dyDescent="0.3">
      <c r="AN353">
        <v>349</v>
      </c>
      <c r="AO353" s="11">
        <v>39387.230000000003</v>
      </c>
      <c r="AP353" s="9">
        <v>3.122889129582862</v>
      </c>
    </row>
    <row r="354" spans="40:42" x14ac:dyDescent="0.3">
      <c r="AN354">
        <v>350</v>
      </c>
      <c r="AO354" s="11">
        <v>26194.37</v>
      </c>
      <c r="AP354" s="9">
        <v>3.3787115780222576</v>
      </c>
    </row>
    <row r="355" spans="40:42" x14ac:dyDescent="0.3">
      <c r="AN355">
        <v>351</v>
      </c>
      <c r="AO355" s="11">
        <v>16630.169999999998</v>
      </c>
      <c r="AP355" s="9">
        <v>2.877375125911847</v>
      </c>
    </row>
    <row r="356" spans="40:42" x14ac:dyDescent="0.3">
      <c r="AN356">
        <v>352</v>
      </c>
      <c r="AO356" s="11">
        <v>27351.37</v>
      </c>
      <c r="AP356" s="9">
        <v>4.4733152607536359</v>
      </c>
    </row>
    <row r="357" spans="40:42" x14ac:dyDescent="0.3">
      <c r="AN357">
        <v>353</v>
      </c>
      <c r="AO357" s="11">
        <v>38556.239999999998</v>
      </c>
      <c r="AP357" s="9">
        <v>3.924040050494837</v>
      </c>
    </row>
    <row r="358" spans="40:42" x14ac:dyDescent="0.3">
      <c r="AN358">
        <v>354</v>
      </c>
      <c r="AO358" s="11">
        <v>22467.29</v>
      </c>
      <c r="AP358" s="9">
        <v>3.013593694294487</v>
      </c>
    </row>
    <row r="359" spans="40:42" x14ac:dyDescent="0.3">
      <c r="AN359">
        <v>355</v>
      </c>
      <c r="AO359" s="11">
        <v>33983.9</v>
      </c>
      <c r="AP359" s="9">
        <v>3.6423284332050438</v>
      </c>
    </row>
    <row r="360" spans="40:42" x14ac:dyDescent="0.3">
      <c r="AN360">
        <v>356</v>
      </c>
      <c r="AO360" s="11">
        <v>28323.03</v>
      </c>
      <c r="AP360" s="9">
        <v>3.4114686248956283</v>
      </c>
    </row>
    <row r="361" spans="40:42" x14ac:dyDescent="0.3">
      <c r="AN361">
        <v>357</v>
      </c>
      <c r="AO361" s="11">
        <v>31725.25</v>
      </c>
      <c r="AP361" s="9">
        <v>3.6743316190920967</v>
      </c>
    </row>
    <row r="362" spans="40:42" x14ac:dyDescent="0.3">
      <c r="AN362">
        <v>358</v>
      </c>
      <c r="AO362" s="11">
        <v>31599.43</v>
      </c>
      <c r="AP362" s="9">
        <v>3.7974350148992548</v>
      </c>
    </row>
    <row r="363" spans="40:42" x14ac:dyDescent="0.3">
      <c r="AN363">
        <v>359</v>
      </c>
      <c r="AO363" s="11">
        <v>25320.69</v>
      </c>
      <c r="AP363" s="9">
        <v>3.6748219892272758</v>
      </c>
    </row>
    <row r="364" spans="40:42" x14ac:dyDescent="0.3">
      <c r="AN364">
        <v>360</v>
      </c>
      <c r="AO364" s="11">
        <v>33912.32</v>
      </c>
      <c r="AP364" s="9">
        <v>3.3099840117978929</v>
      </c>
    </row>
    <row r="365" spans="40:42" x14ac:dyDescent="0.3">
      <c r="AN365">
        <v>361</v>
      </c>
      <c r="AO365" s="11">
        <v>23260.240000000002</v>
      </c>
      <c r="AP365" s="9">
        <v>3.3743762666580923</v>
      </c>
    </row>
    <row r="366" spans="40:42" x14ac:dyDescent="0.3">
      <c r="AN366">
        <v>362</v>
      </c>
      <c r="AO366" s="11">
        <v>32933.120000000003</v>
      </c>
      <c r="AP366" s="9">
        <v>3.693770187328278</v>
      </c>
    </row>
    <row r="367" spans="40:42" x14ac:dyDescent="0.3">
      <c r="AN367">
        <v>363</v>
      </c>
      <c r="AO367" s="11">
        <v>28658.81</v>
      </c>
      <c r="AP367" s="9">
        <v>3.0284068815012155</v>
      </c>
    </row>
    <row r="368" spans="40:42" x14ac:dyDescent="0.3">
      <c r="AN368">
        <v>364</v>
      </c>
      <c r="AO368" s="11">
        <v>41918.33</v>
      </c>
      <c r="AP368" s="9">
        <v>3.1606370572002054</v>
      </c>
    </row>
    <row r="369" spans="40:42" x14ac:dyDescent="0.3">
      <c r="AN369">
        <v>365</v>
      </c>
      <c r="AO369" s="11">
        <v>24497.61</v>
      </c>
      <c r="AP369" s="9">
        <v>3.1210247220377614</v>
      </c>
    </row>
    <row r="370" spans="40:42" x14ac:dyDescent="0.3">
      <c r="AN370">
        <v>366</v>
      </c>
      <c r="AO370" s="11">
        <v>29787.51</v>
      </c>
      <c r="AP370" s="9">
        <v>3.8622953397506339</v>
      </c>
    </row>
    <row r="371" spans="40:42" x14ac:dyDescent="0.3">
      <c r="AN371">
        <v>367</v>
      </c>
      <c r="AO371" s="11">
        <v>29336.42</v>
      </c>
      <c r="AP371" s="9">
        <v>4.2585049931711545</v>
      </c>
    </row>
    <row r="372" spans="40:42" x14ac:dyDescent="0.3">
      <c r="AN372">
        <v>368</v>
      </c>
      <c r="AO372" s="11">
        <v>18501.490000000002</v>
      </c>
      <c r="AP372" s="9">
        <v>3.0816544052705606</v>
      </c>
    </row>
    <row r="373" spans="40:42" x14ac:dyDescent="0.3">
      <c r="AN373">
        <v>369</v>
      </c>
      <c r="AO373" s="11">
        <v>52823.91</v>
      </c>
      <c r="AP373" s="9">
        <v>4.1890412465178244</v>
      </c>
    </row>
    <row r="374" spans="40:42" x14ac:dyDescent="0.3">
      <c r="AN374">
        <v>370</v>
      </c>
      <c r="AO374" s="11">
        <v>24370.41</v>
      </c>
      <c r="AP374" s="9">
        <v>3.4992040706799994</v>
      </c>
    </row>
    <row r="375" spans="40:42" x14ac:dyDescent="0.3">
      <c r="AN375">
        <v>371</v>
      </c>
      <c r="AO375" s="11">
        <v>17699.400000000001</v>
      </c>
      <c r="AP375" s="9">
        <v>2.874011216900251</v>
      </c>
    </row>
    <row r="376" spans="40:42" x14ac:dyDescent="0.3">
      <c r="AN376">
        <v>372</v>
      </c>
      <c r="AO376" s="11">
        <v>26246.66</v>
      </c>
      <c r="AP376" s="9">
        <v>3.5287910235267859</v>
      </c>
    </row>
    <row r="377" spans="40:42" x14ac:dyDescent="0.3">
      <c r="AN377">
        <v>373</v>
      </c>
      <c r="AO377" s="11">
        <v>22034.84</v>
      </c>
      <c r="AP377" s="9">
        <v>3.2397609710353352</v>
      </c>
    </row>
    <row r="378" spans="40:42" x14ac:dyDescent="0.3">
      <c r="AN378">
        <v>374</v>
      </c>
      <c r="AO378" s="11">
        <v>29263.18</v>
      </c>
      <c r="AP378" s="9">
        <v>3.2882071016449457</v>
      </c>
    </row>
    <row r="379" spans="40:42" x14ac:dyDescent="0.3">
      <c r="AN379">
        <v>375</v>
      </c>
      <c r="AO379" s="11">
        <v>24116.38</v>
      </c>
      <c r="AP379" s="9">
        <v>3.2584241541733672</v>
      </c>
    </row>
    <row r="380" spans="40:42" x14ac:dyDescent="0.3">
      <c r="AN380">
        <v>376</v>
      </c>
      <c r="AO380" s="11">
        <v>38222.6</v>
      </c>
      <c r="AP380" s="9">
        <v>3.8828220463764507</v>
      </c>
    </row>
    <row r="381" spans="40:42" x14ac:dyDescent="0.3">
      <c r="AN381">
        <v>377</v>
      </c>
      <c r="AO381" s="11">
        <v>28433.53</v>
      </c>
      <c r="AP381" s="9">
        <v>3.9037662417724617</v>
      </c>
    </row>
    <row r="382" spans="40:42" x14ac:dyDescent="0.3">
      <c r="AN382">
        <v>378</v>
      </c>
      <c r="AO382" s="11">
        <v>27355.5</v>
      </c>
      <c r="AP382" s="9">
        <v>2.9463230324209282</v>
      </c>
    </row>
    <row r="383" spans="40:42" x14ac:dyDescent="0.3">
      <c r="AN383">
        <v>379</v>
      </c>
      <c r="AO383" s="11">
        <v>25016.15</v>
      </c>
      <c r="AP383" s="9">
        <v>2.8219312574107507</v>
      </c>
    </row>
    <row r="384" spans="40:42" x14ac:dyDescent="0.3">
      <c r="AN384">
        <v>380</v>
      </c>
      <c r="AO384" s="11">
        <v>23471.14</v>
      </c>
      <c r="AP384" s="9">
        <v>2.811295333053478</v>
      </c>
    </row>
    <row r="385" spans="40:42" x14ac:dyDescent="0.3">
      <c r="AN385">
        <v>381</v>
      </c>
      <c r="AO385" s="11">
        <v>19134.259999999998</v>
      </c>
      <c r="AP385" s="9">
        <v>3.4968317319683191</v>
      </c>
    </row>
    <row r="386" spans="40:42" x14ac:dyDescent="0.3">
      <c r="AN386">
        <v>382</v>
      </c>
      <c r="AO386" s="11">
        <v>33814.400000000001</v>
      </c>
      <c r="AP386" s="9">
        <v>3.4893074937349482</v>
      </c>
    </row>
    <row r="387" spans="40:42" x14ac:dyDescent="0.3">
      <c r="AN387">
        <v>383</v>
      </c>
      <c r="AO387" s="11">
        <v>28280.09</v>
      </c>
      <c r="AP387" s="9">
        <v>3.608109778972739</v>
      </c>
    </row>
    <row r="388" spans="40:42" x14ac:dyDescent="0.3">
      <c r="AN388">
        <v>384</v>
      </c>
      <c r="AO388" s="11">
        <v>34608.28</v>
      </c>
      <c r="AP388" s="9">
        <v>3.569687944545493</v>
      </c>
    </row>
    <row r="389" spans="40:42" x14ac:dyDescent="0.3">
      <c r="AN389">
        <v>385</v>
      </c>
      <c r="AO389" s="11">
        <v>17723.36</v>
      </c>
      <c r="AP389" s="9">
        <v>2.9865761060933336</v>
      </c>
    </row>
    <row r="390" spans="40:42" x14ac:dyDescent="0.3">
      <c r="AN390">
        <v>386</v>
      </c>
      <c r="AO390" s="11">
        <v>20721.77</v>
      </c>
      <c r="AP390" s="9">
        <v>2.8622853113867994</v>
      </c>
    </row>
    <row r="391" spans="40:42" x14ac:dyDescent="0.3">
      <c r="AN391">
        <v>387</v>
      </c>
      <c r="AO391" s="11">
        <v>20987.19</v>
      </c>
      <c r="AP391" s="9">
        <v>3.0604888389351883</v>
      </c>
    </row>
    <row r="392" spans="40:42" x14ac:dyDescent="0.3">
      <c r="AN392">
        <v>388</v>
      </c>
      <c r="AO392" s="11">
        <v>25876.52</v>
      </c>
      <c r="AP392" s="9">
        <v>2.9958345321002104</v>
      </c>
    </row>
    <row r="393" spans="40:42" x14ac:dyDescent="0.3">
      <c r="AN393">
        <v>389</v>
      </c>
      <c r="AO393" s="11">
        <v>32453.68</v>
      </c>
      <c r="AP393" s="9">
        <v>3.6415689930314583</v>
      </c>
    </row>
    <row r="394" spans="40:42" x14ac:dyDescent="0.3">
      <c r="AN394">
        <v>390</v>
      </c>
      <c r="AO394" s="11">
        <v>25072.46</v>
      </c>
      <c r="AP394" s="9">
        <v>4.1558106101450791</v>
      </c>
    </row>
    <row r="395" spans="40:42" x14ac:dyDescent="0.3">
      <c r="AN395">
        <v>391</v>
      </c>
      <c r="AO395" s="11">
        <v>34905.35</v>
      </c>
      <c r="AP395" s="9">
        <v>4.5097594501260563</v>
      </c>
    </row>
    <row r="396" spans="40:42" x14ac:dyDescent="0.3">
      <c r="AN396">
        <v>392</v>
      </c>
      <c r="AO396" s="11">
        <v>35229.370000000003</v>
      </c>
      <c r="AP396" s="9">
        <v>3.6721128386133026</v>
      </c>
    </row>
    <row r="397" spans="40:42" x14ac:dyDescent="0.3">
      <c r="AN397">
        <v>393</v>
      </c>
      <c r="AO397" s="11">
        <v>35301.71</v>
      </c>
      <c r="AP397" s="9">
        <v>3.7558373254094155</v>
      </c>
    </row>
    <row r="398" spans="40:42" x14ac:dyDescent="0.3">
      <c r="AN398">
        <v>394</v>
      </c>
      <c r="AO398" s="11">
        <v>31794.73</v>
      </c>
      <c r="AP398" s="9">
        <v>3.6671254251017671</v>
      </c>
    </row>
    <row r="399" spans="40:42" x14ac:dyDescent="0.3">
      <c r="AN399">
        <v>395</v>
      </c>
      <c r="AO399" s="11">
        <v>42577.08</v>
      </c>
      <c r="AP399" s="9">
        <v>4.7251471568722412</v>
      </c>
    </row>
    <row r="400" spans="40:42" x14ac:dyDescent="0.3">
      <c r="AN400">
        <v>396</v>
      </c>
      <c r="AO400" s="11">
        <v>25978.53</v>
      </c>
      <c r="AP400" s="9">
        <v>3.3329033884344286</v>
      </c>
    </row>
    <row r="401" spans="40:42" x14ac:dyDescent="0.3">
      <c r="AN401">
        <v>397</v>
      </c>
      <c r="AO401" s="11">
        <v>25555.040000000001</v>
      </c>
      <c r="AP401" s="9">
        <v>3.4009840124856714</v>
      </c>
    </row>
    <row r="402" spans="40:42" x14ac:dyDescent="0.3">
      <c r="AN402">
        <v>398</v>
      </c>
      <c r="AO402" s="11">
        <v>22993.43</v>
      </c>
      <c r="AP402" s="9">
        <v>3.0510032195097008</v>
      </c>
    </row>
    <row r="403" spans="40:42" x14ac:dyDescent="0.3">
      <c r="AN403">
        <v>399</v>
      </c>
      <c r="AO403" s="11">
        <v>18079.650000000001</v>
      </c>
      <c r="AP403" s="9">
        <v>3.4792773935549173</v>
      </c>
    </row>
    <row r="404" spans="40:42" x14ac:dyDescent="0.3">
      <c r="AN404">
        <v>400</v>
      </c>
      <c r="AO404" s="11">
        <v>41278.11</v>
      </c>
      <c r="AP404" s="9">
        <v>3.9564603885690692</v>
      </c>
    </row>
    <row r="405" spans="40:42" x14ac:dyDescent="0.3">
      <c r="AN405">
        <v>401</v>
      </c>
      <c r="AO405" s="11">
        <v>48031.88</v>
      </c>
      <c r="AP405" s="9">
        <v>4.2766054994928657</v>
      </c>
    </row>
    <row r="406" spans="40:42" x14ac:dyDescent="0.3">
      <c r="AN406">
        <v>402</v>
      </c>
      <c r="AO406" s="11">
        <v>26611.66</v>
      </c>
      <c r="AP406" s="9">
        <v>3.5186173009960462</v>
      </c>
    </row>
    <row r="407" spans="40:42" x14ac:dyDescent="0.3">
      <c r="AN407">
        <v>403</v>
      </c>
      <c r="AO407" s="11">
        <v>38896.199999999997</v>
      </c>
      <c r="AP407" s="9">
        <v>3.6012208420582832</v>
      </c>
    </row>
    <row r="408" spans="40:42" x14ac:dyDescent="0.3">
      <c r="AN408">
        <v>404</v>
      </c>
      <c r="AO408" s="11">
        <v>34016.58</v>
      </c>
      <c r="AP408" s="9">
        <v>3.8073103317972188</v>
      </c>
    </row>
    <row r="409" spans="40:42" x14ac:dyDescent="0.3">
      <c r="AN409">
        <v>405</v>
      </c>
      <c r="AO409" s="11">
        <v>39796.720000000001</v>
      </c>
      <c r="AP409" s="9">
        <v>3.6032241286190576</v>
      </c>
    </row>
    <row r="410" spans="40:42" x14ac:dyDescent="0.3">
      <c r="AN410">
        <v>406</v>
      </c>
      <c r="AO410" s="11">
        <v>36863.83</v>
      </c>
      <c r="AP410" s="9">
        <v>2.8172452182316712</v>
      </c>
    </row>
    <row r="411" spans="40:42" x14ac:dyDescent="0.3">
      <c r="AN411">
        <v>407</v>
      </c>
      <c r="AO411" s="11">
        <v>19681.29</v>
      </c>
      <c r="AP411" s="9">
        <v>3.1496542439908537</v>
      </c>
    </row>
    <row r="412" spans="40:42" x14ac:dyDescent="0.3">
      <c r="AN412">
        <v>408</v>
      </c>
      <c r="AO412" s="11">
        <v>22915.57</v>
      </c>
      <c r="AP412" s="9">
        <v>3.6035421354849899</v>
      </c>
    </row>
    <row r="413" spans="40:42" x14ac:dyDescent="0.3">
      <c r="AN413">
        <v>409</v>
      </c>
      <c r="AO413" s="11">
        <v>24340.93</v>
      </c>
      <c r="AP413" s="9">
        <v>3.6560427095774313</v>
      </c>
    </row>
    <row r="414" spans="40:42" x14ac:dyDescent="0.3">
      <c r="AN414">
        <v>410</v>
      </c>
      <c r="AO414" s="11">
        <v>32124.720000000001</v>
      </c>
      <c r="AP414" s="9">
        <v>3.9698170340303136</v>
      </c>
    </row>
    <row r="415" spans="40:42" x14ac:dyDescent="0.3">
      <c r="AN415">
        <v>411</v>
      </c>
      <c r="AO415" s="11">
        <v>23807.96</v>
      </c>
      <c r="AP415" s="9">
        <v>3.9355224635165906</v>
      </c>
    </row>
    <row r="416" spans="40:42" x14ac:dyDescent="0.3">
      <c r="AN416">
        <v>412</v>
      </c>
      <c r="AO416" s="11">
        <v>39653.480000000003</v>
      </c>
      <c r="AP416" s="9">
        <v>4.4364345505458651</v>
      </c>
    </row>
    <row r="417" spans="40:42" x14ac:dyDescent="0.3">
      <c r="AN417">
        <v>413</v>
      </c>
      <c r="AO417" s="11">
        <v>34044.57</v>
      </c>
      <c r="AP417" s="9">
        <v>4.0680116386253831</v>
      </c>
    </row>
    <row r="418" spans="40:42" x14ac:dyDescent="0.3">
      <c r="AN418">
        <v>414</v>
      </c>
      <c r="AO418" s="11">
        <v>34358.97</v>
      </c>
      <c r="AP418" s="9">
        <v>3.7778516882624906</v>
      </c>
    </row>
    <row r="419" spans="40:42" x14ac:dyDescent="0.3">
      <c r="AN419">
        <v>415</v>
      </c>
      <c r="AO419" s="11">
        <v>25130.63</v>
      </c>
      <c r="AP419" s="9">
        <v>3.2647632893113849</v>
      </c>
    </row>
    <row r="420" spans="40:42" x14ac:dyDescent="0.3">
      <c r="AN420">
        <v>416</v>
      </c>
      <c r="AO420" s="11">
        <v>36401.99</v>
      </c>
      <c r="AP420" s="9">
        <v>4.3836695636505905</v>
      </c>
    </row>
    <row r="421" spans="40:42" x14ac:dyDescent="0.3">
      <c r="AN421">
        <v>417</v>
      </c>
      <c r="AO421" s="11">
        <v>30116.69</v>
      </c>
      <c r="AP421" s="9">
        <v>3.1696496262673248</v>
      </c>
    </row>
    <row r="422" spans="40:42" x14ac:dyDescent="0.3">
      <c r="AN422">
        <v>418</v>
      </c>
      <c r="AO422" s="11">
        <v>27233.52</v>
      </c>
      <c r="AP422" s="9">
        <v>3.6382090330828905</v>
      </c>
    </row>
    <row r="423" spans="40:42" x14ac:dyDescent="0.3">
      <c r="AN423">
        <v>419</v>
      </c>
      <c r="AO423" s="11">
        <v>24555.9</v>
      </c>
      <c r="AP423" s="9">
        <v>3.2342394819766844</v>
      </c>
    </row>
    <row r="424" spans="40:42" x14ac:dyDescent="0.3">
      <c r="AN424">
        <v>420</v>
      </c>
      <c r="AO424" s="11">
        <v>19565.78</v>
      </c>
      <c r="AP424" s="9">
        <v>2.7867689333704133</v>
      </c>
    </row>
    <row r="425" spans="40:42" x14ac:dyDescent="0.3">
      <c r="AN425">
        <v>421</v>
      </c>
      <c r="AO425" s="11">
        <v>20954.73</v>
      </c>
      <c r="AP425" s="9">
        <v>3.3398605415568738</v>
      </c>
    </row>
    <row r="426" spans="40:42" x14ac:dyDescent="0.3">
      <c r="AN426">
        <v>422</v>
      </c>
      <c r="AO426" s="11">
        <v>29271.03</v>
      </c>
      <c r="AP426" s="9">
        <v>3.632317282077858</v>
      </c>
    </row>
    <row r="427" spans="40:42" x14ac:dyDescent="0.3">
      <c r="AN427">
        <v>423</v>
      </c>
      <c r="AO427" s="11">
        <v>20124.46</v>
      </c>
      <c r="AP427" s="9">
        <v>2.5655211644816225</v>
      </c>
    </row>
    <row r="428" spans="40:42" x14ac:dyDescent="0.3">
      <c r="AN428">
        <v>424</v>
      </c>
      <c r="AO428" s="11">
        <v>34539.03</v>
      </c>
      <c r="AP428" s="9">
        <v>3.0624618592927026</v>
      </c>
    </row>
    <row r="429" spans="40:42" x14ac:dyDescent="0.3">
      <c r="AN429">
        <v>425</v>
      </c>
      <c r="AO429" s="11">
        <v>22797.62</v>
      </c>
      <c r="AP429" s="9">
        <v>3.3814417678951512</v>
      </c>
    </row>
    <row r="430" spans="40:42" x14ac:dyDescent="0.3">
      <c r="AN430">
        <v>426</v>
      </c>
      <c r="AO430" s="11">
        <v>18589.66</v>
      </c>
      <c r="AP430" s="9">
        <v>2.770520994970004</v>
      </c>
    </row>
    <row r="431" spans="40:42" x14ac:dyDescent="0.3">
      <c r="AN431">
        <v>427</v>
      </c>
      <c r="AO431" s="11">
        <v>31392.98</v>
      </c>
      <c r="AP431" s="9">
        <v>3.3148709283259468</v>
      </c>
    </row>
    <row r="432" spans="40:42" x14ac:dyDescent="0.3">
      <c r="AN432">
        <v>428</v>
      </c>
      <c r="AO432" s="11">
        <v>42500.480000000003</v>
      </c>
      <c r="AP432" s="9">
        <v>3.620767737056827</v>
      </c>
    </row>
    <row r="433" spans="40:42" x14ac:dyDescent="0.3">
      <c r="AN433">
        <v>429</v>
      </c>
      <c r="AO433" s="11">
        <v>27036.99</v>
      </c>
      <c r="AP433" s="9">
        <v>3.3571211085811843</v>
      </c>
    </row>
    <row r="434" spans="40:42" x14ac:dyDescent="0.3">
      <c r="AN434">
        <v>430</v>
      </c>
      <c r="AO434" s="11">
        <v>31001.02</v>
      </c>
      <c r="AP434" s="9">
        <v>4.266128981675025</v>
      </c>
    </row>
    <row r="435" spans="40:42" x14ac:dyDescent="0.3">
      <c r="AN435">
        <v>431</v>
      </c>
      <c r="AO435" s="11">
        <v>36722.75</v>
      </c>
      <c r="AP435" s="9">
        <v>3.5164478867060636</v>
      </c>
    </row>
    <row r="436" spans="40:42" x14ac:dyDescent="0.3">
      <c r="AN436">
        <v>432</v>
      </c>
      <c r="AO436" s="11">
        <v>24590.97</v>
      </c>
      <c r="AP436" s="9">
        <v>2.8387612908237321</v>
      </c>
    </row>
    <row r="437" spans="40:42" x14ac:dyDescent="0.3">
      <c r="AN437">
        <v>433</v>
      </c>
      <c r="AO437" s="11">
        <v>45753.15</v>
      </c>
      <c r="AP437" s="9">
        <v>3.365713894146706</v>
      </c>
    </row>
    <row r="438" spans="40:42" x14ac:dyDescent="0.3">
      <c r="AN438">
        <v>434</v>
      </c>
      <c r="AO438" s="11">
        <v>30546.77</v>
      </c>
      <c r="AP438" s="9">
        <v>3.3073372445854363</v>
      </c>
    </row>
    <row r="439" spans="40:42" x14ac:dyDescent="0.3">
      <c r="AN439">
        <v>435</v>
      </c>
      <c r="AO439" s="11">
        <v>18312.28</v>
      </c>
      <c r="AP439" s="9">
        <v>3.3039490585233247</v>
      </c>
    </row>
    <row r="440" spans="40:42" x14ac:dyDescent="0.3">
      <c r="AN440">
        <v>436</v>
      </c>
      <c r="AO440" s="11">
        <v>25020.86</v>
      </c>
      <c r="AP440" s="9">
        <v>3.7118508480930719</v>
      </c>
    </row>
    <row r="441" spans="40:42" x14ac:dyDescent="0.3">
      <c r="AN441">
        <v>437</v>
      </c>
      <c r="AO441" s="11">
        <v>27141.29</v>
      </c>
      <c r="AP441" s="9">
        <v>3.0195236348194872</v>
      </c>
    </row>
    <row r="442" spans="40:42" x14ac:dyDescent="0.3">
      <c r="AN442">
        <v>438</v>
      </c>
      <c r="AO442" s="11">
        <v>23760.33</v>
      </c>
      <c r="AP442" s="9">
        <v>3.1323221030912776</v>
      </c>
    </row>
    <row r="443" spans="40:42" x14ac:dyDescent="0.3">
      <c r="AN443">
        <v>439</v>
      </c>
      <c r="AO443" s="11">
        <v>32799.15</v>
      </c>
      <c r="AP443" s="9">
        <v>3.9255855212534985</v>
      </c>
    </row>
    <row r="444" spans="40:42" x14ac:dyDescent="0.3">
      <c r="AN444">
        <v>440</v>
      </c>
      <c r="AO444" s="11">
        <v>29693.48</v>
      </c>
      <c r="AP444" s="9">
        <v>3.5669620041020922</v>
      </c>
    </row>
    <row r="445" spans="40:42" x14ac:dyDescent="0.3">
      <c r="AN445">
        <v>441</v>
      </c>
      <c r="AO445" s="11">
        <v>23610.43</v>
      </c>
      <c r="AP445" s="9">
        <v>3.0985131865013353</v>
      </c>
    </row>
    <row r="446" spans="40:42" x14ac:dyDescent="0.3">
      <c r="AN446">
        <v>442</v>
      </c>
      <c r="AO446" s="11">
        <v>27285.86</v>
      </c>
      <c r="AP446" s="9">
        <v>4.1206249010051348</v>
      </c>
    </row>
    <row r="447" spans="40:42" x14ac:dyDescent="0.3">
      <c r="AN447">
        <v>443</v>
      </c>
      <c r="AO447" s="11">
        <v>24433.67</v>
      </c>
      <c r="AP447" s="9">
        <v>3.1816797132949866</v>
      </c>
    </row>
    <row r="448" spans="40:42" x14ac:dyDescent="0.3">
      <c r="AN448">
        <v>444</v>
      </c>
      <c r="AO448" s="11">
        <v>32717.57</v>
      </c>
      <c r="AP448" s="9">
        <v>3.225743336960968</v>
      </c>
    </row>
    <row r="449" spans="40:42" x14ac:dyDescent="0.3">
      <c r="AN449">
        <v>445</v>
      </c>
      <c r="AO449" s="11">
        <v>24580.95</v>
      </c>
      <c r="AP449" s="9">
        <v>3.2463201576385363</v>
      </c>
    </row>
    <row r="450" spans="40:42" x14ac:dyDescent="0.3">
      <c r="AN450">
        <v>446</v>
      </c>
      <c r="AO450" s="11">
        <v>31155.01</v>
      </c>
      <c r="AP450" s="9">
        <v>3.4188162561904267</v>
      </c>
    </row>
    <row r="451" spans="40:42" x14ac:dyDescent="0.3">
      <c r="AN451">
        <v>447</v>
      </c>
      <c r="AO451" s="11">
        <v>21202.32</v>
      </c>
      <c r="AP451" s="9">
        <v>3.2099222367880653</v>
      </c>
    </row>
    <row r="452" spans="40:42" x14ac:dyDescent="0.3">
      <c r="AN452">
        <v>448</v>
      </c>
      <c r="AO452" s="11">
        <v>26877.79</v>
      </c>
      <c r="AP452" s="9">
        <v>3.1450311377098483</v>
      </c>
    </row>
    <row r="453" spans="40:42" x14ac:dyDescent="0.3">
      <c r="AN453">
        <v>449</v>
      </c>
      <c r="AO453" s="11">
        <v>33611.480000000003</v>
      </c>
      <c r="AP453" s="9">
        <v>3.585635955744686</v>
      </c>
    </row>
    <row r="454" spans="40:42" x14ac:dyDescent="0.3">
      <c r="AN454">
        <v>450</v>
      </c>
      <c r="AO454" s="11">
        <v>31273.73</v>
      </c>
      <c r="AP454" s="9">
        <v>2.9391698443673255</v>
      </c>
    </row>
    <row r="455" spans="40:42" x14ac:dyDescent="0.3">
      <c r="AN455">
        <v>451</v>
      </c>
      <c r="AO455" s="11">
        <v>34602.120000000003</v>
      </c>
      <c r="AP455" s="9">
        <v>2.8017094783001104</v>
      </c>
    </row>
    <row r="456" spans="40:42" x14ac:dyDescent="0.3">
      <c r="AN456">
        <v>452</v>
      </c>
      <c r="AO456" s="11">
        <v>33768.25</v>
      </c>
      <c r="AP456" s="9">
        <v>3.6724550112686556</v>
      </c>
    </row>
    <row r="457" spans="40:42" x14ac:dyDescent="0.3">
      <c r="AN457">
        <v>453</v>
      </c>
      <c r="AO457" s="11">
        <v>40031.35</v>
      </c>
      <c r="AP457" s="9">
        <v>4.8704346529068276</v>
      </c>
    </row>
    <row r="458" spans="40:42" x14ac:dyDescent="0.3">
      <c r="AN458">
        <v>454</v>
      </c>
      <c r="AO458" s="11">
        <v>27016.63</v>
      </c>
      <c r="AP458" s="9">
        <v>3.0171841978095508</v>
      </c>
    </row>
    <row r="459" spans="40:42" x14ac:dyDescent="0.3">
      <c r="AN459">
        <v>455</v>
      </c>
      <c r="AO459" s="11">
        <v>24991.58</v>
      </c>
      <c r="AP459" s="9">
        <v>3.5085886895472638</v>
      </c>
    </row>
    <row r="460" spans="40:42" x14ac:dyDescent="0.3">
      <c r="AN460">
        <v>456</v>
      </c>
      <c r="AO460" s="11">
        <v>31857.21</v>
      </c>
      <c r="AP460" s="9">
        <v>2.8366855994596216</v>
      </c>
    </row>
    <row r="461" spans="40:42" x14ac:dyDescent="0.3">
      <c r="AN461">
        <v>457</v>
      </c>
      <c r="AO461" s="11">
        <v>28884.03</v>
      </c>
      <c r="AP461" s="9">
        <v>3.3001834297060437</v>
      </c>
    </row>
    <row r="462" spans="40:42" x14ac:dyDescent="0.3">
      <c r="AN462">
        <v>458</v>
      </c>
      <c r="AO462" s="11">
        <v>29028.36</v>
      </c>
      <c r="AP462" s="9">
        <v>3.4046381243741703</v>
      </c>
    </row>
    <row r="463" spans="40:42" x14ac:dyDescent="0.3">
      <c r="AN463">
        <v>459</v>
      </c>
      <c r="AO463" s="11">
        <v>38505.660000000003</v>
      </c>
      <c r="AP463" s="9">
        <v>4.1196968308548492</v>
      </c>
    </row>
    <row r="464" spans="40:42" x14ac:dyDescent="0.3">
      <c r="AN464">
        <v>460</v>
      </c>
      <c r="AO464" s="11">
        <v>28214.06</v>
      </c>
      <c r="AP464" s="9">
        <v>3.7021055822092706</v>
      </c>
    </row>
    <row r="465" spans="40:42" x14ac:dyDescent="0.3">
      <c r="AN465">
        <v>461</v>
      </c>
      <c r="AO465" s="11">
        <v>30010.82</v>
      </c>
      <c r="AP465" s="9">
        <v>3.7327294087508629</v>
      </c>
    </row>
    <row r="466" spans="40:42" x14ac:dyDescent="0.3">
      <c r="AN466">
        <v>462</v>
      </c>
      <c r="AO466" s="11">
        <v>50945.760000000002</v>
      </c>
      <c r="AP466" s="9">
        <v>3.7314844821580295</v>
      </c>
    </row>
    <row r="467" spans="40:42" x14ac:dyDescent="0.3">
      <c r="AN467">
        <v>463</v>
      </c>
      <c r="AO467" s="11">
        <v>32642.94</v>
      </c>
      <c r="AP467" s="9">
        <v>3.4441506343747803</v>
      </c>
    </row>
    <row r="468" spans="40:42" x14ac:dyDescent="0.3">
      <c r="AN468">
        <v>464</v>
      </c>
      <c r="AO468" s="11">
        <v>18567.509999999998</v>
      </c>
      <c r="AP468" s="9">
        <v>2.8963038573317408</v>
      </c>
    </row>
    <row r="469" spans="40:42" x14ac:dyDescent="0.3">
      <c r="AN469">
        <v>465</v>
      </c>
      <c r="AO469" s="11">
        <v>25649.43</v>
      </c>
      <c r="AP469" s="9">
        <v>3.0261138443746955</v>
      </c>
    </row>
    <row r="470" spans="40:42" x14ac:dyDescent="0.3">
      <c r="AN470">
        <v>466</v>
      </c>
      <c r="AO470" s="11">
        <v>22538.17</v>
      </c>
      <c r="AP470" s="9">
        <v>2.7554229845293259</v>
      </c>
    </row>
    <row r="471" spans="40:42" x14ac:dyDescent="0.3">
      <c r="AN471">
        <v>467</v>
      </c>
      <c r="AO471" s="11">
        <v>24618.92</v>
      </c>
      <c r="AP471" s="9">
        <v>3.5593896743424831</v>
      </c>
    </row>
    <row r="472" spans="40:42" x14ac:dyDescent="0.3">
      <c r="AN472">
        <v>468</v>
      </c>
      <c r="AO472" s="11">
        <v>15766.86</v>
      </c>
      <c r="AP472" s="9">
        <v>3.1232695591442896</v>
      </c>
    </row>
    <row r="473" spans="40:42" x14ac:dyDescent="0.3">
      <c r="AN473">
        <v>469</v>
      </c>
      <c r="AO473" s="11">
        <v>31522.400000000001</v>
      </c>
      <c r="AP473" s="9">
        <v>3.3880152511076034</v>
      </c>
    </row>
    <row r="474" spans="40:42" x14ac:dyDescent="0.3">
      <c r="AN474">
        <v>470</v>
      </c>
      <c r="AO474" s="11">
        <v>19716.75</v>
      </c>
      <c r="AP474" s="9">
        <v>3.3274790640721981</v>
      </c>
    </row>
    <row r="475" spans="40:42" x14ac:dyDescent="0.3">
      <c r="AN475">
        <v>471</v>
      </c>
      <c r="AO475" s="11">
        <v>18045.02</v>
      </c>
      <c r="AP475" s="9">
        <v>2.9424426199445541</v>
      </c>
    </row>
    <row r="476" spans="40:42" x14ac:dyDescent="0.3">
      <c r="AN476">
        <v>472</v>
      </c>
      <c r="AO476" s="11">
        <v>41211.22</v>
      </c>
      <c r="AP476" s="9">
        <v>3.9255034021466684</v>
      </c>
    </row>
    <row r="477" spans="40:42" x14ac:dyDescent="0.3">
      <c r="AN477">
        <v>473</v>
      </c>
      <c r="AO477" s="11">
        <v>35628.58</v>
      </c>
      <c r="AP477" s="9">
        <v>3.3627754201684033</v>
      </c>
    </row>
    <row r="478" spans="40:42" x14ac:dyDescent="0.3">
      <c r="AN478">
        <v>474</v>
      </c>
      <c r="AO478" s="11">
        <v>29072.2</v>
      </c>
      <c r="AP478" s="9">
        <v>3.284585645723606</v>
      </c>
    </row>
    <row r="479" spans="40:42" x14ac:dyDescent="0.3">
      <c r="AN479">
        <v>475</v>
      </c>
      <c r="AO479" s="11">
        <v>12837.77</v>
      </c>
      <c r="AP479" s="9">
        <v>2.6327311523052286</v>
      </c>
    </row>
    <row r="480" spans="40:42" x14ac:dyDescent="0.3">
      <c r="AN480">
        <v>476</v>
      </c>
      <c r="AO480" s="11">
        <v>23603.67</v>
      </c>
      <c r="AP480" s="9">
        <v>3.4174611027300386</v>
      </c>
    </row>
    <row r="481" spans="40:42" x14ac:dyDescent="0.3">
      <c r="AN481">
        <v>477</v>
      </c>
      <c r="AO481" s="11">
        <v>17963.48</v>
      </c>
      <c r="AP481" s="9">
        <v>3.1833594094724398</v>
      </c>
    </row>
    <row r="482" spans="40:42" x14ac:dyDescent="0.3">
      <c r="AN482">
        <v>478</v>
      </c>
      <c r="AO482" s="11">
        <v>28823.98</v>
      </c>
      <c r="AP482" s="9">
        <v>3.0964242005403495</v>
      </c>
    </row>
    <row r="483" spans="40:42" x14ac:dyDescent="0.3">
      <c r="AN483">
        <v>479</v>
      </c>
      <c r="AO483" s="11">
        <v>19809.73</v>
      </c>
      <c r="AP483" s="9">
        <v>3.1919010166037345</v>
      </c>
    </row>
    <row r="484" spans="40:42" x14ac:dyDescent="0.3">
      <c r="AN484">
        <v>480</v>
      </c>
      <c r="AO484" s="11">
        <v>25071.78</v>
      </c>
      <c r="AP484" s="9">
        <v>3.1801672028673398</v>
      </c>
    </row>
    <row r="485" spans="40:42" x14ac:dyDescent="0.3">
      <c r="AN485">
        <v>481</v>
      </c>
      <c r="AO485" s="11">
        <v>25316.47</v>
      </c>
      <c r="AP485" s="9">
        <v>3.367294814006514</v>
      </c>
    </row>
    <row r="486" spans="40:42" x14ac:dyDescent="0.3">
      <c r="AN486">
        <v>482</v>
      </c>
      <c r="AO486" s="11">
        <v>18965.849999999999</v>
      </c>
      <c r="AP486" s="9">
        <v>2.9967608649138011</v>
      </c>
    </row>
    <row r="487" spans="40:42" x14ac:dyDescent="0.3">
      <c r="AN487">
        <v>483</v>
      </c>
      <c r="AO487" s="11">
        <v>26172.81</v>
      </c>
      <c r="AP487" s="9">
        <v>2.953445318518094</v>
      </c>
    </row>
    <row r="488" spans="40:42" x14ac:dyDescent="0.3">
      <c r="AN488">
        <v>484</v>
      </c>
      <c r="AO488" s="11">
        <v>28445.58</v>
      </c>
      <c r="AP488" s="9">
        <v>2.8080759200689989</v>
      </c>
    </row>
    <row r="489" spans="40:42" x14ac:dyDescent="0.3">
      <c r="AN489">
        <v>485</v>
      </c>
      <c r="AO489" s="11">
        <v>28852.3</v>
      </c>
      <c r="AP489" s="9">
        <v>4.0843127886272637</v>
      </c>
    </row>
    <row r="490" spans="40:42" x14ac:dyDescent="0.3">
      <c r="AN490">
        <v>486</v>
      </c>
      <c r="AO490" s="11">
        <v>20478.439999999999</v>
      </c>
      <c r="AP490" s="9">
        <v>2.6345916649427474</v>
      </c>
    </row>
    <row r="491" spans="40:42" x14ac:dyDescent="0.3">
      <c r="AN491">
        <v>487</v>
      </c>
      <c r="AO491" s="11">
        <v>27751.08</v>
      </c>
      <c r="AP491" s="9">
        <v>3.591208834644072</v>
      </c>
    </row>
    <row r="492" spans="40:42" x14ac:dyDescent="0.3">
      <c r="AN492">
        <v>488</v>
      </c>
      <c r="AO492" s="11">
        <v>30115.97</v>
      </c>
      <c r="AP492" s="9">
        <v>3.5035344062607097</v>
      </c>
    </row>
    <row r="493" spans="40:42" x14ac:dyDescent="0.3">
      <c r="AN493">
        <v>489</v>
      </c>
      <c r="AO493" s="11">
        <v>35979.370000000003</v>
      </c>
      <c r="AP493" s="9">
        <v>3.5813313503515616</v>
      </c>
    </row>
    <row r="494" spans="40:42" x14ac:dyDescent="0.3">
      <c r="AN494">
        <v>490</v>
      </c>
      <c r="AO494" s="11">
        <v>23318.26</v>
      </c>
      <c r="AP494" s="9">
        <v>4.4528067301582901</v>
      </c>
    </row>
    <row r="495" spans="40:42" x14ac:dyDescent="0.3">
      <c r="AN495">
        <v>491</v>
      </c>
      <c r="AO495" s="11">
        <v>23252.2</v>
      </c>
      <c r="AP495" s="9">
        <v>3.7075018354204192</v>
      </c>
    </row>
    <row r="496" spans="40:42" x14ac:dyDescent="0.3">
      <c r="AN496">
        <v>492</v>
      </c>
      <c r="AO496" s="11">
        <v>24099.31</v>
      </c>
      <c r="AP496" s="9">
        <v>3.2961773664038092</v>
      </c>
    </row>
    <row r="497" spans="40:42" x14ac:dyDescent="0.3">
      <c r="AN497">
        <v>493</v>
      </c>
      <c r="AO497" s="11">
        <v>22443.200000000001</v>
      </c>
      <c r="AP497" s="9">
        <v>3.143850624337992</v>
      </c>
    </row>
    <row r="498" spans="40:42" x14ac:dyDescent="0.3">
      <c r="AN498">
        <v>494</v>
      </c>
      <c r="AO498" s="11">
        <v>25720.98</v>
      </c>
      <c r="AP498" s="9">
        <v>3.5907186094087997</v>
      </c>
    </row>
    <row r="499" spans="40:42" x14ac:dyDescent="0.3">
      <c r="AN499">
        <v>495</v>
      </c>
      <c r="AO499" s="11">
        <v>35697.99</v>
      </c>
      <c r="AP499" s="9">
        <v>3.9353405500883571</v>
      </c>
    </row>
    <row r="500" spans="40:42" x14ac:dyDescent="0.3">
      <c r="AN500">
        <v>496</v>
      </c>
      <c r="AO500" s="11">
        <v>26144.720000000001</v>
      </c>
      <c r="AP500" s="9">
        <v>2.99682575423122</v>
      </c>
    </row>
    <row r="501" spans="40:42" x14ac:dyDescent="0.3">
      <c r="AN501">
        <v>497</v>
      </c>
      <c r="AO501" s="11">
        <v>32057.599999999999</v>
      </c>
      <c r="AP501" s="9">
        <v>3.4053203477261338</v>
      </c>
    </row>
    <row r="502" spans="40:42" x14ac:dyDescent="0.3">
      <c r="AN502">
        <v>498</v>
      </c>
      <c r="AO502" s="11">
        <v>23759.62</v>
      </c>
      <c r="AP502" s="9">
        <v>3.0853905854649617</v>
      </c>
    </row>
    <row r="503" spans="40:42" x14ac:dyDescent="0.3">
      <c r="AN503">
        <v>499</v>
      </c>
      <c r="AO503" s="11">
        <v>35136.160000000003</v>
      </c>
      <c r="AP503" s="9">
        <v>3.4445341130071885</v>
      </c>
    </row>
    <row r="504" spans="40:42" x14ac:dyDescent="0.3">
      <c r="AN504">
        <v>500</v>
      </c>
      <c r="AO504" s="11">
        <v>27671.08</v>
      </c>
      <c r="AP504" s="9">
        <v>2.9885829757722808</v>
      </c>
    </row>
    <row r="505" spans="40:42" x14ac:dyDescent="0.3">
      <c r="AN505">
        <v>501</v>
      </c>
      <c r="AO505" s="11">
        <v>23660.48</v>
      </c>
      <c r="AP505" s="9">
        <v>3.2190258024047278</v>
      </c>
    </row>
    <row r="506" spans="40:42" x14ac:dyDescent="0.3">
      <c r="AN506">
        <v>502</v>
      </c>
      <c r="AO506" s="11">
        <v>17128.09</v>
      </c>
      <c r="AP506" s="9">
        <v>3.6230950919385352</v>
      </c>
    </row>
    <row r="507" spans="40:42" x14ac:dyDescent="0.3">
      <c r="AN507">
        <v>503</v>
      </c>
      <c r="AO507" s="11">
        <v>28234.97</v>
      </c>
      <c r="AP507" s="9">
        <v>3.1201974970735513</v>
      </c>
    </row>
    <row r="508" spans="40:42" x14ac:dyDescent="0.3">
      <c r="AN508">
        <v>504</v>
      </c>
      <c r="AO508" s="11">
        <v>36311.980000000003</v>
      </c>
      <c r="AP508" s="9">
        <v>4.171887043003534</v>
      </c>
    </row>
    <row r="509" spans="40:42" x14ac:dyDescent="0.3">
      <c r="AN509">
        <v>505</v>
      </c>
      <c r="AO509" s="11">
        <v>26720.16</v>
      </c>
      <c r="AP509" s="9">
        <v>3.2797005771259213</v>
      </c>
    </row>
    <row r="510" spans="40:42" x14ac:dyDescent="0.3">
      <c r="AN510">
        <v>506</v>
      </c>
      <c r="AO510" s="11">
        <v>29496.080000000002</v>
      </c>
      <c r="AP510" s="9">
        <v>3.5997854750901142</v>
      </c>
    </row>
    <row r="511" spans="40:42" x14ac:dyDescent="0.3">
      <c r="AN511">
        <v>507</v>
      </c>
      <c r="AO511" s="11">
        <v>27072.23</v>
      </c>
      <c r="AP511" s="9">
        <v>3.2675497692686899</v>
      </c>
    </row>
    <row r="512" spans="40:42" x14ac:dyDescent="0.3">
      <c r="AN512">
        <v>508</v>
      </c>
      <c r="AO512" s="11">
        <v>24825.3</v>
      </c>
      <c r="AP512" s="9">
        <v>3.3079622879704598</v>
      </c>
    </row>
    <row r="513" spans="40:42" x14ac:dyDescent="0.3">
      <c r="AN513">
        <v>509</v>
      </c>
      <c r="AO513" s="11">
        <v>23172.6</v>
      </c>
      <c r="AP513" s="9">
        <v>3.0948537114696055</v>
      </c>
    </row>
    <row r="514" spans="40:42" x14ac:dyDescent="0.3">
      <c r="AN514">
        <v>510</v>
      </c>
      <c r="AO514" s="11">
        <v>41381.370000000003</v>
      </c>
      <c r="AP514" s="9">
        <v>3.7650123615303301</v>
      </c>
    </row>
    <row r="515" spans="40:42" x14ac:dyDescent="0.3">
      <c r="AN515">
        <v>511</v>
      </c>
      <c r="AO515" s="11">
        <v>16615.71</v>
      </c>
      <c r="AP515" s="9">
        <v>2.9745307468988331</v>
      </c>
    </row>
    <row r="516" spans="40:42" x14ac:dyDescent="0.3">
      <c r="AN516">
        <v>512</v>
      </c>
      <c r="AO516" s="11">
        <v>27578.28</v>
      </c>
      <c r="AP516" s="9">
        <v>3.9178397651166548</v>
      </c>
    </row>
    <row r="517" spans="40:42" x14ac:dyDescent="0.3">
      <c r="AN517">
        <v>513</v>
      </c>
      <c r="AO517" s="11">
        <v>21987.49</v>
      </c>
      <c r="AP517" s="9">
        <v>2.9892780819196005</v>
      </c>
    </row>
    <row r="518" spans="40:42" x14ac:dyDescent="0.3">
      <c r="AN518">
        <v>514</v>
      </c>
      <c r="AO518" s="11">
        <v>31703.26</v>
      </c>
      <c r="AP518" s="9">
        <v>2.9785362467960019</v>
      </c>
    </row>
    <row r="519" spans="40:42" x14ac:dyDescent="0.3">
      <c r="AN519">
        <v>515</v>
      </c>
      <c r="AO519" s="11">
        <v>30040.27</v>
      </c>
      <c r="AP519" s="9">
        <v>3.3319648108527895</v>
      </c>
    </row>
    <row r="520" spans="40:42" x14ac:dyDescent="0.3">
      <c r="AN520">
        <v>516</v>
      </c>
      <c r="AO520" s="11">
        <v>21603.48</v>
      </c>
      <c r="AP520" s="9">
        <v>3.377042019558171</v>
      </c>
    </row>
    <row r="521" spans="40:42" x14ac:dyDescent="0.3">
      <c r="AN521">
        <v>517</v>
      </c>
      <c r="AO521" s="11">
        <v>26070.29</v>
      </c>
      <c r="AP521" s="9">
        <v>3.3575886350624997</v>
      </c>
    </row>
    <row r="522" spans="40:42" x14ac:dyDescent="0.3">
      <c r="AN522">
        <v>518</v>
      </c>
      <c r="AO522" s="11">
        <v>23253.48</v>
      </c>
      <c r="AP522" s="9">
        <v>2.6559808030516434</v>
      </c>
    </row>
    <row r="523" spans="40:42" x14ac:dyDescent="0.3">
      <c r="AN523">
        <v>519</v>
      </c>
      <c r="AO523" s="11">
        <v>32073.77</v>
      </c>
      <c r="AP523" s="9">
        <v>3.4290729491333365</v>
      </c>
    </row>
    <row r="524" spans="40:42" x14ac:dyDescent="0.3">
      <c r="AN524">
        <v>520</v>
      </c>
      <c r="AO524" s="11">
        <v>22182.69</v>
      </c>
      <c r="AP524" s="9">
        <v>3.1735376700752127</v>
      </c>
    </row>
    <row r="525" spans="40:42" x14ac:dyDescent="0.3">
      <c r="AN525">
        <v>521</v>
      </c>
      <c r="AO525" s="11">
        <v>24936.13</v>
      </c>
      <c r="AP525" s="9">
        <v>3.5488926937237482</v>
      </c>
    </row>
    <row r="526" spans="40:42" x14ac:dyDescent="0.3">
      <c r="AN526">
        <v>522</v>
      </c>
      <c r="AO526" s="11">
        <v>28450.05</v>
      </c>
      <c r="AP526" s="9">
        <v>3.1310794006460738</v>
      </c>
    </row>
    <row r="527" spans="40:42" x14ac:dyDescent="0.3">
      <c r="AN527">
        <v>523</v>
      </c>
      <c r="AO527" s="11">
        <v>22827.9</v>
      </c>
      <c r="AP527" s="9">
        <v>2.9688709156698572</v>
      </c>
    </row>
    <row r="528" spans="40:42" x14ac:dyDescent="0.3">
      <c r="AN528">
        <v>524</v>
      </c>
      <c r="AO528" s="11">
        <v>16740.89</v>
      </c>
      <c r="AP528" s="9">
        <v>3.3180339038234994</v>
      </c>
    </row>
    <row r="529" spans="40:42" x14ac:dyDescent="0.3">
      <c r="AN529">
        <v>525</v>
      </c>
      <c r="AO529" s="11">
        <v>24229.08</v>
      </c>
      <c r="AP529" s="9">
        <v>2.9948708843671512</v>
      </c>
    </row>
    <row r="530" spans="40:42" x14ac:dyDescent="0.3">
      <c r="AN530">
        <v>526</v>
      </c>
      <c r="AO530" s="11">
        <v>21094.37</v>
      </c>
      <c r="AP530" s="9">
        <v>3.1176971159205467</v>
      </c>
    </row>
    <row r="531" spans="40:42" x14ac:dyDescent="0.3">
      <c r="AN531">
        <v>527</v>
      </c>
      <c r="AO531" s="11">
        <v>15701.82</v>
      </c>
      <c r="AP531" s="9">
        <v>2.8210027544559244</v>
      </c>
    </row>
    <row r="532" spans="40:42" x14ac:dyDescent="0.3">
      <c r="AN532">
        <v>528</v>
      </c>
      <c r="AO532" s="11">
        <v>18954.5</v>
      </c>
      <c r="AP532" s="9">
        <v>2.6069594828342888</v>
      </c>
    </row>
    <row r="533" spans="40:42" x14ac:dyDescent="0.3">
      <c r="AN533">
        <v>529</v>
      </c>
      <c r="AO533" s="11">
        <v>13162.29</v>
      </c>
      <c r="AP533" s="9">
        <v>3.7364083265454053</v>
      </c>
    </row>
    <row r="534" spans="40:42" x14ac:dyDescent="0.3">
      <c r="AN534">
        <v>530</v>
      </c>
      <c r="AO534" s="11">
        <v>21476.42</v>
      </c>
      <c r="AP534" s="9">
        <v>2.9194692728513867</v>
      </c>
    </row>
    <row r="535" spans="40:42" x14ac:dyDescent="0.3">
      <c r="AN535">
        <v>531</v>
      </c>
      <c r="AO535" s="11">
        <v>27783.66</v>
      </c>
      <c r="AP535" s="9">
        <v>3.7240103133139661</v>
      </c>
    </row>
    <row r="536" spans="40:42" x14ac:dyDescent="0.3">
      <c r="AN536">
        <v>532</v>
      </c>
      <c r="AO536" s="11">
        <v>33560.14</v>
      </c>
      <c r="AP536" s="9">
        <v>3.204384113707953</v>
      </c>
    </row>
    <row r="537" spans="40:42" x14ac:dyDescent="0.3">
      <c r="AN537">
        <v>533</v>
      </c>
      <c r="AO537" s="11">
        <v>37600.67</v>
      </c>
      <c r="AP537" s="9">
        <v>3.8201475735145811</v>
      </c>
    </row>
    <row r="538" spans="40:42" x14ac:dyDescent="0.3">
      <c r="AN538">
        <v>534</v>
      </c>
      <c r="AO538" s="11">
        <v>29601.82</v>
      </c>
      <c r="AP538" s="9">
        <v>3.1276912121392946</v>
      </c>
    </row>
    <row r="539" spans="40:42" x14ac:dyDescent="0.3">
      <c r="AN539">
        <v>535</v>
      </c>
      <c r="AO539" s="11">
        <v>18430.61</v>
      </c>
      <c r="AP539" s="9">
        <v>3.5832526778438605</v>
      </c>
    </row>
    <row r="540" spans="40:42" x14ac:dyDescent="0.3">
      <c r="AN540">
        <v>536</v>
      </c>
      <c r="AO540" s="11">
        <v>42072.32</v>
      </c>
      <c r="AP540" s="9">
        <v>3.2630442498330998</v>
      </c>
    </row>
    <row r="541" spans="40:42" x14ac:dyDescent="0.3">
      <c r="AN541">
        <v>537</v>
      </c>
      <c r="AO541" s="11">
        <v>20428.32</v>
      </c>
      <c r="AP541" s="9">
        <v>3.260279429806261</v>
      </c>
    </row>
    <row r="542" spans="40:42" x14ac:dyDescent="0.3">
      <c r="AN542">
        <v>538</v>
      </c>
      <c r="AO542" s="11">
        <v>29612.61</v>
      </c>
      <c r="AP542" s="9">
        <v>4.2069061276690176</v>
      </c>
    </row>
    <row r="543" spans="40:42" x14ac:dyDescent="0.3">
      <c r="AN543">
        <v>539</v>
      </c>
      <c r="AO543" s="11">
        <v>34622.620000000003</v>
      </c>
      <c r="AP543" s="9">
        <v>3.2596267689371015</v>
      </c>
    </row>
    <row r="544" spans="40:42" x14ac:dyDescent="0.3">
      <c r="AN544">
        <v>540</v>
      </c>
      <c r="AO544" s="11">
        <v>30815.51</v>
      </c>
      <c r="AP544" s="9">
        <v>3.4295542057198958</v>
      </c>
    </row>
    <row r="545" spans="40:42" x14ac:dyDescent="0.3">
      <c r="AN545">
        <v>541</v>
      </c>
      <c r="AO545" s="11">
        <v>28877.73</v>
      </c>
      <c r="AP545" s="9">
        <v>3.2353233069025751</v>
      </c>
    </row>
    <row r="546" spans="40:42" x14ac:dyDescent="0.3">
      <c r="AN546">
        <v>542</v>
      </c>
      <c r="AO546" s="11">
        <v>30673.1</v>
      </c>
      <c r="AP546" s="9">
        <v>3.2375754198424955</v>
      </c>
    </row>
    <row r="547" spans="40:42" x14ac:dyDescent="0.3">
      <c r="AN547">
        <v>543</v>
      </c>
      <c r="AO547" s="11">
        <v>20182</v>
      </c>
      <c r="AP547" s="9">
        <v>3.2835084937677612</v>
      </c>
    </row>
    <row r="548" spans="40:42" x14ac:dyDescent="0.3">
      <c r="AN548">
        <v>544</v>
      </c>
      <c r="AO548" s="11">
        <v>22852.83</v>
      </c>
      <c r="AP548" s="9">
        <v>3.6192740645951038</v>
      </c>
    </row>
    <row r="549" spans="40:42" x14ac:dyDescent="0.3">
      <c r="AN549">
        <v>545</v>
      </c>
      <c r="AO549" s="11">
        <v>29320.89</v>
      </c>
      <c r="AP549" s="9">
        <v>3.3627891309083782</v>
      </c>
    </row>
    <row r="550" spans="40:42" x14ac:dyDescent="0.3">
      <c r="AN550">
        <v>546</v>
      </c>
      <c r="AO550" s="11">
        <v>30333.3</v>
      </c>
      <c r="AP550" s="9">
        <v>3.5373449430378172</v>
      </c>
    </row>
    <row r="551" spans="40:42" x14ac:dyDescent="0.3">
      <c r="AN551">
        <v>547</v>
      </c>
      <c r="AO551" s="11">
        <v>22051.59</v>
      </c>
      <c r="AP551" s="9">
        <v>3.0397738230002118</v>
      </c>
    </row>
    <row r="552" spans="40:42" x14ac:dyDescent="0.3">
      <c r="AN552">
        <v>548</v>
      </c>
      <c r="AO552" s="11">
        <v>23094.85</v>
      </c>
      <c r="AP552" s="9">
        <v>2.8608138669511036</v>
      </c>
    </row>
    <row r="553" spans="40:42" x14ac:dyDescent="0.3">
      <c r="AN553">
        <v>549</v>
      </c>
      <c r="AO553" s="11">
        <v>25540.79</v>
      </c>
      <c r="AP553" s="9">
        <v>3.0267478367231404</v>
      </c>
    </row>
    <row r="554" spans="40:42" x14ac:dyDescent="0.3">
      <c r="AN554">
        <v>550</v>
      </c>
      <c r="AO554" s="11">
        <v>29907.360000000001</v>
      </c>
      <c r="AP554" s="9">
        <v>2.884757837471942</v>
      </c>
    </row>
    <row r="555" spans="40:42" x14ac:dyDescent="0.3">
      <c r="AN555">
        <v>551</v>
      </c>
      <c r="AO555" s="11">
        <v>18305.41</v>
      </c>
      <c r="AP555" s="9">
        <v>3.3904538305551331</v>
      </c>
    </row>
    <row r="556" spans="40:42" x14ac:dyDescent="0.3">
      <c r="AN556">
        <v>552</v>
      </c>
      <c r="AO556" s="11">
        <v>25725.360000000001</v>
      </c>
      <c r="AP556" s="9">
        <v>3.9546656850625248</v>
      </c>
    </row>
    <row r="557" spans="40:42" x14ac:dyDescent="0.3">
      <c r="AN557">
        <v>553</v>
      </c>
      <c r="AO557" s="11">
        <v>35145.32</v>
      </c>
      <c r="AP557" s="9">
        <v>3.2882237941613282</v>
      </c>
    </row>
    <row r="558" spans="40:42" x14ac:dyDescent="0.3">
      <c r="AN558">
        <v>554</v>
      </c>
      <c r="AO558" s="11">
        <v>30668.28</v>
      </c>
      <c r="AP558" s="9">
        <v>3.4308134950584783</v>
      </c>
    </row>
    <row r="559" spans="40:42" x14ac:dyDescent="0.3">
      <c r="AN559">
        <v>555</v>
      </c>
      <c r="AO559" s="11">
        <v>18817.419999999998</v>
      </c>
      <c r="AP559" s="9">
        <v>3.3489883212832137</v>
      </c>
    </row>
    <row r="560" spans="40:42" x14ac:dyDescent="0.3">
      <c r="AN560">
        <v>556</v>
      </c>
      <c r="AO560" s="11">
        <v>23004.93</v>
      </c>
      <c r="AP560" s="9">
        <v>3.9315659897738438</v>
      </c>
    </row>
    <row r="561" spans="40:42" x14ac:dyDescent="0.3">
      <c r="AN561">
        <v>557</v>
      </c>
      <c r="AO561" s="11">
        <v>39986.07</v>
      </c>
      <c r="AP561" s="9">
        <v>3.8705344178454468</v>
      </c>
    </row>
    <row r="562" spans="40:42" x14ac:dyDescent="0.3">
      <c r="AN562">
        <v>558</v>
      </c>
      <c r="AO562" s="11">
        <v>25287.09</v>
      </c>
      <c r="AP562" s="9">
        <v>2.8768004376569456</v>
      </c>
    </row>
    <row r="563" spans="40:42" x14ac:dyDescent="0.3">
      <c r="AN563">
        <v>559</v>
      </c>
      <c r="AO563" s="11">
        <v>32624.240000000002</v>
      </c>
      <c r="AP563" s="9">
        <v>3.5055813212658573</v>
      </c>
    </row>
    <row r="564" spans="40:42" x14ac:dyDescent="0.3">
      <c r="AN564">
        <v>560</v>
      </c>
      <c r="AO564" s="11">
        <v>41799.550000000003</v>
      </c>
      <c r="AP564" s="9">
        <v>4.0354869760529004</v>
      </c>
    </row>
    <row r="565" spans="40:42" x14ac:dyDescent="0.3">
      <c r="AN565">
        <v>561</v>
      </c>
      <c r="AO565" s="11">
        <v>28501.34</v>
      </c>
      <c r="AP565" s="9">
        <v>2.9927620638760697</v>
      </c>
    </row>
    <row r="566" spans="40:42" x14ac:dyDescent="0.3">
      <c r="AN566">
        <v>562</v>
      </c>
      <c r="AO566" s="11">
        <v>22282.36</v>
      </c>
      <c r="AP566" s="9">
        <v>3.2763986247189512</v>
      </c>
    </row>
    <row r="567" spans="40:42" x14ac:dyDescent="0.3">
      <c r="AN567">
        <v>563</v>
      </c>
      <c r="AO567" s="11">
        <v>27846.720000000001</v>
      </c>
      <c r="AP567" s="9">
        <v>3.4101768214721466</v>
      </c>
    </row>
    <row r="568" spans="40:42" x14ac:dyDescent="0.3">
      <c r="AN568">
        <v>564</v>
      </c>
      <c r="AO568" s="11">
        <v>23542.58</v>
      </c>
      <c r="AP568" s="9">
        <v>3.2763040222317015</v>
      </c>
    </row>
    <row r="569" spans="40:42" x14ac:dyDescent="0.3">
      <c r="AN569">
        <v>565</v>
      </c>
      <c r="AO569" s="11">
        <v>30090.67</v>
      </c>
      <c r="AP569" s="9">
        <v>3.3544481666387016</v>
      </c>
    </row>
    <row r="570" spans="40:42" x14ac:dyDescent="0.3">
      <c r="AN570">
        <v>566</v>
      </c>
      <c r="AO570" s="11">
        <v>26460.66</v>
      </c>
      <c r="AP570" s="9">
        <v>2.8049103138245632</v>
      </c>
    </row>
    <row r="571" spans="40:42" x14ac:dyDescent="0.3">
      <c r="AN571">
        <v>567</v>
      </c>
      <c r="AO571" s="11">
        <v>39191.07</v>
      </c>
      <c r="AP571" s="9">
        <v>3.6829361162823608</v>
      </c>
    </row>
    <row r="572" spans="40:42" x14ac:dyDescent="0.3">
      <c r="AN572">
        <v>568</v>
      </c>
      <c r="AO572" s="11">
        <v>27195.05</v>
      </c>
      <c r="AP572" s="9">
        <v>3.0910287169070916</v>
      </c>
    </row>
    <row r="573" spans="40:42" x14ac:dyDescent="0.3">
      <c r="AN573">
        <v>569</v>
      </c>
      <c r="AO573" s="11">
        <v>27463.55</v>
      </c>
      <c r="AP573" s="9">
        <v>3.6781540030067177</v>
      </c>
    </row>
    <row r="574" spans="40:42" x14ac:dyDescent="0.3">
      <c r="AN574">
        <v>570</v>
      </c>
      <c r="AO574" s="11">
        <v>28778.27</v>
      </c>
      <c r="AP574" s="9">
        <v>3.7153685699265937</v>
      </c>
    </row>
    <row r="575" spans="40:42" x14ac:dyDescent="0.3">
      <c r="AN575">
        <v>571</v>
      </c>
      <c r="AO575" s="11">
        <v>16902.939999999999</v>
      </c>
      <c r="AP575" s="9">
        <v>3.5535927537110905</v>
      </c>
    </row>
    <row r="576" spans="40:42" x14ac:dyDescent="0.3">
      <c r="AN576">
        <v>572</v>
      </c>
      <c r="AO576" s="11">
        <v>14732.6</v>
      </c>
      <c r="AP576" s="9">
        <v>2.7918142145684404</v>
      </c>
    </row>
    <row r="577" spans="40:42" x14ac:dyDescent="0.3">
      <c r="AN577">
        <v>573</v>
      </c>
      <c r="AO577" s="11">
        <v>15547.38</v>
      </c>
      <c r="AP577" s="9">
        <v>3.3373763299719954</v>
      </c>
    </row>
    <row r="578" spans="40:42" x14ac:dyDescent="0.3">
      <c r="AN578">
        <v>574</v>
      </c>
      <c r="AO578" s="11">
        <v>17491.240000000002</v>
      </c>
      <c r="AP578" s="9">
        <v>2.7120210789117456</v>
      </c>
    </row>
    <row r="579" spans="40:42" x14ac:dyDescent="0.3">
      <c r="AN579">
        <v>575</v>
      </c>
      <c r="AO579" s="11">
        <v>20345.62</v>
      </c>
      <c r="AP579" s="9">
        <v>2.9432982416560418</v>
      </c>
    </row>
    <row r="580" spans="40:42" x14ac:dyDescent="0.3">
      <c r="AN580">
        <v>576</v>
      </c>
      <c r="AO580" s="11">
        <v>31709.1</v>
      </c>
      <c r="AP580" s="9">
        <v>4.0165894632268122</v>
      </c>
    </row>
    <row r="581" spans="40:42" x14ac:dyDescent="0.3">
      <c r="AN581">
        <v>577</v>
      </c>
      <c r="AO581" s="11">
        <v>23210.25</v>
      </c>
      <c r="AP581" s="9">
        <v>4.1708045617225959</v>
      </c>
    </row>
    <row r="582" spans="40:42" x14ac:dyDescent="0.3">
      <c r="AN582">
        <v>578</v>
      </c>
      <c r="AO582" s="11">
        <v>34708.050000000003</v>
      </c>
      <c r="AP582" s="9">
        <v>2.7924238390820699</v>
      </c>
    </row>
    <row r="583" spans="40:42" x14ac:dyDescent="0.3">
      <c r="AN583">
        <v>579</v>
      </c>
      <c r="AO583" s="11">
        <v>38621.64</v>
      </c>
      <c r="AP583" s="9">
        <v>3.8089094487648034</v>
      </c>
    </row>
    <row r="584" spans="40:42" x14ac:dyDescent="0.3">
      <c r="AN584">
        <v>580</v>
      </c>
      <c r="AO584" s="11">
        <v>17831.14</v>
      </c>
      <c r="AP584" s="9">
        <v>3.490440508468494</v>
      </c>
    </row>
    <row r="585" spans="40:42" x14ac:dyDescent="0.3">
      <c r="AN585">
        <v>581</v>
      </c>
      <c r="AO585" s="11">
        <v>23964.01</v>
      </c>
      <c r="AP585" s="9">
        <v>3.6964819887488956</v>
      </c>
    </row>
    <row r="586" spans="40:42" x14ac:dyDescent="0.3">
      <c r="AN586">
        <v>582</v>
      </c>
      <c r="AO586" s="11">
        <v>38024.74</v>
      </c>
      <c r="AP586" s="9">
        <v>3.6454330242898054</v>
      </c>
    </row>
    <row r="587" spans="40:42" x14ac:dyDescent="0.3">
      <c r="AN587">
        <v>583</v>
      </c>
      <c r="AO587" s="11">
        <v>35190.050000000003</v>
      </c>
      <c r="AP587" s="9">
        <v>3.5782579677002819</v>
      </c>
    </row>
    <row r="588" spans="40:42" x14ac:dyDescent="0.3">
      <c r="AN588">
        <v>584</v>
      </c>
      <c r="AO588" s="11">
        <v>33345.96</v>
      </c>
      <c r="AP588" s="9">
        <v>3.6377964841216879</v>
      </c>
    </row>
    <row r="589" spans="40:42" x14ac:dyDescent="0.3">
      <c r="AN589">
        <v>585</v>
      </c>
      <c r="AO589" s="11">
        <v>33507.07</v>
      </c>
      <c r="AP589" s="9">
        <v>3.748402891351533</v>
      </c>
    </row>
    <row r="590" spans="40:42" x14ac:dyDescent="0.3">
      <c r="AN590">
        <v>586</v>
      </c>
      <c r="AO590" s="11">
        <v>23893.3</v>
      </c>
      <c r="AP590" s="9">
        <v>3.4288720054704847</v>
      </c>
    </row>
    <row r="591" spans="40:42" x14ac:dyDescent="0.3">
      <c r="AN591">
        <v>587</v>
      </c>
      <c r="AO591" s="11">
        <v>28962.06</v>
      </c>
      <c r="AP591" s="9">
        <v>3.4528047524705801</v>
      </c>
    </row>
    <row r="592" spans="40:42" x14ac:dyDescent="0.3">
      <c r="AN592">
        <v>588</v>
      </c>
      <c r="AO592" s="11">
        <v>20736.05</v>
      </c>
      <c r="AP592" s="9">
        <v>3.2409135555252093</v>
      </c>
    </row>
    <row r="593" spans="40:42" x14ac:dyDescent="0.3">
      <c r="AN593">
        <v>589</v>
      </c>
      <c r="AO593" s="11">
        <v>28041.7</v>
      </c>
      <c r="AP593" s="9">
        <v>3.6201783553571736</v>
      </c>
    </row>
    <row r="594" spans="40:42" x14ac:dyDescent="0.3">
      <c r="AN594">
        <v>590</v>
      </c>
      <c r="AO594" s="11">
        <v>20369.28</v>
      </c>
      <c r="AP594" s="9">
        <v>3.3615659813107022</v>
      </c>
    </row>
    <row r="595" spans="40:42" x14ac:dyDescent="0.3">
      <c r="AN595">
        <v>591</v>
      </c>
      <c r="AO595" s="11">
        <v>32211.89</v>
      </c>
      <c r="AP595" s="9">
        <v>3.477379422682751</v>
      </c>
    </row>
    <row r="596" spans="40:42" x14ac:dyDescent="0.3">
      <c r="AN596">
        <v>592</v>
      </c>
      <c r="AO596" s="11">
        <v>56413.48</v>
      </c>
      <c r="AP596" s="9">
        <v>4.2196937373433814</v>
      </c>
    </row>
    <row r="597" spans="40:42" x14ac:dyDescent="0.3">
      <c r="AN597">
        <v>593</v>
      </c>
      <c r="AO597" s="11">
        <v>22050.33</v>
      </c>
      <c r="AP597" s="9">
        <v>3.1143419974325015</v>
      </c>
    </row>
    <row r="598" spans="40:42" x14ac:dyDescent="0.3">
      <c r="AN598">
        <v>594</v>
      </c>
      <c r="AO598" s="11">
        <v>52785.18</v>
      </c>
      <c r="AP598" s="9">
        <v>3.991374309782425</v>
      </c>
    </row>
    <row r="599" spans="40:42" x14ac:dyDescent="0.3">
      <c r="AN599">
        <v>595</v>
      </c>
      <c r="AO599" s="11">
        <v>40715.019999999997</v>
      </c>
      <c r="AP599" s="9">
        <v>4.1385291949058942</v>
      </c>
    </row>
    <row r="600" spans="40:42" x14ac:dyDescent="0.3">
      <c r="AN600">
        <v>596</v>
      </c>
      <c r="AO600" s="11">
        <v>30895.8</v>
      </c>
      <c r="AP600" s="9">
        <v>3.6547743246898814</v>
      </c>
    </row>
    <row r="601" spans="40:42" x14ac:dyDescent="0.3">
      <c r="AN601">
        <v>597</v>
      </c>
      <c r="AO601" s="11">
        <v>18142.72</v>
      </c>
      <c r="AP601" s="9">
        <v>3.2374413150157473</v>
      </c>
    </row>
    <row r="602" spans="40:42" x14ac:dyDescent="0.3">
      <c r="AN602">
        <v>598</v>
      </c>
      <c r="AO602" s="11">
        <v>28210.21</v>
      </c>
      <c r="AP602" s="9">
        <v>3.1116765185461994</v>
      </c>
    </row>
    <row r="603" spans="40:42" x14ac:dyDescent="0.3">
      <c r="AN603">
        <v>599</v>
      </c>
      <c r="AO603" s="11">
        <v>32178.28</v>
      </c>
      <c r="AP603" s="9">
        <v>3.9006648778489517</v>
      </c>
    </row>
    <row r="604" spans="40:42" x14ac:dyDescent="0.3">
      <c r="AN604">
        <v>600</v>
      </c>
      <c r="AO604" s="11">
        <v>19745.5</v>
      </c>
      <c r="AP604" s="9">
        <v>3.4662669245425617</v>
      </c>
    </row>
    <row r="605" spans="40:42" x14ac:dyDescent="0.3">
      <c r="AN605">
        <v>601</v>
      </c>
      <c r="AO605" s="11">
        <v>29085.43</v>
      </c>
      <c r="AP605" s="9">
        <v>3.6243677929606886</v>
      </c>
    </row>
    <row r="606" spans="40:42" x14ac:dyDescent="0.3">
      <c r="AN606">
        <v>602</v>
      </c>
      <c r="AO606" s="11">
        <v>16764.02</v>
      </c>
      <c r="AP606" s="9">
        <v>2.6220085429590738</v>
      </c>
    </row>
    <row r="607" spans="40:42" x14ac:dyDescent="0.3">
      <c r="AN607">
        <v>603</v>
      </c>
      <c r="AO607" s="11">
        <v>34341.769999999997</v>
      </c>
      <c r="AP607" s="9">
        <v>3.1871013275158657</v>
      </c>
    </row>
    <row r="608" spans="40:42" x14ac:dyDescent="0.3">
      <c r="AN608">
        <v>604</v>
      </c>
      <c r="AO608" s="11">
        <v>32887.07</v>
      </c>
      <c r="AP608" s="9">
        <v>3.7467730585152901</v>
      </c>
    </row>
    <row r="609" spans="40:42" x14ac:dyDescent="0.3">
      <c r="AN609">
        <v>605</v>
      </c>
      <c r="AO609" s="11">
        <v>29629.51</v>
      </c>
      <c r="AP609" s="9">
        <v>3.9503810157209118</v>
      </c>
    </row>
    <row r="610" spans="40:42" x14ac:dyDescent="0.3">
      <c r="AN610">
        <v>606</v>
      </c>
      <c r="AO610" s="11">
        <v>22711.01</v>
      </c>
      <c r="AP610" s="9">
        <v>2.6452755581182914</v>
      </c>
    </row>
    <row r="611" spans="40:42" x14ac:dyDescent="0.3">
      <c r="AN611">
        <v>607</v>
      </c>
      <c r="AO611" s="11">
        <v>22061.78</v>
      </c>
      <c r="AP611" s="9">
        <v>3.2175897620931897</v>
      </c>
    </row>
    <row r="612" spans="40:42" x14ac:dyDescent="0.3">
      <c r="AN612">
        <v>608</v>
      </c>
      <c r="AO612" s="11">
        <v>24411.5</v>
      </c>
      <c r="AP612" s="9">
        <v>3.2683915853635721</v>
      </c>
    </row>
    <row r="613" spans="40:42" x14ac:dyDescent="0.3">
      <c r="AN613">
        <v>609</v>
      </c>
      <c r="AO613" s="11">
        <v>25729.15</v>
      </c>
      <c r="AP613" s="9">
        <v>3.0438404527753526</v>
      </c>
    </row>
    <row r="614" spans="40:42" x14ac:dyDescent="0.3">
      <c r="AN614">
        <v>610</v>
      </c>
      <c r="AO614" s="11">
        <v>34760.33</v>
      </c>
      <c r="AP614" s="9">
        <v>3.9515562194885869</v>
      </c>
    </row>
    <row r="615" spans="40:42" x14ac:dyDescent="0.3">
      <c r="AN615">
        <v>611</v>
      </c>
      <c r="AO615" s="11">
        <v>29851.37</v>
      </c>
      <c r="AP615" s="9">
        <v>4.3134990741316219</v>
      </c>
    </row>
    <row r="616" spans="40:42" x14ac:dyDescent="0.3">
      <c r="AN616">
        <v>612</v>
      </c>
      <c r="AO616" s="11">
        <v>33100.559999999998</v>
      </c>
      <c r="AP616" s="9">
        <v>3.0845312215897356</v>
      </c>
    </row>
    <row r="617" spans="40:42" x14ac:dyDescent="0.3">
      <c r="AN617">
        <v>613</v>
      </c>
      <c r="AO617" s="11">
        <v>24205.32</v>
      </c>
      <c r="AP617" s="9">
        <v>2.7711782353382315</v>
      </c>
    </row>
    <row r="618" spans="40:42" x14ac:dyDescent="0.3">
      <c r="AN618">
        <v>614</v>
      </c>
      <c r="AO618" s="11">
        <v>32279.599999999999</v>
      </c>
      <c r="AP618" s="9">
        <v>3.2816638512340468</v>
      </c>
    </row>
    <row r="619" spans="40:42" x14ac:dyDescent="0.3">
      <c r="AN619">
        <v>615</v>
      </c>
      <c r="AO619" s="11">
        <v>28727.11</v>
      </c>
      <c r="AP619" s="9">
        <v>3.2515580220750664</v>
      </c>
    </row>
    <row r="620" spans="40:42" x14ac:dyDescent="0.3">
      <c r="AN620">
        <v>616</v>
      </c>
      <c r="AO620" s="11">
        <v>30459.74</v>
      </c>
      <c r="AP620" s="9">
        <v>2.965647462225268</v>
      </c>
    </row>
    <row r="621" spans="40:42" x14ac:dyDescent="0.3">
      <c r="AN621">
        <v>617</v>
      </c>
      <c r="AO621" s="11">
        <v>29670.28</v>
      </c>
      <c r="AP621" s="9">
        <v>2.7842999823342875</v>
      </c>
    </row>
    <row r="622" spans="40:42" x14ac:dyDescent="0.3">
      <c r="AN622">
        <v>618</v>
      </c>
      <c r="AO622" s="11">
        <v>20733.34</v>
      </c>
      <c r="AP622" s="9">
        <v>3.3891018555592058</v>
      </c>
    </row>
    <row r="623" spans="40:42" x14ac:dyDescent="0.3">
      <c r="AN623">
        <v>619</v>
      </c>
      <c r="AO623" s="11">
        <v>34097.730000000003</v>
      </c>
      <c r="AP623" s="9">
        <v>4.3335949827551445</v>
      </c>
    </row>
    <row r="624" spans="40:42" x14ac:dyDescent="0.3">
      <c r="AN624">
        <v>620</v>
      </c>
      <c r="AO624" s="11">
        <v>34531.160000000003</v>
      </c>
      <c r="AP624" s="9">
        <v>3.8167817327074465</v>
      </c>
    </row>
    <row r="625" spans="40:42" x14ac:dyDescent="0.3">
      <c r="AN625">
        <v>621</v>
      </c>
      <c r="AO625" s="11">
        <v>26104.59</v>
      </c>
      <c r="AP625" s="9">
        <v>2.9830052964341638</v>
      </c>
    </row>
    <row r="626" spans="40:42" x14ac:dyDescent="0.3">
      <c r="AN626">
        <v>622</v>
      </c>
      <c r="AO626" s="11">
        <v>25893.54</v>
      </c>
      <c r="AP626" s="9">
        <v>3.0346390423552001</v>
      </c>
    </row>
    <row r="627" spans="40:42" x14ac:dyDescent="0.3">
      <c r="AN627">
        <v>623</v>
      </c>
      <c r="AO627" s="11">
        <v>18710.39</v>
      </c>
      <c r="AP627" s="9">
        <v>3.4762413214263828</v>
      </c>
    </row>
    <row r="628" spans="40:42" x14ac:dyDescent="0.3">
      <c r="AN628">
        <v>624</v>
      </c>
      <c r="AO628" s="11">
        <v>37902.94</v>
      </c>
      <c r="AP628" s="9">
        <v>3.770618043092179</v>
      </c>
    </row>
    <row r="629" spans="40:42" x14ac:dyDescent="0.3">
      <c r="AN629">
        <v>625</v>
      </c>
      <c r="AO629" s="11">
        <v>29446.1</v>
      </c>
      <c r="AP629" s="9">
        <v>3.1167058844234408</v>
      </c>
    </row>
    <row r="630" spans="40:42" x14ac:dyDescent="0.3">
      <c r="AN630">
        <v>626</v>
      </c>
      <c r="AO630" s="11">
        <v>27658.959999999999</v>
      </c>
      <c r="AP630" s="9">
        <v>3.5745972249102187</v>
      </c>
    </row>
    <row r="631" spans="40:42" x14ac:dyDescent="0.3">
      <c r="AN631">
        <v>627</v>
      </c>
      <c r="AO631" s="11">
        <v>20697.89</v>
      </c>
      <c r="AP631" s="9">
        <v>2.917992534156693</v>
      </c>
    </row>
    <row r="632" spans="40:42" x14ac:dyDescent="0.3">
      <c r="AN632">
        <v>628</v>
      </c>
      <c r="AO632" s="11">
        <v>15965.16</v>
      </c>
      <c r="AP632" s="9">
        <v>3.1171988357355729</v>
      </c>
    </row>
    <row r="633" spans="40:42" x14ac:dyDescent="0.3">
      <c r="AN633">
        <v>629</v>
      </c>
      <c r="AO633" s="11">
        <v>25130.03</v>
      </c>
      <c r="AP633" s="9">
        <v>3.2562597946679772</v>
      </c>
    </row>
    <row r="634" spans="40:42" x14ac:dyDescent="0.3">
      <c r="AN634">
        <v>630</v>
      </c>
      <c r="AO634" s="11">
        <v>26989.95</v>
      </c>
      <c r="AP634" s="9">
        <v>3.023566633228945</v>
      </c>
    </row>
    <row r="635" spans="40:42" x14ac:dyDescent="0.3">
      <c r="AN635">
        <v>631</v>
      </c>
      <c r="AO635" s="11">
        <v>29015.65</v>
      </c>
      <c r="AP635" s="9">
        <v>4.0580452506790268</v>
      </c>
    </row>
    <row r="636" spans="40:42" x14ac:dyDescent="0.3">
      <c r="AN636">
        <v>632</v>
      </c>
      <c r="AO636" s="11">
        <v>29533.62</v>
      </c>
      <c r="AP636" s="9">
        <v>3.842376963402141</v>
      </c>
    </row>
    <row r="637" spans="40:42" x14ac:dyDescent="0.3">
      <c r="AN637">
        <v>633</v>
      </c>
      <c r="AO637" s="11">
        <v>28555</v>
      </c>
      <c r="AP637" s="9">
        <v>3.2952145447155381</v>
      </c>
    </row>
    <row r="638" spans="40:42" x14ac:dyDescent="0.3">
      <c r="AN638">
        <v>634</v>
      </c>
      <c r="AO638" s="11">
        <v>23500.87</v>
      </c>
      <c r="AP638" s="9">
        <v>2.8069940787900425</v>
      </c>
    </row>
    <row r="639" spans="40:42" x14ac:dyDescent="0.3">
      <c r="AN639">
        <v>635</v>
      </c>
      <c r="AO639" s="11">
        <v>14231.74</v>
      </c>
      <c r="AP639" s="9">
        <v>2.2737456705126347</v>
      </c>
    </row>
    <row r="640" spans="40:42" x14ac:dyDescent="0.3">
      <c r="AN640">
        <v>636</v>
      </c>
      <c r="AO640" s="11">
        <v>14240.3</v>
      </c>
      <c r="AP640" s="9">
        <v>2.7371526679204599</v>
      </c>
    </row>
    <row r="641" spans="40:42" x14ac:dyDescent="0.3">
      <c r="AN641">
        <v>637</v>
      </c>
      <c r="AO641" s="11">
        <v>24582.39</v>
      </c>
      <c r="AP641" s="9">
        <v>3.6040383161917506</v>
      </c>
    </row>
    <row r="642" spans="40:42" x14ac:dyDescent="0.3">
      <c r="AN642">
        <v>638</v>
      </c>
      <c r="AO642" s="11">
        <v>32891.43</v>
      </c>
      <c r="AP642" s="9">
        <v>3.4772556102243883</v>
      </c>
    </row>
    <row r="643" spans="40:42" x14ac:dyDescent="0.3">
      <c r="AN643">
        <v>639</v>
      </c>
      <c r="AO643" s="11">
        <v>14078.08</v>
      </c>
      <c r="AP643" s="9">
        <v>2.6979290863561691</v>
      </c>
    </row>
    <row r="644" spans="40:42" x14ac:dyDescent="0.3">
      <c r="AN644">
        <v>640</v>
      </c>
      <c r="AO644" s="11">
        <v>17860.419999999998</v>
      </c>
      <c r="AP644" s="9">
        <v>3.6988101720497171</v>
      </c>
    </row>
    <row r="645" spans="40:42" x14ac:dyDescent="0.3">
      <c r="AN645">
        <v>641</v>
      </c>
      <c r="AO645" s="11">
        <v>28704.27</v>
      </c>
      <c r="AP645" s="9">
        <v>3.3023893401274136</v>
      </c>
    </row>
    <row r="646" spans="40:42" x14ac:dyDescent="0.3">
      <c r="AN646">
        <v>642</v>
      </c>
      <c r="AO646" s="11">
        <v>38453.730000000003</v>
      </c>
      <c r="AP646" s="9">
        <v>4.2984847979344059</v>
      </c>
    </row>
    <row r="647" spans="40:42" x14ac:dyDescent="0.3">
      <c r="AN647">
        <v>643</v>
      </c>
      <c r="AO647" s="11">
        <v>16199.21</v>
      </c>
      <c r="AP647" s="9">
        <v>2.9603312717926831</v>
      </c>
    </row>
    <row r="648" spans="40:42" x14ac:dyDescent="0.3">
      <c r="AN648">
        <v>644</v>
      </c>
      <c r="AO648" s="11">
        <v>24949.74</v>
      </c>
      <c r="AP648" s="9">
        <v>2.6612576192781856</v>
      </c>
    </row>
    <row r="649" spans="40:42" x14ac:dyDescent="0.3">
      <c r="AN649">
        <v>645</v>
      </c>
      <c r="AO649" s="11">
        <v>39322.660000000003</v>
      </c>
      <c r="AP649" s="9">
        <v>3.4172744794723022</v>
      </c>
    </row>
    <row r="650" spans="40:42" x14ac:dyDescent="0.3">
      <c r="AN650">
        <v>646</v>
      </c>
      <c r="AO650" s="11">
        <v>33338.300000000003</v>
      </c>
      <c r="AP650" s="9">
        <v>3.0827737553575427</v>
      </c>
    </row>
    <row r="651" spans="40:42" x14ac:dyDescent="0.3">
      <c r="AN651">
        <v>647</v>
      </c>
      <c r="AO651" s="11">
        <v>26624.37</v>
      </c>
      <c r="AP651" s="9">
        <v>3.0933379573688051</v>
      </c>
    </row>
    <row r="652" spans="40:42" x14ac:dyDescent="0.3">
      <c r="AN652">
        <v>648</v>
      </c>
      <c r="AO652" s="11">
        <v>23245.01</v>
      </c>
      <c r="AP652" s="9">
        <v>3.6858411460851643</v>
      </c>
    </row>
    <row r="653" spans="40:42" x14ac:dyDescent="0.3">
      <c r="AN653">
        <v>649</v>
      </c>
      <c r="AO653" s="11">
        <v>20437.89</v>
      </c>
      <c r="AP653" s="9">
        <v>3.2173599892750673</v>
      </c>
    </row>
    <row r="654" spans="40:42" x14ac:dyDescent="0.3">
      <c r="AN654">
        <v>650</v>
      </c>
      <c r="AO654" s="11">
        <v>26220.05</v>
      </c>
      <c r="AP654" s="9">
        <v>3.3930076279953578</v>
      </c>
    </row>
    <row r="655" spans="40:42" x14ac:dyDescent="0.3">
      <c r="AN655">
        <v>651</v>
      </c>
      <c r="AO655" s="11">
        <v>27211.07</v>
      </c>
      <c r="AP655" s="9">
        <v>3.5650657794973721</v>
      </c>
    </row>
    <row r="656" spans="40:42" x14ac:dyDescent="0.3">
      <c r="AN656">
        <v>652</v>
      </c>
      <c r="AO656" s="11">
        <v>16939.78</v>
      </c>
      <c r="AP656" s="9">
        <v>3.2992029877049074</v>
      </c>
    </row>
    <row r="657" spans="40:42" x14ac:dyDescent="0.3">
      <c r="AN657">
        <v>653</v>
      </c>
      <c r="AO657" s="11">
        <v>28151.25</v>
      </c>
      <c r="AP657" s="9">
        <v>2.8037627792937929</v>
      </c>
    </row>
    <row r="658" spans="40:42" x14ac:dyDescent="0.3">
      <c r="AN658">
        <v>654</v>
      </c>
      <c r="AO658" s="11">
        <v>27078.86</v>
      </c>
      <c r="AP658" s="9">
        <v>3.7273965140500844</v>
      </c>
    </row>
    <row r="659" spans="40:42" x14ac:dyDescent="0.3">
      <c r="AN659">
        <v>655</v>
      </c>
      <c r="AO659" s="11">
        <v>30411.32</v>
      </c>
      <c r="AP659" s="9">
        <v>3.1743151614104863</v>
      </c>
    </row>
    <row r="660" spans="40:42" x14ac:dyDescent="0.3">
      <c r="AN660">
        <v>656</v>
      </c>
      <c r="AO660" s="11">
        <v>30663.07</v>
      </c>
      <c r="AP660" s="9">
        <v>2.9716240119644777</v>
      </c>
    </row>
    <row r="661" spans="40:42" x14ac:dyDescent="0.3">
      <c r="AN661">
        <v>657</v>
      </c>
      <c r="AO661" s="11">
        <v>36797.11</v>
      </c>
      <c r="AP661" s="9">
        <v>4.195077828151466</v>
      </c>
    </row>
    <row r="662" spans="40:42" x14ac:dyDescent="0.3">
      <c r="AN662">
        <v>658</v>
      </c>
      <c r="AO662" s="11">
        <v>29423.68</v>
      </c>
      <c r="AP662" s="9">
        <v>3.3712040965705921</v>
      </c>
    </row>
    <row r="663" spans="40:42" x14ac:dyDescent="0.3">
      <c r="AN663">
        <v>659</v>
      </c>
      <c r="AO663" s="11">
        <v>28842.89</v>
      </c>
      <c r="AP663" s="9">
        <v>3.1126010930283421</v>
      </c>
    </row>
    <row r="664" spans="40:42" x14ac:dyDescent="0.3">
      <c r="AN664">
        <v>660</v>
      </c>
      <c r="AO664" s="11">
        <v>37523.14</v>
      </c>
      <c r="AP664" s="9">
        <v>3.4873611691799455</v>
      </c>
    </row>
    <row r="665" spans="40:42" x14ac:dyDescent="0.3">
      <c r="AN665">
        <v>661</v>
      </c>
      <c r="AO665" s="11">
        <v>24607.4</v>
      </c>
      <c r="AP665" s="9">
        <v>3.2138910240082721</v>
      </c>
    </row>
    <row r="666" spans="40:42" x14ac:dyDescent="0.3">
      <c r="AN666">
        <v>662</v>
      </c>
      <c r="AO666" s="11">
        <v>16237.55</v>
      </c>
      <c r="AP666" s="9">
        <v>3.4248445524121984</v>
      </c>
    </row>
    <row r="667" spans="40:42" x14ac:dyDescent="0.3">
      <c r="AN667">
        <v>663</v>
      </c>
      <c r="AO667" s="11">
        <v>32075.98</v>
      </c>
      <c r="AP667" s="9">
        <v>3.197930051071785</v>
      </c>
    </row>
    <row r="668" spans="40:42" x14ac:dyDescent="0.3">
      <c r="AN668">
        <v>664</v>
      </c>
      <c r="AO668" s="11">
        <v>28018.21</v>
      </c>
      <c r="AP668" s="9">
        <v>3.920612687621893</v>
      </c>
    </row>
    <row r="669" spans="40:42" x14ac:dyDescent="0.3">
      <c r="AN669">
        <v>665</v>
      </c>
      <c r="AO669" s="11">
        <v>21775.4</v>
      </c>
      <c r="AP669" s="9">
        <v>3.1796696597227725</v>
      </c>
    </row>
    <row r="670" spans="40:42" x14ac:dyDescent="0.3">
      <c r="AN670">
        <v>666</v>
      </c>
      <c r="AO670" s="11">
        <v>23652.68</v>
      </c>
      <c r="AP670" s="9">
        <v>3.0877152326970743</v>
      </c>
    </row>
    <row r="671" spans="40:42" x14ac:dyDescent="0.3">
      <c r="AN671">
        <v>667</v>
      </c>
      <c r="AO671" s="11">
        <v>38379.089999999997</v>
      </c>
      <c r="AP671" s="9">
        <v>3.2183812117127082</v>
      </c>
    </row>
    <row r="672" spans="40:42" x14ac:dyDescent="0.3">
      <c r="AN672">
        <v>668</v>
      </c>
      <c r="AO672" s="11">
        <v>33609.269999999997</v>
      </c>
      <c r="AP672" s="9">
        <v>4.0174064191551189</v>
      </c>
    </row>
    <row r="673" spans="40:42" x14ac:dyDescent="0.3">
      <c r="AN673">
        <v>669</v>
      </c>
      <c r="AO673" s="11">
        <v>25016.19</v>
      </c>
      <c r="AP673" s="9">
        <v>2.8444117921462846</v>
      </c>
    </row>
    <row r="674" spans="40:42" x14ac:dyDescent="0.3">
      <c r="AN674">
        <v>670</v>
      </c>
      <c r="AO674" s="11">
        <v>33147.870000000003</v>
      </c>
      <c r="AP674" s="9">
        <v>2.9570045237593843</v>
      </c>
    </row>
    <row r="675" spans="40:42" x14ac:dyDescent="0.3">
      <c r="AN675">
        <v>671</v>
      </c>
      <c r="AO675" s="11">
        <v>19642.59</v>
      </c>
      <c r="AP675" s="9">
        <v>2.8561223198764125</v>
      </c>
    </row>
    <row r="676" spans="40:42" x14ac:dyDescent="0.3">
      <c r="AN676">
        <v>672</v>
      </c>
      <c r="AO676" s="11">
        <v>23414.46</v>
      </c>
      <c r="AP676" s="9">
        <v>3.2285259387040934</v>
      </c>
    </row>
    <row r="677" spans="40:42" x14ac:dyDescent="0.3">
      <c r="AN677">
        <v>673</v>
      </c>
      <c r="AO677" s="11">
        <v>24179.7</v>
      </c>
      <c r="AP677" s="9">
        <v>3.2372341946513967</v>
      </c>
    </row>
    <row r="678" spans="40:42" x14ac:dyDescent="0.3">
      <c r="AN678">
        <v>674</v>
      </c>
      <c r="AO678" s="11">
        <v>21431.77</v>
      </c>
      <c r="AP678" s="9">
        <v>2.6269369121551942</v>
      </c>
    </row>
    <row r="679" spans="40:42" x14ac:dyDescent="0.3">
      <c r="AN679">
        <v>675</v>
      </c>
      <c r="AO679" s="11">
        <v>26620.400000000001</v>
      </c>
      <c r="AP679" s="9">
        <v>3.434165148066382</v>
      </c>
    </row>
    <row r="680" spans="40:42" x14ac:dyDescent="0.3">
      <c r="AN680">
        <v>676</v>
      </c>
      <c r="AO680" s="11">
        <v>16359.53</v>
      </c>
      <c r="AP680" s="9">
        <v>3.2554592495154742</v>
      </c>
    </row>
    <row r="681" spans="40:42" x14ac:dyDescent="0.3">
      <c r="AN681">
        <v>677</v>
      </c>
      <c r="AO681" s="11">
        <v>25886.5</v>
      </c>
      <c r="AP681" s="9">
        <v>3.3294539435952544</v>
      </c>
    </row>
    <row r="682" spans="40:42" x14ac:dyDescent="0.3">
      <c r="AN682">
        <v>678</v>
      </c>
      <c r="AO682" s="11">
        <v>19541.68</v>
      </c>
      <c r="AP682" s="9">
        <v>3.6704864294222617</v>
      </c>
    </row>
    <row r="683" spans="40:42" x14ac:dyDescent="0.3">
      <c r="AN683">
        <v>679</v>
      </c>
      <c r="AO683" s="11">
        <v>22217.01</v>
      </c>
      <c r="AP683" s="9">
        <v>3.112195817015297</v>
      </c>
    </row>
    <row r="684" spans="40:42" x14ac:dyDescent="0.3">
      <c r="AN684">
        <v>680</v>
      </c>
      <c r="AO684" s="11">
        <v>30093.8</v>
      </c>
      <c r="AP684" s="9">
        <v>3.7495504751714055</v>
      </c>
    </row>
    <row r="685" spans="40:42" x14ac:dyDescent="0.3">
      <c r="AN685">
        <v>681</v>
      </c>
      <c r="AO685" s="11">
        <v>24156.26</v>
      </c>
      <c r="AP685" s="9">
        <v>3.331240387172739</v>
      </c>
    </row>
    <row r="686" spans="40:42" x14ac:dyDescent="0.3">
      <c r="AN686">
        <v>682</v>
      </c>
      <c r="AO686" s="11">
        <v>40132.959999999999</v>
      </c>
      <c r="AP686" s="9">
        <v>3.8932197249186991</v>
      </c>
    </row>
    <row r="687" spans="40:42" x14ac:dyDescent="0.3">
      <c r="AN687">
        <v>683</v>
      </c>
      <c r="AO687" s="11">
        <v>32537.46</v>
      </c>
      <c r="AP687" s="9">
        <v>3.7204594375871389</v>
      </c>
    </row>
    <row r="688" spans="40:42" x14ac:dyDescent="0.3">
      <c r="AN688">
        <v>684</v>
      </c>
      <c r="AO688" s="11">
        <v>28352.57</v>
      </c>
      <c r="AP688" s="9">
        <v>3.4546730364228884</v>
      </c>
    </row>
    <row r="689" spans="40:42" x14ac:dyDescent="0.3">
      <c r="AN689">
        <v>685</v>
      </c>
      <c r="AO689" s="11">
        <v>21448.81</v>
      </c>
      <c r="AP689" s="9">
        <v>3.3435262199376572</v>
      </c>
    </row>
    <row r="690" spans="40:42" x14ac:dyDescent="0.3">
      <c r="AN690">
        <v>686</v>
      </c>
      <c r="AO690" s="11">
        <v>22359.86</v>
      </c>
      <c r="AP690" s="9">
        <v>3.6069197367224159</v>
      </c>
    </row>
    <row r="691" spans="40:42" x14ac:dyDescent="0.3">
      <c r="AN691">
        <v>687</v>
      </c>
      <c r="AO691" s="11">
        <v>25393.78</v>
      </c>
      <c r="AP691" s="9">
        <v>3.3512604661849883</v>
      </c>
    </row>
    <row r="692" spans="40:42" x14ac:dyDescent="0.3">
      <c r="AN692">
        <v>688</v>
      </c>
      <c r="AO692" s="11">
        <v>27041.82</v>
      </c>
      <c r="AP692" s="9">
        <v>3.0798755225766357</v>
      </c>
    </row>
    <row r="693" spans="40:42" x14ac:dyDescent="0.3">
      <c r="AN693">
        <v>689</v>
      </c>
      <c r="AO693" s="11">
        <v>22305.27</v>
      </c>
      <c r="AP693" s="9">
        <v>3.1763773934693638</v>
      </c>
    </row>
    <row r="694" spans="40:42" x14ac:dyDescent="0.3">
      <c r="AN694">
        <v>690</v>
      </c>
      <c r="AO694" s="11">
        <v>24602.92</v>
      </c>
      <c r="AP694" s="9">
        <v>3.0209297145663023</v>
      </c>
    </row>
    <row r="695" spans="40:42" x14ac:dyDescent="0.3">
      <c r="AN695">
        <v>691</v>
      </c>
      <c r="AO695" s="11">
        <v>35367.14</v>
      </c>
      <c r="AP695" s="9">
        <v>3.9129088755264401</v>
      </c>
    </row>
    <row r="696" spans="40:42" x14ac:dyDescent="0.3">
      <c r="AN696">
        <v>692</v>
      </c>
      <c r="AO696" s="11">
        <v>23867.47</v>
      </c>
      <c r="AP696" s="9">
        <v>3.1562661885536438</v>
      </c>
    </row>
    <row r="697" spans="40:42" x14ac:dyDescent="0.3">
      <c r="AN697">
        <v>693</v>
      </c>
      <c r="AO697" s="11">
        <v>21809.64</v>
      </c>
      <c r="AP697" s="9">
        <v>2.5167806365649561</v>
      </c>
    </row>
    <row r="698" spans="40:42" x14ac:dyDescent="0.3">
      <c r="AN698">
        <v>694</v>
      </c>
      <c r="AO698" s="11">
        <v>26247.94</v>
      </c>
      <c r="AP698" s="9">
        <v>3.5816124156921081</v>
      </c>
    </row>
    <row r="699" spans="40:42" x14ac:dyDescent="0.3">
      <c r="AN699">
        <v>695</v>
      </c>
      <c r="AO699" s="11">
        <v>32360.69</v>
      </c>
      <c r="AP699" s="9">
        <v>4.3102371386797165</v>
      </c>
    </row>
    <row r="700" spans="40:42" x14ac:dyDescent="0.3">
      <c r="AN700">
        <v>696</v>
      </c>
      <c r="AO700" s="11">
        <v>39745.96</v>
      </c>
      <c r="AP700" s="9">
        <v>3.0756079037812367</v>
      </c>
    </row>
    <row r="701" spans="40:42" x14ac:dyDescent="0.3">
      <c r="AN701">
        <v>697</v>
      </c>
      <c r="AO701" s="11">
        <v>20076.560000000001</v>
      </c>
      <c r="AP701" s="9">
        <v>3.2633946997802155</v>
      </c>
    </row>
    <row r="702" spans="40:42" x14ac:dyDescent="0.3">
      <c r="AN702">
        <v>698</v>
      </c>
      <c r="AO702" s="11">
        <v>29889.27</v>
      </c>
      <c r="AP702" s="9">
        <v>3.1190034306647365</v>
      </c>
    </row>
    <row r="703" spans="40:42" x14ac:dyDescent="0.3">
      <c r="AN703">
        <v>699</v>
      </c>
      <c r="AO703" s="11">
        <v>20985.78</v>
      </c>
      <c r="AP703" s="9">
        <v>3.2856403469196396</v>
      </c>
    </row>
    <row r="704" spans="40:42" x14ac:dyDescent="0.3">
      <c r="AN704">
        <v>700</v>
      </c>
      <c r="AO704" s="11">
        <v>19985.78</v>
      </c>
      <c r="AP704" s="9">
        <v>3.2299422296437319</v>
      </c>
    </row>
    <row r="705" spans="40:42" x14ac:dyDescent="0.3">
      <c r="AN705">
        <v>701</v>
      </c>
      <c r="AO705" s="11">
        <v>17391.16</v>
      </c>
      <c r="AP705" s="9">
        <v>3.0566361068098389</v>
      </c>
    </row>
    <row r="706" spans="40:42" x14ac:dyDescent="0.3">
      <c r="AN706">
        <v>702</v>
      </c>
      <c r="AO706" s="11">
        <v>17709.43</v>
      </c>
      <c r="AP706" s="9">
        <v>3.2967231828719079</v>
      </c>
    </row>
    <row r="707" spans="40:42" x14ac:dyDescent="0.3">
      <c r="AN707">
        <v>703</v>
      </c>
      <c r="AO707" s="11">
        <v>21125.83</v>
      </c>
      <c r="AP707" s="9">
        <v>3.400070808423246</v>
      </c>
    </row>
    <row r="708" spans="40:42" x14ac:dyDescent="0.3">
      <c r="AN708">
        <v>704</v>
      </c>
      <c r="AO708" s="11">
        <v>41841.769999999997</v>
      </c>
      <c r="AP708" s="9">
        <v>3.2322730525754175</v>
      </c>
    </row>
    <row r="709" spans="40:42" x14ac:dyDescent="0.3">
      <c r="AN709">
        <v>705</v>
      </c>
      <c r="AO709" s="11">
        <v>22270.34</v>
      </c>
      <c r="AP709" s="9">
        <v>3.1882658127450787</v>
      </c>
    </row>
    <row r="710" spans="40:42" x14ac:dyDescent="0.3">
      <c r="AN710">
        <v>706</v>
      </c>
      <c r="AO710" s="11">
        <v>22175.33</v>
      </c>
      <c r="AP710" s="9">
        <v>3.5734642211927468</v>
      </c>
    </row>
    <row r="711" spans="40:42" x14ac:dyDescent="0.3">
      <c r="AN711">
        <v>707</v>
      </c>
      <c r="AO711" s="11">
        <v>35102.15</v>
      </c>
      <c r="AP711" s="9">
        <v>3.1973226535231305</v>
      </c>
    </row>
    <row r="712" spans="40:42" x14ac:dyDescent="0.3">
      <c r="AN712">
        <v>708</v>
      </c>
      <c r="AO712" s="11">
        <v>27682.1</v>
      </c>
      <c r="AP712" s="9">
        <v>2.9308070240381379</v>
      </c>
    </row>
    <row r="713" spans="40:42" x14ac:dyDescent="0.3">
      <c r="AN713">
        <v>709</v>
      </c>
      <c r="AO713" s="11">
        <v>36680.15</v>
      </c>
      <c r="AP713" s="9">
        <v>4.3051959375709359</v>
      </c>
    </row>
    <row r="714" spans="40:42" x14ac:dyDescent="0.3">
      <c r="AN714">
        <v>710</v>
      </c>
      <c r="AO714" s="11">
        <v>25479.89</v>
      </c>
      <c r="AP714" s="9">
        <v>3.5412688571683986</v>
      </c>
    </row>
    <row r="715" spans="40:42" x14ac:dyDescent="0.3">
      <c r="AN715">
        <v>711</v>
      </c>
      <c r="AO715" s="11">
        <v>27052.52</v>
      </c>
      <c r="AP715" s="9">
        <v>3.3330219033680981</v>
      </c>
    </row>
    <row r="716" spans="40:42" x14ac:dyDescent="0.3">
      <c r="AN716">
        <v>712</v>
      </c>
      <c r="AO716" s="11">
        <v>21354.75</v>
      </c>
      <c r="AP716" s="9">
        <v>3.1922490001189012</v>
      </c>
    </row>
    <row r="717" spans="40:42" x14ac:dyDescent="0.3">
      <c r="AN717">
        <v>713</v>
      </c>
      <c r="AO717" s="11">
        <v>30218.639999999999</v>
      </c>
      <c r="AP717" s="9">
        <v>2.9012144599882714</v>
      </c>
    </row>
    <row r="718" spans="40:42" x14ac:dyDescent="0.3">
      <c r="AN718">
        <v>714</v>
      </c>
      <c r="AO718" s="11">
        <v>18258.650000000001</v>
      </c>
      <c r="AP718" s="9">
        <v>2.9181173312191442</v>
      </c>
    </row>
    <row r="719" spans="40:42" x14ac:dyDescent="0.3">
      <c r="AN719">
        <v>715</v>
      </c>
      <c r="AO719" s="11">
        <v>30818.58</v>
      </c>
      <c r="AP719" s="9">
        <v>3.6202359497618026</v>
      </c>
    </row>
    <row r="720" spans="40:42" x14ac:dyDescent="0.3">
      <c r="AN720">
        <v>716</v>
      </c>
      <c r="AO720" s="11">
        <v>23801.47</v>
      </c>
      <c r="AP720" s="9">
        <v>3.5579026417823982</v>
      </c>
    </row>
    <row r="721" spans="40:42" x14ac:dyDescent="0.3">
      <c r="AN721">
        <v>717</v>
      </c>
      <c r="AO721" s="11">
        <v>22360.44</v>
      </c>
      <c r="AP721" s="9">
        <v>3.3240224473598641</v>
      </c>
    </row>
    <row r="722" spans="40:42" x14ac:dyDescent="0.3">
      <c r="AN722">
        <v>718</v>
      </c>
      <c r="AO722" s="11">
        <v>34108.400000000001</v>
      </c>
      <c r="AP722" s="9">
        <v>3.739960757108026</v>
      </c>
    </row>
    <row r="723" spans="40:42" x14ac:dyDescent="0.3">
      <c r="AN723">
        <v>719</v>
      </c>
      <c r="AO723" s="11">
        <v>28628.98</v>
      </c>
      <c r="AP723" s="9">
        <v>3.9926149876783312</v>
      </c>
    </row>
    <row r="724" spans="40:42" x14ac:dyDescent="0.3">
      <c r="AN724">
        <v>720</v>
      </c>
      <c r="AO724" s="11">
        <v>29749.06</v>
      </c>
      <c r="AP724" s="9">
        <v>3.8771547855774808</v>
      </c>
    </row>
    <row r="725" spans="40:42" x14ac:dyDescent="0.3">
      <c r="AN725">
        <v>721</v>
      </c>
      <c r="AO725" s="11">
        <v>22152.98</v>
      </c>
      <c r="AP725" s="9">
        <v>3.3265774322404811</v>
      </c>
    </row>
    <row r="726" spans="40:42" x14ac:dyDescent="0.3">
      <c r="AN726">
        <v>722</v>
      </c>
      <c r="AO726" s="11">
        <v>20462.25</v>
      </c>
      <c r="AP726" s="9">
        <v>2.988938189093401</v>
      </c>
    </row>
    <row r="727" spans="40:42" x14ac:dyDescent="0.3">
      <c r="AN727">
        <v>723</v>
      </c>
      <c r="AO727" s="11">
        <v>18546.82</v>
      </c>
      <c r="AP727" s="9">
        <v>2.7747782077500798</v>
      </c>
    </row>
    <row r="728" spans="40:42" x14ac:dyDescent="0.3">
      <c r="AN728">
        <v>724</v>
      </c>
      <c r="AO728" s="11">
        <v>27894.15</v>
      </c>
      <c r="AP728" s="9">
        <v>3.100289404478012</v>
      </c>
    </row>
    <row r="729" spans="40:42" x14ac:dyDescent="0.3">
      <c r="AN729">
        <v>725</v>
      </c>
      <c r="AO729" s="11">
        <v>34598.29</v>
      </c>
      <c r="AP729" s="9">
        <v>3.2206703361769922</v>
      </c>
    </row>
    <row r="730" spans="40:42" x14ac:dyDescent="0.3">
      <c r="AN730">
        <v>726</v>
      </c>
      <c r="AO730" s="11">
        <v>37408.300000000003</v>
      </c>
      <c r="AP730" s="9">
        <v>4.0559053222743602</v>
      </c>
    </row>
    <row r="731" spans="40:42" x14ac:dyDescent="0.3">
      <c r="AN731">
        <v>727</v>
      </c>
      <c r="AO731" s="11">
        <v>19327.900000000001</v>
      </c>
      <c r="AP731" s="9">
        <v>2.6125129338667952</v>
      </c>
    </row>
    <row r="732" spans="40:42" x14ac:dyDescent="0.3">
      <c r="AN732">
        <v>728</v>
      </c>
      <c r="AO732" s="11">
        <v>22982.63</v>
      </c>
      <c r="AP732" s="9">
        <v>2.9202515062496883</v>
      </c>
    </row>
    <row r="733" spans="40:42" x14ac:dyDescent="0.3">
      <c r="AN733">
        <v>729</v>
      </c>
      <c r="AO733" s="11">
        <v>27732.47</v>
      </c>
      <c r="AP733" s="9">
        <v>3.6759955688286041</v>
      </c>
    </row>
    <row r="734" spans="40:42" x14ac:dyDescent="0.3">
      <c r="AN734">
        <v>730</v>
      </c>
      <c r="AO734" s="11">
        <v>20104.490000000002</v>
      </c>
      <c r="AP734" s="9">
        <v>3.0933881869430224</v>
      </c>
    </row>
    <row r="735" spans="40:42" x14ac:dyDescent="0.3">
      <c r="AN735">
        <v>731</v>
      </c>
      <c r="AO735" s="11">
        <v>24612.69</v>
      </c>
      <c r="AP735" s="9">
        <v>2.877634729188502</v>
      </c>
    </row>
    <row r="736" spans="40:42" x14ac:dyDescent="0.3">
      <c r="AN736">
        <v>732</v>
      </c>
      <c r="AO736" s="11">
        <v>30737.65</v>
      </c>
      <c r="AP736" s="9">
        <v>3.2095151855623838</v>
      </c>
    </row>
    <row r="737" spans="40:42" x14ac:dyDescent="0.3">
      <c r="AN737">
        <v>733</v>
      </c>
      <c r="AO737" s="11">
        <v>25158.58</v>
      </c>
      <c r="AP737" s="9">
        <v>4.3700080782671948</v>
      </c>
    </row>
    <row r="738" spans="40:42" x14ac:dyDescent="0.3">
      <c r="AN738">
        <v>734</v>
      </c>
      <c r="AO738" s="11">
        <v>22004.52</v>
      </c>
      <c r="AP738" s="9">
        <v>3.2557883198591298</v>
      </c>
    </row>
    <row r="739" spans="40:42" x14ac:dyDescent="0.3">
      <c r="AN739">
        <v>735</v>
      </c>
      <c r="AO739" s="11">
        <v>16851.759999999998</v>
      </c>
      <c r="AP739" s="9">
        <v>2.6569600454638498</v>
      </c>
    </row>
    <row r="740" spans="40:42" x14ac:dyDescent="0.3">
      <c r="AN740">
        <v>736</v>
      </c>
      <c r="AO740" s="11">
        <v>32933.64</v>
      </c>
      <c r="AP740" s="9">
        <v>4.7166160802003931</v>
      </c>
    </row>
    <row r="741" spans="40:42" x14ac:dyDescent="0.3">
      <c r="AN741">
        <v>737</v>
      </c>
      <c r="AO741" s="11">
        <v>25622.76</v>
      </c>
      <c r="AP741" s="9">
        <v>3.4584104258413135</v>
      </c>
    </row>
    <row r="742" spans="40:42" x14ac:dyDescent="0.3">
      <c r="AN742">
        <v>738</v>
      </c>
      <c r="AO742" s="11">
        <v>49545.49</v>
      </c>
      <c r="AP742" s="9">
        <v>4.0270554893715191</v>
      </c>
    </row>
    <row r="743" spans="40:42" x14ac:dyDescent="0.3">
      <c r="AN743">
        <v>739</v>
      </c>
      <c r="AO743" s="11">
        <v>22812.560000000001</v>
      </c>
      <c r="AP743" s="9">
        <v>3.1259581796684976</v>
      </c>
    </row>
    <row r="744" spans="40:42" x14ac:dyDescent="0.3">
      <c r="AN744">
        <v>740</v>
      </c>
      <c r="AO744" s="11">
        <v>21264.959999999999</v>
      </c>
      <c r="AP744" s="9">
        <v>2.9679721826393664</v>
      </c>
    </row>
    <row r="745" spans="40:42" x14ac:dyDescent="0.3">
      <c r="AN745">
        <v>741</v>
      </c>
      <c r="AO745" s="11">
        <v>27378.93</v>
      </c>
      <c r="AP745" s="9">
        <v>3.1749729379389779</v>
      </c>
    </row>
    <row r="746" spans="40:42" x14ac:dyDescent="0.3">
      <c r="AN746">
        <v>742</v>
      </c>
      <c r="AO746" s="11">
        <v>20167.27</v>
      </c>
      <c r="AP746" s="9">
        <v>2.8969237443755604</v>
      </c>
    </row>
    <row r="747" spans="40:42" x14ac:dyDescent="0.3">
      <c r="AN747">
        <v>743</v>
      </c>
      <c r="AO747" s="11">
        <v>26539.4</v>
      </c>
      <c r="AP747" s="9">
        <v>3.6420610221104073</v>
      </c>
    </row>
    <row r="748" spans="40:42" x14ac:dyDescent="0.3">
      <c r="AN748">
        <v>744</v>
      </c>
      <c r="AO748" s="11">
        <v>18723.27</v>
      </c>
      <c r="AP748" s="9">
        <v>3.3759239488921811</v>
      </c>
    </row>
    <row r="749" spans="40:42" x14ac:dyDescent="0.3">
      <c r="AN749">
        <v>745</v>
      </c>
      <c r="AO749" s="11">
        <v>26022.67</v>
      </c>
      <c r="AP749" s="9">
        <v>3.8307760011689149</v>
      </c>
    </row>
    <row r="750" spans="40:42" x14ac:dyDescent="0.3">
      <c r="AN750">
        <v>746</v>
      </c>
      <c r="AO750" s="11">
        <v>42167.73</v>
      </c>
      <c r="AP750" s="9">
        <v>3.4681170774199215</v>
      </c>
    </row>
    <row r="751" spans="40:42" x14ac:dyDescent="0.3">
      <c r="AN751">
        <v>747</v>
      </c>
      <c r="AO751" s="11">
        <v>17599.009999999998</v>
      </c>
      <c r="AP751" s="9">
        <v>3.237986473011389</v>
      </c>
    </row>
    <row r="752" spans="40:42" x14ac:dyDescent="0.3">
      <c r="AN752">
        <v>748</v>
      </c>
      <c r="AO752" s="11">
        <v>17600.28</v>
      </c>
      <c r="AP752" s="9">
        <v>3.2390499100141561</v>
      </c>
    </row>
    <row r="753" spans="40:42" x14ac:dyDescent="0.3">
      <c r="AN753">
        <v>749</v>
      </c>
      <c r="AO753" s="11">
        <v>27209.88</v>
      </c>
      <c r="AP753" s="9">
        <v>3.6272427981645925</v>
      </c>
    </row>
    <row r="754" spans="40:42" x14ac:dyDescent="0.3">
      <c r="AN754">
        <v>750</v>
      </c>
      <c r="AO754" s="11">
        <v>22794.99</v>
      </c>
      <c r="AP754" s="9">
        <v>2.8740381156137489</v>
      </c>
    </row>
    <row r="755" spans="40:42" x14ac:dyDescent="0.3">
      <c r="AN755">
        <v>751</v>
      </c>
      <c r="AO755" s="11">
        <v>28943.01</v>
      </c>
      <c r="AP755" s="9">
        <v>3.6444112116306577</v>
      </c>
    </row>
    <row r="756" spans="40:42" x14ac:dyDescent="0.3">
      <c r="AN756">
        <v>752</v>
      </c>
      <c r="AO756" s="11">
        <v>31449.73</v>
      </c>
      <c r="AP756" s="9">
        <v>3.4001459821153004</v>
      </c>
    </row>
    <row r="757" spans="40:42" x14ac:dyDescent="0.3">
      <c r="AN757">
        <v>753</v>
      </c>
      <c r="AO757" s="11">
        <v>22363.599999999999</v>
      </c>
      <c r="AP757" s="9">
        <v>2.8959778422034397</v>
      </c>
    </row>
    <row r="758" spans="40:42" x14ac:dyDescent="0.3">
      <c r="AN758">
        <v>754</v>
      </c>
      <c r="AO758" s="11">
        <v>30428.47</v>
      </c>
      <c r="AP758" s="9">
        <v>3.3193113027896484</v>
      </c>
    </row>
    <row r="759" spans="40:42" x14ac:dyDescent="0.3">
      <c r="AN759">
        <v>755</v>
      </c>
      <c r="AO759" s="11">
        <v>23107.66</v>
      </c>
      <c r="AP759" s="9">
        <v>3.5657635299982657</v>
      </c>
    </row>
    <row r="760" spans="40:42" x14ac:dyDescent="0.3">
      <c r="AN760">
        <v>756</v>
      </c>
      <c r="AO760" s="11">
        <v>25739.51</v>
      </c>
      <c r="AP760" s="9">
        <v>3.6027561200616973</v>
      </c>
    </row>
    <row r="761" spans="40:42" x14ac:dyDescent="0.3">
      <c r="AN761">
        <v>757</v>
      </c>
      <c r="AO761" s="11">
        <v>22373.41</v>
      </c>
      <c r="AP761" s="9">
        <v>3.0704816215647899</v>
      </c>
    </row>
    <row r="762" spans="40:42" x14ac:dyDescent="0.3">
      <c r="AN762">
        <v>758</v>
      </c>
      <c r="AO762" s="11">
        <v>27285.16</v>
      </c>
      <c r="AP762" s="9">
        <v>3.605414582527382</v>
      </c>
    </row>
    <row r="763" spans="40:42" x14ac:dyDescent="0.3">
      <c r="AN763">
        <v>759</v>
      </c>
      <c r="AO763" s="11">
        <v>20312.88</v>
      </c>
      <c r="AP763" s="9">
        <v>4.273688220811108</v>
      </c>
    </row>
    <row r="764" spans="40:42" x14ac:dyDescent="0.3">
      <c r="AN764">
        <v>760</v>
      </c>
      <c r="AO764" s="11">
        <v>27205</v>
      </c>
      <c r="AP764" s="9">
        <v>3.5606863257431165</v>
      </c>
    </row>
    <row r="765" spans="40:42" x14ac:dyDescent="0.3">
      <c r="AN765">
        <v>761</v>
      </c>
      <c r="AO765" s="11">
        <v>21870.14</v>
      </c>
      <c r="AP765" s="9">
        <v>3.4300418521386602</v>
      </c>
    </row>
    <row r="766" spans="40:42" x14ac:dyDescent="0.3">
      <c r="AN766">
        <v>762</v>
      </c>
      <c r="AO766" s="11">
        <v>28202.6</v>
      </c>
      <c r="AP766" s="9">
        <v>3.4900687772893866</v>
      </c>
    </row>
    <row r="767" spans="40:42" x14ac:dyDescent="0.3">
      <c r="AN767">
        <v>763</v>
      </c>
      <c r="AO767" s="11">
        <v>20037.060000000001</v>
      </c>
      <c r="AP767" s="9">
        <v>3.2046426973871873</v>
      </c>
    </row>
    <row r="768" spans="40:42" x14ac:dyDescent="0.3">
      <c r="AN768">
        <v>764</v>
      </c>
      <c r="AO768" s="11">
        <v>27447.71</v>
      </c>
      <c r="AP768" s="9">
        <v>3.736243225422839</v>
      </c>
    </row>
    <row r="769" spans="40:42" x14ac:dyDescent="0.3">
      <c r="AN769">
        <v>765</v>
      </c>
      <c r="AO769" s="11">
        <v>22856.19</v>
      </c>
      <c r="AP769" s="9">
        <v>2.8546482336256891</v>
      </c>
    </row>
    <row r="770" spans="40:42" x14ac:dyDescent="0.3">
      <c r="AN770">
        <v>766</v>
      </c>
      <c r="AO770" s="11">
        <v>20267.41</v>
      </c>
      <c r="AP770" s="9">
        <v>2.5267642574761533</v>
      </c>
    </row>
    <row r="771" spans="40:42" x14ac:dyDescent="0.3">
      <c r="AN771">
        <v>767</v>
      </c>
      <c r="AO771" s="11">
        <v>32752.46</v>
      </c>
      <c r="AP771" s="9">
        <v>3.645914904940569</v>
      </c>
    </row>
    <row r="772" spans="40:42" x14ac:dyDescent="0.3">
      <c r="AN772">
        <v>768</v>
      </c>
      <c r="AO772" s="11">
        <v>23443.71</v>
      </c>
      <c r="AP772" s="9">
        <v>3.3212320377575715</v>
      </c>
    </row>
    <row r="773" spans="40:42" x14ac:dyDescent="0.3">
      <c r="AN773">
        <v>769</v>
      </c>
      <c r="AO773" s="11">
        <v>25136.53</v>
      </c>
      <c r="AP773" s="9">
        <v>2.95278258934465</v>
      </c>
    </row>
    <row r="774" spans="40:42" x14ac:dyDescent="0.3">
      <c r="AN774">
        <v>770</v>
      </c>
      <c r="AO774" s="11">
        <v>19533.55</v>
      </c>
      <c r="AP774" s="9">
        <v>3.3366217193145888</v>
      </c>
    </row>
    <row r="775" spans="40:42" x14ac:dyDescent="0.3">
      <c r="AN775">
        <v>771</v>
      </c>
      <c r="AO775" s="11">
        <v>38228.129999999997</v>
      </c>
      <c r="AP775" s="9">
        <v>3.219647801937934</v>
      </c>
    </row>
    <row r="776" spans="40:42" x14ac:dyDescent="0.3">
      <c r="AN776">
        <v>772</v>
      </c>
      <c r="AO776" s="11">
        <v>37182.46</v>
      </c>
      <c r="AP776" s="9">
        <v>3.6755730394685791</v>
      </c>
    </row>
    <row r="777" spans="40:42" x14ac:dyDescent="0.3">
      <c r="AN777">
        <v>773</v>
      </c>
      <c r="AO777" s="11">
        <v>22155.439999999999</v>
      </c>
      <c r="AP777" s="9">
        <v>3.3616295470422539</v>
      </c>
    </row>
    <row r="778" spans="40:42" x14ac:dyDescent="0.3">
      <c r="AN778">
        <v>774</v>
      </c>
      <c r="AO778" s="11">
        <v>28115.45</v>
      </c>
      <c r="AP778" s="9">
        <v>3.2928798374778343</v>
      </c>
    </row>
    <row r="779" spans="40:42" x14ac:dyDescent="0.3">
      <c r="AN779">
        <v>775</v>
      </c>
      <c r="AO779" s="11">
        <v>22608.46</v>
      </c>
      <c r="AP779" s="9">
        <v>4.0082066258240348</v>
      </c>
    </row>
    <row r="780" spans="40:42" x14ac:dyDescent="0.3">
      <c r="AN780">
        <v>776</v>
      </c>
      <c r="AO780" s="11">
        <v>28523.040000000001</v>
      </c>
      <c r="AP780" s="9">
        <v>2.9530017523311174</v>
      </c>
    </row>
    <row r="781" spans="40:42" x14ac:dyDescent="0.3">
      <c r="AN781">
        <v>777</v>
      </c>
      <c r="AO781" s="11">
        <v>25293.59</v>
      </c>
      <c r="AP781" s="9">
        <v>2.759473228565259</v>
      </c>
    </row>
    <row r="782" spans="40:42" x14ac:dyDescent="0.3">
      <c r="AN782">
        <v>778</v>
      </c>
      <c r="AO782" s="11">
        <v>16941.060000000001</v>
      </c>
      <c r="AP782" s="9">
        <v>3.2157651608012001</v>
      </c>
    </row>
    <row r="783" spans="40:42" x14ac:dyDescent="0.3">
      <c r="AN783">
        <v>779</v>
      </c>
      <c r="AO783" s="11">
        <v>32710.560000000001</v>
      </c>
      <c r="AP783" s="9">
        <v>3.385704186983395</v>
      </c>
    </row>
    <row r="784" spans="40:42" x14ac:dyDescent="0.3">
      <c r="AN784">
        <v>780</v>
      </c>
      <c r="AO784" s="11">
        <v>39082.28</v>
      </c>
      <c r="AP784" s="9">
        <v>3.5001283019504457</v>
      </c>
    </row>
    <row r="785" spans="40:42" x14ac:dyDescent="0.3">
      <c r="AN785">
        <v>781</v>
      </c>
      <c r="AO785" s="11">
        <v>30248.6</v>
      </c>
      <c r="AP785" s="9">
        <v>3.663340043331877</v>
      </c>
    </row>
    <row r="786" spans="40:42" x14ac:dyDescent="0.3">
      <c r="AN786">
        <v>782</v>
      </c>
      <c r="AO786" s="11">
        <v>16888.03</v>
      </c>
      <c r="AP786" s="9">
        <v>3.0041382568038326</v>
      </c>
    </row>
    <row r="787" spans="40:42" x14ac:dyDescent="0.3">
      <c r="AN787">
        <v>783</v>
      </c>
      <c r="AO787" s="11">
        <v>26902.04</v>
      </c>
      <c r="AP787" s="9">
        <v>3.3324188298734754</v>
      </c>
    </row>
    <row r="788" spans="40:42" x14ac:dyDescent="0.3">
      <c r="AN788">
        <v>784</v>
      </c>
      <c r="AO788" s="11">
        <v>27964.94</v>
      </c>
      <c r="AP788" s="9">
        <v>3.2309532304616679</v>
      </c>
    </row>
    <row r="789" spans="40:42" x14ac:dyDescent="0.3">
      <c r="AN789">
        <v>785</v>
      </c>
      <c r="AO789" s="11">
        <v>21867.75</v>
      </c>
      <c r="AP789" s="9">
        <v>3.3065185618973794</v>
      </c>
    </row>
    <row r="790" spans="40:42" x14ac:dyDescent="0.3">
      <c r="AN790">
        <v>786</v>
      </c>
      <c r="AO790" s="11">
        <v>25249.119999999999</v>
      </c>
      <c r="AP790" s="9">
        <v>2.9039289216940398</v>
      </c>
    </row>
    <row r="791" spans="40:42" x14ac:dyDescent="0.3">
      <c r="AN791">
        <v>787</v>
      </c>
      <c r="AO791" s="11">
        <v>14252.17</v>
      </c>
      <c r="AP791" s="9">
        <v>2.7404819006756012</v>
      </c>
    </row>
    <row r="792" spans="40:42" x14ac:dyDescent="0.3">
      <c r="AN792">
        <v>788</v>
      </c>
      <c r="AO792" s="11">
        <v>23694.49</v>
      </c>
      <c r="AP792" s="9">
        <v>3.4210162955313086</v>
      </c>
    </row>
    <row r="793" spans="40:42" x14ac:dyDescent="0.3">
      <c r="AN793">
        <v>789</v>
      </c>
      <c r="AO793" s="11">
        <v>26219.16</v>
      </c>
      <c r="AP793" s="9">
        <v>3.5092907736642576</v>
      </c>
    </row>
    <row r="794" spans="40:42" x14ac:dyDescent="0.3">
      <c r="AN794">
        <v>790</v>
      </c>
      <c r="AO794" s="11">
        <v>12813.41</v>
      </c>
      <c r="AP794" s="9">
        <v>2.8851852795290109</v>
      </c>
    </row>
    <row r="795" spans="40:42" x14ac:dyDescent="0.3">
      <c r="AN795">
        <v>791</v>
      </c>
      <c r="AO795" s="11">
        <v>26177.439999999999</v>
      </c>
      <c r="AP795" s="9">
        <v>3.9439828409047299</v>
      </c>
    </row>
    <row r="796" spans="40:42" x14ac:dyDescent="0.3">
      <c r="AN796">
        <v>792</v>
      </c>
      <c r="AO796" s="11">
        <v>19295.11</v>
      </c>
      <c r="AP796" s="9">
        <v>3.3570149161031133</v>
      </c>
    </row>
    <row r="797" spans="40:42" x14ac:dyDescent="0.3">
      <c r="AN797">
        <v>793</v>
      </c>
      <c r="AO797" s="11">
        <v>21028.97</v>
      </c>
      <c r="AP797" s="9">
        <v>3.0273804865645619</v>
      </c>
    </row>
    <row r="798" spans="40:42" x14ac:dyDescent="0.3">
      <c r="AN798">
        <v>794</v>
      </c>
      <c r="AO798" s="11">
        <v>31604.18</v>
      </c>
      <c r="AP798" s="9">
        <v>3.4573467471202806</v>
      </c>
    </row>
    <row r="799" spans="40:42" x14ac:dyDescent="0.3">
      <c r="AN799">
        <v>795</v>
      </c>
      <c r="AO799" s="11">
        <v>44422.04</v>
      </c>
      <c r="AP799" s="9">
        <v>3.3939597670347976</v>
      </c>
    </row>
    <row r="800" spans="40:42" x14ac:dyDescent="0.3">
      <c r="AN800">
        <v>796</v>
      </c>
      <c r="AO800" s="11">
        <v>38906.49</v>
      </c>
      <c r="AP800" s="9">
        <v>3.2051437276442782</v>
      </c>
    </row>
    <row r="801" spans="40:42" x14ac:dyDescent="0.3">
      <c r="AN801">
        <v>797</v>
      </c>
      <c r="AO801" s="11">
        <v>21682.400000000001</v>
      </c>
      <c r="AP801" s="9">
        <v>3.3635572447612363</v>
      </c>
    </row>
    <row r="802" spans="40:42" x14ac:dyDescent="0.3">
      <c r="AN802">
        <v>798</v>
      </c>
      <c r="AO802" s="11">
        <v>31414.75</v>
      </c>
      <c r="AP802" s="9">
        <v>3.4988332594851097</v>
      </c>
    </row>
    <row r="803" spans="40:42" x14ac:dyDescent="0.3">
      <c r="AN803">
        <v>799</v>
      </c>
      <c r="AO803" s="11">
        <v>29714.98</v>
      </c>
      <c r="AP803" s="9">
        <v>4.0271603107799656</v>
      </c>
    </row>
    <row r="804" spans="40:42" x14ac:dyDescent="0.3">
      <c r="AN804">
        <v>800</v>
      </c>
      <c r="AO804" s="11">
        <v>12045.62</v>
      </c>
      <c r="AP804" s="9">
        <v>2.9970119237074009</v>
      </c>
    </row>
    <row r="805" spans="40:42" x14ac:dyDescent="0.3">
      <c r="AN805">
        <v>801</v>
      </c>
      <c r="AO805" s="11">
        <v>22836.97</v>
      </c>
      <c r="AP805" s="9">
        <v>3.4394280690068815</v>
      </c>
    </row>
    <row r="806" spans="40:42" x14ac:dyDescent="0.3">
      <c r="AN806">
        <v>802</v>
      </c>
      <c r="AO806" s="11">
        <v>26174.26</v>
      </c>
      <c r="AP806" s="9">
        <v>3.656071892731287</v>
      </c>
    </row>
    <row r="807" spans="40:42" x14ac:dyDescent="0.3">
      <c r="AN807">
        <v>803</v>
      </c>
      <c r="AO807" s="11">
        <v>26731.31</v>
      </c>
      <c r="AP807" s="9">
        <v>3.1176687425461007</v>
      </c>
    </row>
    <row r="808" spans="40:42" x14ac:dyDescent="0.3">
      <c r="AN808">
        <v>804</v>
      </c>
      <c r="AO808" s="11">
        <v>26798.26</v>
      </c>
      <c r="AP808" s="9">
        <v>3.2603822249607379</v>
      </c>
    </row>
    <row r="809" spans="40:42" x14ac:dyDescent="0.3">
      <c r="AN809">
        <v>805</v>
      </c>
      <c r="AO809" s="11">
        <v>34686.25</v>
      </c>
      <c r="AP809" s="9">
        <v>4.0981567448248697</v>
      </c>
    </row>
    <row r="810" spans="40:42" x14ac:dyDescent="0.3">
      <c r="AN810">
        <v>806</v>
      </c>
      <c r="AO810" s="11">
        <v>32927.769999999997</v>
      </c>
      <c r="AP810" s="9">
        <v>3.0296990765287792</v>
      </c>
    </row>
    <row r="811" spans="40:42" x14ac:dyDescent="0.3">
      <c r="AN811">
        <v>807</v>
      </c>
      <c r="AO811" s="11">
        <v>18958.62</v>
      </c>
      <c r="AP811" s="9">
        <v>3.3758022628243003</v>
      </c>
    </row>
    <row r="812" spans="40:42" x14ac:dyDescent="0.3">
      <c r="AN812">
        <v>808</v>
      </c>
      <c r="AO812" s="11">
        <v>56346.8</v>
      </c>
      <c r="AP812" s="9">
        <v>4.1524193732524521</v>
      </c>
    </row>
    <row r="813" spans="40:42" x14ac:dyDescent="0.3">
      <c r="AN813">
        <v>809</v>
      </c>
      <c r="AO813" s="11">
        <v>27652.09</v>
      </c>
      <c r="AP813" s="9">
        <v>3.1253767372533172</v>
      </c>
    </row>
    <row r="814" spans="40:42" x14ac:dyDescent="0.3">
      <c r="AN814">
        <v>810</v>
      </c>
      <c r="AO814" s="11">
        <v>27471.62</v>
      </c>
      <c r="AP814" s="9">
        <v>3.1425670444803906</v>
      </c>
    </row>
    <row r="815" spans="40:42" x14ac:dyDescent="0.3">
      <c r="AN815">
        <v>811</v>
      </c>
      <c r="AO815" s="11">
        <v>28532.22</v>
      </c>
      <c r="AP815" s="9">
        <v>3.7283868499318573</v>
      </c>
    </row>
    <row r="816" spans="40:42" x14ac:dyDescent="0.3">
      <c r="AN816">
        <v>812</v>
      </c>
      <c r="AO816" s="11">
        <v>22944.06</v>
      </c>
      <c r="AP816" s="9">
        <v>2.5906215108954367</v>
      </c>
    </row>
    <row r="817" spans="40:42" x14ac:dyDescent="0.3">
      <c r="AN817">
        <v>813</v>
      </c>
      <c r="AO817" s="11">
        <v>43597.74</v>
      </c>
      <c r="AP817" s="9">
        <v>3.7584913334534056</v>
      </c>
    </row>
    <row r="818" spans="40:42" x14ac:dyDescent="0.3">
      <c r="AN818">
        <v>814</v>
      </c>
      <c r="AO818" s="11">
        <v>23085.18</v>
      </c>
      <c r="AP818" s="9">
        <v>2.950204902322215</v>
      </c>
    </row>
    <row r="819" spans="40:42" x14ac:dyDescent="0.3">
      <c r="AN819">
        <v>815</v>
      </c>
      <c r="AO819" s="11">
        <v>28346.2</v>
      </c>
      <c r="AP819" s="9">
        <v>3.827630119600006</v>
      </c>
    </row>
    <row r="820" spans="40:42" x14ac:dyDescent="0.3">
      <c r="AN820">
        <v>816</v>
      </c>
      <c r="AO820" s="11">
        <v>38455.08</v>
      </c>
      <c r="AP820" s="9">
        <v>4.1515062100137312</v>
      </c>
    </row>
    <row r="821" spans="40:42" x14ac:dyDescent="0.3">
      <c r="AN821">
        <v>817</v>
      </c>
      <c r="AO821" s="11">
        <v>19056.64</v>
      </c>
      <c r="AP821" s="9">
        <v>3.2505001063317915</v>
      </c>
    </row>
    <row r="822" spans="40:42" x14ac:dyDescent="0.3">
      <c r="AN822">
        <v>818</v>
      </c>
      <c r="AO822" s="11">
        <v>45861.13</v>
      </c>
      <c r="AP822" s="9">
        <v>4.4198663918240788</v>
      </c>
    </row>
    <row r="823" spans="40:42" x14ac:dyDescent="0.3">
      <c r="AN823">
        <v>819</v>
      </c>
      <c r="AO823" s="11">
        <v>25554.02</v>
      </c>
      <c r="AP823" s="9">
        <v>3.7224591627193284</v>
      </c>
    </row>
    <row r="824" spans="40:42" x14ac:dyDescent="0.3">
      <c r="AN824">
        <v>820</v>
      </c>
      <c r="AO824" s="11">
        <v>24029.49</v>
      </c>
      <c r="AP824" s="9">
        <v>3.7094290741149347</v>
      </c>
    </row>
    <row r="825" spans="40:42" x14ac:dyDescent="0.3">
      <c r="AN825">
        <v>821</v>
      </c>
      <c r="AO825" s="11">
        <v>14736.29</v>
      </c>
      <c r="AP825" s="9">
        <v>3.2094832285975343</v>
      </c>
    </row>
    <row r="826" spans="40:42" x14ac:dyDescent="0.3">
      <c r="AN826">
        <v>822</v>
      </c>
      <c r="AO826" s="11">
        <v>22501.7</v>
      </c>
      <c r="AP826" s="9">
        <v>3.5712082138075156</v>
      </c>
    </row>
    <row r="827" spans="40:42" x14ac:dyDescent="0.3">
      <c r="AN827">
        <v>823</v>
      </c>
      <c r="AO827" s="11">
        <v>25423.23</v>
      </c>
      <c r="AP827" s="9">
        <v>3.2670645834122576</v>
      </c>
    </row>
    <row r="828" spans="40:42" x14ac:dyDescent="0.3">
      <c r="AN828">
        <v>824</v>
      </c>
      <c r="AO828" s="11">
        <v>26313.19</v>
      </c>
      <c r="AP828" s="9">
        <v>3.2944096677648824</v>
      </c>
    </row>
    <row r="829" spans="40:42" x14ac:dyDescent="0.3">
      <c r="AN829">
        <v>825</v>
      </c>
      <c r="AO829" s="11">
        <v>24777.11</v>
      </c>
      <c r="AP829" s="9">
        <v>3.4547399091394517</v>
      </c>
    </row>
    <row r="830" spans="40:42" x14ac:dyDescent="0.3">
      <c r="AN830">
        <v>826</v>
      </c>
      <c r="AO830" s="11">
        <v>36999.19</v>
      </c>
      <c r="AP830" s="9">
        <v>3.046593815885164</v>
      </c>
    </row>
    <row r="831" spans="40:42" x14ac:dyDescent="0.3">
      <c r="AN831">
        <v>827</v>
      </c>
      <c r="AO831" s="11">
        <v>24001.72</v>
      </c>
      <c r="AP831" s="9">
        <v>3.4007861587992139</v>
      </c>
    </row>
    <row r="832" spans="40:42" x14ac:dyDescent="0.3">
      <c r="AN832">
        <v>828</v>
      </c>
      <c r="AO832" s="11">
        <v>30091.73</v>
      </c>
      <c r="AP832" s="9">
        <v>4.0783043164368804</v>
      </c>
    </row>
    <row r="833" spans="40:42" x14ac:dyDescent="0.3">
      <c r="AN833">
        <v>829</v>
      </c>
      <c r="AO833" s="11">
        <v>22845.919999999998</v>
      </c>
      <c r="AP833" s="9">
        <v>2.9194780874335842</v>
      </c>
    </row>
    <row r="834" spans="40:42" x14ac:dyDescent="0.3">
      <c r="AN834">
        <v>830</v>
      </c>
      <c r="AO834" s="11">
        <v>43434.76</v>
      </c>
      <c r="AP834" s="9">
        <v>4.2457211628569036</v>
      </c>
    </row>
    <row r="835" spans="40:42" x14ac:dyDescent="0.3">
      <c r="AN835">
        <v>831</v>
      </c>
      <c r="AO835" s="11">
        <v>20614.900000000001</v>
      </c>
      <c r="AP835" s="9">
        <v>2.9945595976075179</v>
      </c>
    </row>
    <row r="836" spans="40:42" x14ac:dyDescent="0.3">
      <c r="AN836">
        <v>832</v>
      </c>
      <c r="AO836" s="11">
        <v>30933.99</v>
      </c>
      <c r="AP836" s="9">
        <v>3.0395796806970816</v>
      </c>
    </row>
    <row r="837" spans="40:42" x14ac:dyDescent="0.3">
      <c r="AN837">
        <v>833</v>
      </c>
      <c r="AO837" s="11">
        <v>33419.93</v>
      </c>
      <c r="AP837" s="9">
        <v>3.5654206793519769</v>
      </c>
    </row>
    <row r="838" spans="40:42" x14ac:dyDescent="0.3">
      <c r="AN838">
        <v>834</v>
      </c>
      <c r="AO838" s="11">
        <v>40092.33</v>
      </c>
      <c r="AP838" s="9">
        <v>4.0596761547964197</v>
      </c>
    </row>
    <row r="839" spans="40:42" x14ac:dyDescent="0.3">
      <c r="AN839">
        <v>835</v>
      </c>
      <c r="AO839" s="11">
        <v>20740.68</v>
      </c>
      <c r="AP839" s="9">
        <v>3.0812596768446201</v>
      </c>
    </row>
    <row r="840" spans="40:42" x14ac:dyDescent="0.3">
      <c r="AN840">
        <v>836</v>
      </c>
      <c r="AO840" s="11">
        <v>37412.519999999997</v>
      </c>
      <c r="AP840" s="9">
        <v>3.8072545038959142</v>
      </c>
    </row>
    <row r="841" spans="40:42" x14ac:dyDescent="0.3">
      <c r="AN841">
        <v>837</v>
      </c>
      <c r="AO841" s="11">
        <v>28681.05</v>
      </c>
      <c r="AP841" s="9">
        <v>3.5309537028199065</v>
      </c>
    </row>
    <row r="842" spans="40:42" x14ac:dyDescent="0.3">
      <c r="AN842">
        <v>838</v>
      </c>
      <c r="AO842" s="11">
        <v>32099.58</v>
      </c>
      <c r="AP842" s="9">
        <v>3.5216493092281946</v>
      </c>
    </row>
    <row r="843" spans="40:42" x14ac:dyDescent="0.3">
      <c r="AN843">
        <v>839</v>
      </c>
      <c r="AO843" s="11">
        <v>21538.25</v>
      </c>
      <c r="AP843" s="9">
        <v>3.0166717051028851</v>
      </c>
    </row>
    <row r="844" spans="40:42" x14ac:dyDescent="0.3">
      <c r="AN844">
        <v>840</v>
      </c>
      <c r="AO844" s="11">
        <v>34592.04</v>
      </c>
      <c r="AP844" s="9">
        <v>2.7717101949415368</v>
      </c>
    </row>
    <row r="845" spans="40:42" x14ac:dyDescent="0.3">
      <c r="AN845">
        <v>841</v>
      </c>
      <c r="AO845" s="11">
        <v>32715.11</v>
      </c>
      <c r="AP845" s="9">
        <v>4.2734272538396079</v>
      </c>
    </row>
    <row r="846" spans="40:42" x14ac:dyDescent="0.3">
      <c r="AN846">
        <v>842</v>
      </c>
      <c r="AO846" s="11">
        <v>22219.86</v>
      </c>
      <c r="AP846" s="9">
        <v>3.1663669986844978</v>
      </c>
    </row>
    <row r="847" spans="40:42" x14ac:dyDescent="0.3">
      <c r="AN847">
        <v>843</v>
      </c>
      <c r="AO847" s="11">
        <v>16943.939999999999</v>
      </c>
      <c r="AP847" s="9">
        <v>2.9404884906562812</v>
      </c>
    </row>
    <row r="848" spans="40:42" x14ac:dyDescent="0.3">
      <c r="AN848">
        <v>844</v>
      </c>
      <c r="AO848" s="11">
        <v>29465.65</v>
      </c>
      <c r="AP848" s="9">
        <v>3.5110291103575926</v>
      </c>
    </row>
    <row r="849" spans="40:42" x14ac:dyDescent="0.3">
      <c r="AN849">
        <v>845</v>
      </c>
      <c r="AO849" s="11">
        <v>34827.57</v>
      </c>
      <c r="AP849" s="9">
        <v>3.3073004296926718</v>
      </c>
    </row>
    <row r="850" spans="40:42" x14ac:dyDescent="0.3">
      <c r="AN850">
        <v>846</v>
      </c>
      <c r="AO850" s="11">
        <v>21337.85</v>
      </c>
      <c r="AP850" s="9">
        <v>3.0858402895825385</v>
      </c>
    </row>
    <row r="851" spans="40:42" x14ac:dyDescent="0.3">
      <c r="AN851">
        <v>847</v>
      </c>
      <c r="AO851" s="11">
        <v>19328.599999999999</v>
      </c>
      <c r="AP851" s="9">
        <v>3.1420140308852949</v>
      </c>
    </row>
    <row r="852" spans="40:42" x14ac:dyDescent="0.3">
      <c r="AN852">
        <v>848</v>
      </c>
      <c r="AO852" s="11">
        <v>30651.74</v>
      </c>
      <c r="AP852" s="9">
        <v>3.3284359911394774</v>
      </c>
    </row>
    <row r="853" spans="40:42" x14ac:dyDescent="0.3">
      <c r="AN853">
        <v>849</v>
      </c>
      <c r="AO853" s="11">
        <v>33538.410000000003</v>
      </c>
      <c r="AP853" s="9">
        <v>3.5115588679839682</v>
      </c>
    </row>
    <row r="854" spans="40:42" x14ac:dyDescent="0.3">
      <c r="AN854">
        <v>850</v>
      </c>
      <c r="AO854" s="11">
        <v>22348.31</v>
      </c>
      <c r="AP854" s="9">
        <v>3.6873060354152578</v>
      </c>
    </row>
    <row r="855" spans="40:42" x14ac:dyDescent="0.3">
      <c r="AN855">
        <v>851</v>
      </c>
      <c r="AO855" s="11">
        <v>22942.720000000001</v>
      </c>
      <c r="AP855" s="9">
        <v>2.8619583072561285</v>
      </c>
    </row>
    <row r="856" spans="40:42" x14ac:dyDescent="0.3">
      <c r="AN856">
        <v>852</v>
      </c>
      <c r="AO856" s="11">
        <v>15869.62</v>
      </c>
      <c r="AP856" s="9">
        <v>3.5979466328442666</v>
      </c>
    </row>
    <row r="857" spans="40:42" x14ac:dyDescent="0.3">
      <c r="AN857">
        <v>853</v>
      </c>
      <c r="AO857" s="11">
        <v>22614.39</v>
      </c>
      <c r="AP857" s="9">
        <v>3.1828812334344656</v>
      </c>
    </row>
    <row r="858" spans="40:42" x14ac:dyDescent="0.3">
      <c r="AN858">
        <v>854</v>
      </c>
      <c r="AO858" s="11">
        <v>15726.46</v>
      </c>
      <c r="AP858" s="9">
        <v>3.0476068871803998</v>
      </c>
    </row>
    <row r="859" spans="40:42" x14ac:dyDescent="0.3">
      <c r="AN859">
        <v>855</v>
      </c>
      <c r="AO859" s="11">
        <v>38704.839999999997</v>
      </c>
      <c r="AP859" s="9">
        <v>3.5939061062676774</v>
      </c>
    </row>
    <row r="860" spans="40:42" x14ac:dyDescent="0.3">
      <c r="AN860">
        <v>856</v>
      </c>
      <c r="AO860" s="11">
        <v>27639.5</v>
      </c>
      <c r="AP860" s="9">
        <v>3.3765480031843551</v>
      </c>
    </row>
    <row r="861" spans="40:42" x14ac:dyDescent="0.3">
      <c r="AN861">
        <v>857</v>
      </c>
      <c r="AO861" s="11">
        <v>40287.440000000002</v>
      </c>
      <c r="AP861" s="9">
        <v>3.247057318115468</v>
      </c>
    </row>
    <row r="862" spans="40:42" x14ac:dyDescent="0.3">
      <c r="AN862">
        <v>858</v>
      </c>
      <c r="AO862" s="11">
        <v>29934.560000000001</v>
      </c>
      <c r="AP862" s="9">
        <v>3.3187320496934705</v>
      </c>
    </row>
    <row r="863" spans="40:42" x14ac:dyDescent="0.3">
      <c r="AN863">
        <v>859</v>
      </c>
      <c r="AO863" s="11">
        <v>21965.5</v>
      </c>
      <c r="AP863" s="9">
        <v>3.2042725092169744</v>
      </c>
    </row>
    <row r="864" spans="40:42" x14ac:dyDescent="0.3">
      <c r="AN864">
        <v>860</v>
      </c>
      <c r="AO864" s="11">
        <v>10653.69</v>
      </c>
      <c r="AP864" s="9">
        <v>2.9090843296602462</v>
      </c>
    </row>
    <row r="865" spans="40:42" x14ac:dyDescent="0.3">
      <c r="AN865">
        <v>861</v>
      </c>
      <c r="AO865" s="11">
        <v>12811.3</v>
      </c>
      <c r="AP865" s="9">
        <v>2.9977723393863456</v>
      </c>
    </row>
    <row r="866" spans="40:42" x14ac:dyDescent="0.3">
      <c r="AN866">
        <v>862</v>
      </c>
      <c r="AO866" s="11">
        <v>44726.38</v>
      </c>
      <c r="AP866" s="9">
        <v>3.9823635906154333</v>
      </c>
    </row>
    <row r="867" spans="40:42" x14ac:dyDescent="0.3">
      <c r="AN867">
        <v>863</v>
      </c>
      <c r="AO867" s="11">
        <v>38675.71</v>
      </c>
      <c r="AP867" s="9">
        <v>3.2171278297808619</v>
      </c>
    </row>
    <row r="868" spans="40:42" x14ac:dyDescent="0.3">
      <c r="AN868">
        <v>864</v>
      </c>
      <c r="AO868" s="11">
        <v>30721.29</v>
      </c>
      <c r="AP868" s="9">
        <v>3.2479765931101459</v>
      </c>
    </row>
    <row r="869" spans="40:42" x14ac:dyDescent="0.3">
      <c r="AN869">
        <v>865</v>
      </c>
      <c r="AO869" s="11">
        <v>40294.79</v>
      </c>
      <c r="AP869" s="9">
        <v>3.6631315169713763</v>
      </c>
    </row>
    <row r="870" spans="40:42" x14ac:dyDescent="0.3">
      <c r="AN870">
        <v>866</v>
      </c>
      <c r="AO870" s="11">
        <v>43294.73</v>
      </c>
      <c r="AP870" s="9">
        <v>4.3222317974393718</v>
      </c>
    </row>
    <row r="871" spans="40:42" x14ac:dyDescent="0.3">
      <c r="AN871">
        <v>867</v>
      </c>
      <c r="AO871" s="11">
        <v>28169.71</v>
      </c>
      <c r="AP871" s="9">
        <v>4.4037283142767985</v>
      </c>
    </row>
    <row r="872" spans="40:42" x14ac:dyDescent="0.3">
      <c r="AN872">
        <v>868</v>
      </c>
      <c r="AO872" s="11">
        <v>19819.39</v>
      </c>
      <c r="AP872" s="9">
        <v>2.9137696169819689</v>
      </c>
    </row>
    <row r="873" spans="40:42" x14ac:dyDescent="0.3">
      <c r="AN873">
        <v>869</v>
      </c>
      <c r="AO873" s="11">
        <v>47741.09</v>
      </c>
      <c r="AP873" s="9">
        <v>3.8597235895256898</v>
      </c>
    </row>
    <row r="874" spans="40:42" x14ac:dyDescent="0.3">
      <c r="AN874">
        <v>870</v>
      </c>
      <c r="AO874" s="11">
        <v>18934.86</v>
      </c>
      <c r="AP874" s="9">
        <v>3.3720091751176868</v>
      </c>
    </row>
    <row r="875" spans="40:42" x14ac:dyDescent="0.3">
      <c r="AN875">
        <v>871</v>
      </c>
      <c r="AO875" s="11">
        <v>25164.7</v>
      </c>
      <c r="AP875" s="9">
        <v>3.9459106049703947</v>
      </c>
    </row>
    <row r="876" spans="40:42" x14ac:dyDescent="0.3">
      <c r="AN876">
        <v>872</v>
      </c>
      <c r="AO876" s="11">
        <v>20463.38</v>
      </c>
      <c r="AP876" s="9">
        <v>3.4456008378829623</v>
      </c>
    </row>
    <row r="877" spans="40:42" x14ac:dyDescent="0.3">
      <c r="AN877">
        <v>873</v>
      </c>
      <c r="AO877" s="11">
        <v>24413.64</v>
      </c>
      <c r="AP877" s="9">
        <v>3.3038206760404347</v>
      </c>
    </row>
    <row r="878" spans="40:42" x14ac:dyDescent="0.3">
      <c r="AN878">
        <v>874</v>
      </c>
      <c r="AO878" s="11">
        <v>26908.58</v>
      </c>
      <c r="AP878" s="9">
        <v>3.3404480591001975</v>
      </c>
    </row>
    <row r="879" spans="40:42" x14ac:dyDescent="0.3">
      <c r="AN879">
        <v>875</v>
      </c>
      <c r="AO879" s="11">
        <v>22732.14</v>
      </c>
      <c r="AP879" s="9">
        <v>3.3085054708421806</v>
      </c>
    </row>
    <row r="880" spans="40:42" x14ac:dyDescent="0.3">
      <c r="AN880">
        <v>876</v>
      </c>
      <c r="AO880" s="11">
        <v>39845.449999999997</v>
      </c>
      <c r="AP880" s="9">
        <v>3.5619906198217484</v>
      </c>
    </row>
    <row r="881" spans="40:42" x14ac:dyDescent="0.3">
      <c r="AN881">
        <v>877</v>
      </c>
      <c r="AO881" s="11">
        <v>21889.97</v>
      </c>
      <c r="AP881" s="9">
        <v>3.1636152243876832</v>
      </c>
    </row>
    <row r="882" spans="40:42" x14ac:dyDescent="0.3">
      <c r="AN882">
        <v>878</v>
      </c>
      <c r="AO882" s="11">
        <v>23317.77</v>
      </c>
      <c r="AP882" s="9">
        <v>3.6434361828889785</v>
      </c>
    </row>
    <row r="883" spans="40:42" x14ac:dyDescent="0.3">
      <c r="AN883">
        <v>879</v>
      </c>
      <c r="AO883" s="11">
        <v>20562.740000000002</v>
      </c>
      <c r="AP883" s="9">
        <v>3.2893446557045807</v>
      </c>
    </row>
    <row r="884" spans="40:42" x14ac:dyDescent="0.3">
      <c r="AN884">
        <v>880</v>
      </c>
      <c r="AO884" s="11">
        <v>50619.34</v>
      </c>
      <c r="AP884" s="9">
        <v>3.769520556324971</v>
      </c>
    </row>
    <row r="885" spans="40:42" x14ac:dyDescent="0.3">
      <c r="AN885">
        <v>881</v>
      </c>
      <c r="AO885" s="11">
        <v>26011.99</v>
      </c>
      <c r="AP885" s="9">
        <v>3.1451058840260577</v>
      </c>
    </row>
    <row r="886" spans="40:42" x14ac:dyDescent="0.3">
      <c r="AN886">
        <v>882</v>
      </c>
      <c r="AO886" s="11">
        <v>29270.3</v>
      </c>
      <c r="AP886" s="9">
        <v>4.007729264515989</v>
      </c>
    </row>
    <row r="887" spans="40:42" x14ac:dyDescent="0.3">
      <c r="AN887">
        <v>883</v>
      </c>
      <c r="AO887" s="11">
        <v>35561.589999999997</v>
      </c>
      <c r="AP887" s="9">
        <v>3.7734408362675094</v>
      </c>
    </row>
    <row r="888" spans="40:42" x14ac:dyDescent="0.3">
      <c r="AN888">
        <v>884</v>
      </c>
      <c r="AO888" s="11">
        <v>28773.07</v>
      </c>
      <c r="AP888" s="9">
        <v>3.2338229944171446</v>
      </c>
    </row>
    <row r="889" spans="40:42" x14ac:dyDescent="0.3">
      <c r="AN889">
        <v>885</v>
      </c>
      <c r="AO889" s="11">
        <v>26637.1</v>
      </c>
      <c r="AP889" s="9">
        <v>3.2336507089721676</v>
      </c>
    </row>
    <row r="890" spans="40:42" x14ac:dyDescent="0.3">
      <c r="AN890">
        <v>886</v>
      </c>
      <c r="AO890" s="11">
        <v>34745.230000000003</v>
      </c>
      <c r="AP890" s="9">
        <v>3.6210890362107016</v>
      </c>
    </row>
    <row r="891" spans="40:42" x14ac:dyDescent="0.3">
      <c r="AN891">
        <v>887</v>
      </c>
      <c r="AO891" s="11">
        <v>33281.14</v>
      </c>
      <c r="AP891" s="9">
        <v>4.4196448885636537</v>
      </c>
    </row>
    <row r="892" spans="40:42" x14ac:dyDescent="0.3">
      <c r="AN892">
        <v>888</v>
      </c>
      <c r="AO892" s="11">
        <v>27588.82</v>
      </c>
      <c r="AP892" s="9">
        <v>3.2371479250063961</v>
      </c>
    </row>
    <row r="893" spans="40:42" x14ac:dyDescent="0.3">
      <c r="AN893">
        <v>889</v>
      </c>
      <c r="AO893" s="11">
        <v>31347.54</v>
      </c>
      <c r="AP893" s="9">
        <v>3.7001361569765048</v>
      </c>
    </row>
    <row r="894" spans="40:42" x14ac:dyDescent="0.3">
      <c r="AN894">
        <v>890</v>
      </c>
      <c r="AO894" s="11">
        <v>22234.11</v>
      </c>
      <c r="AP894" s="9">
        <v>2.9862895507587042</v>
      </c>
    </row>
    <row r="895" spans="40:42" x14ac:dyDescent="0.3">
      <c r="AN895">
        <v>891</v>
      </c>
      <c r="AO895" s="11">
        <v>29313.73</v>
      </c>
      <c r="AP895" s="9">
        <v>3.2205903883064644</v>
      </c>
    </row>
    <row r="896" spans="40:42" x14ac:dyDescent="0.3">
      <c r="AN896">
        <v>892</v>
      </c>
      <c r="AO896" s="11">
        <v>22467.33</v>
      </c>
      <c r="AP896" s="9">
        <v>2.6938336993506331</v>
      </c>
    </row>
    <row r="897" spans="40:42" x14ac:dyDescent="0.3">
      <c r="AN897">
        <v>893</v>
      </c>
      <c r="AO897" s="11">
        <v>22808.23</v>
      </c>
      <c r="AP897" s="9">
        <v>3.089081551447606</v>
      </c>
    </row>
    <row r="898" spans="40:42" x14ac:dyDescent="0.3">
      <c r="AN898">
        <v>894</v>
      </c>
      <c r="AO898" s="11">
        <v>29797.74</v>
      </c>
      <c r="AP898" s="9">
        <v>3.2974164702285069</v>
      </c>
    </row>
    <row r="899" spans="40:42" x14ac:dyDescent="0.3">
      <c r="AN899">
        <v>895</v>
      </c>
      <c r="AO899" s="11">
        <v>15406.91</v>
      </c>
      <c r="AP899" s="9">
        <v>3.4315041012656762</v>
      </c>
    </row>
    <row r="900" spans="40:42" x14ac:dyDescent="0.3">
      <c r="AN900">
        <v>896</v>
      </c>
      <c r="AO900" s="11">
        <v>18559</v>
      </c>
      <c r="AP900" s="9">
        <v>2.9895782637317918</v>
      </c>
    </row>
    <row r="901" spans="40:42" x14ac:dyDescent="0.3">
      <c r="AN901">
        <v>897</v>
      </c>
      <c r="AO901" s="11">
        <v>21321.86</v>
      </c>
      <c r="AP901" s="9">
        <v>3.4265976239536151</v>
      </c>
    </row>
    <row r="902" spans="40:42" x14ac:dyDescent="0.3">
      <c r="AN902">
        <v>898</v>
      </c>
      <c r="AO902" s="11">
        <v>24001.23</v>
      </c>
      <c r="AP902" s="9">
        <v>3.1500736490691974</v>
      </c>
    </row>
    <row r="903" spans="40:42" x14ac:dyDescent="0.3">
      <c r="AN903">
        <v>899</v>
      </c>
      <c r="AO903" s="11">
        <v>30171.19</v>
      </c>
      <c r="AP903" s="9">
        <v>3.8239512140019571</v>
      </c>
    </row>
    <row r="904" spans="40:42" x14ac:dyDescent="0.3">
      <c r="AN904">
        <v>900</v>
      </c>
      <c r="AO904" s="11">
        <v>27973.99</v>
      </c>
      <c r="AP904" s="9">
        <v>3.6624854580244546</v>
      </c>
    </row>
    <row r="905" spans="40:42" x14ac:dyDescent="0.3">
      <c r="AN905">
        <v>901</v>
      </c>
      <c r="AO905" s="11">
        <v>40986.6</v>
      </c>
      <c r="AP905" s="9">
        <v>3.5156571008231809</v>
      </c>
    </row>
    <row r="906" spans="40:42" x14ac:dyDescent="0.3">
      <c r="AN906">
        <v>902</v>
      </c>
      <c r="AO906" s="11">
        <v>24898.75</v>
      </c>
      <c r="AP906" s="9">
        <v>3.479988309608006</v>
      </c>
    </row>
    <row r="907" spans="40:42" x14ac:dyDescent="0.3">
      <c r="AN907">
        <v>903</v>
      </c>
      <c r="AO907" s="11">
        <v>28390.86</v>
      </c>
      <c r="AP907" s="9">
        <v>3.1699783443018874</v>
      </c>
    </row>
    <row r="908" spans="40:42" x14ac:dyDescent="0.3">
      <c r="AN908">
        <v>904</v>
      </c>
      <c r="AO908" s="11">
        <v>35698.11</v>
      </c>
      <c r="AP908" s="9">
        <v>3.3332772672793656</v>
      </c>
    </row>
    <row r="909" spans="40:42" x14ac:dyDescent="0.3">
      <c r="AN909">
        <v>905</v>
      </c>
      <c r="AO909" s="11">
        <v>28491.13</v>
      </c>
      <c r="AP909" s="9">
        <v>3.1731116623975359</v>
      </c>
    </row>
    <row r="910" spans="40:42" x14ac:dyDescent="0.3">
      <c r="AN910">
        <v>906</v>
      </c>
      <c r="AO910" s="11">
        <v>21839.22</v>
      </c>
      <c r="AP910" s="9">
        <v>3.3745761136998675</v>
      </c>
    </row>
    <row r="911" spans="40:42" x14ac:dyDescent="0.3">
      <c r="AN911">
        <v>907</v>
      </c>
      <c r="AO911" s="11">
        <v>17624.68</v>
      </c>
      <c r="AP911" s="9">
        <v>2.9260820593354668</v>
      </c>
    </row>
    <row r="912" spans="40:42" x14ac:dyDescent="0.3">
      <c r="AN912">
        <v>908</v>
      </c>
      <c r="AO912" s="11">
        <v>14089.73</v>
      </c>
      <c r="AP912" s="9">
        <v>3.2769541124401176</v>
      </c>
    </row>
    <row r="913" spans="40:42" x14ac:dyDescent="0.3">
      <c r="AN913">
        <v>909</v>
      </c>
      <c r="AO913" s="11">
        <v>28729.439999999999</v>
      </c>
      <c r="AP913" s="9">
        <v>3.4137549362428938</v>
      </c>
    </row>
    <row r="914" spans="40:42" x14ac:dyDescent="0.3">
      <c r="AN914">
        <v>910</v>
      </c>
      <c r="AO914" s="11">
        <v>24699.85</v>
      </c>
      <c r="AP914" s="9">
        <v>3.4698163016745922</v>
      </c>
    </row>
    <row r="915" spans="40:42" x14ac:dyDescent="0.3">
      <c r="AN915">
        <v>911</v>
      </c>
      <c r="AO915" s="11">
        <v>27879.37</v>
      </c>
      <c r="AP915" s="9">
        <v>3.2431458361677099</v>
      </c>
    </row>
    <row r="916" spans="40:42" x14ac:dyDescent="0.3">
      <c r="AN916">
        <v>912</v>
      </c>
      <c r="AO916" s="11">
        <v>25140.400000000001</v>
      </c>
      <c r="AP916" s="9">
        <v>3.4808483673859025</v>
      </c>
    </row>
    <row r="917" spans="40:42" x14ac:dyDescent="0.3">
      <c r="AN917">
        <v>913</v>
      </c>
      <c r="AO917" s="11">
        <v>33955.07</v>
      </c>
      <c r="AP917" s="9">
        <v>4.0338205946532248</v>
      </c>
    </row>
    <row r="918" spans="40:42" x14ac:dyDescent="0.3">
      <c r="AN918">
        <v>914</v>
      </c>
      <c r="AO918" s="11">
        <v>27727.07</v>
      </c>
      <c r="AP918" s="9">
        <v>3.1521413494913038</v>
      </c>
    </row>
    <row r="919" spans="40:42" x14ac:dyDescent="0.3">
      <c r="AN919">
        <v>915</v>
      </c>
      <c r="AO919" s="11">
        <v>16577.05</v>
      </c>
      <c r="AP919" s="9">
        <v>3.165246945315483</v>
      </c>
    </row>
    <row r="920" spans="40:42" x14ac:dyDescent="0.3">
      <c r="AN920">
        <v>916</v>
      </c>
      <c r="AO920" s="11">
        <v>18103.759999999998</v>
      </c>
      <c r="AP920" s="9">
        <v>3.2129032079290321</v>
      </c>
    </row>
    <row r="921" spans="40:42" x14ac:dyDescent="0.3">
      <c r="AN921">
        <v>917</v>
      </c>
      <c r="AO921" s="11">
        <v>19142.25</v>
      </c>
      <c r="AP921" s="9">
        <v>3.3576073349260649</v>
      </c>
    </row>
    <row r="922" spans="40:42" x14ac:dyDescent="0.3">
      <c r="AN922">
        <v>918</v>
      </c>
      <c r="AO922" s="11">
        <v>30102.52</v>
      </c>
      <c r="AP922" s="9">
        <v>3.5597977572626092</v>
      </c>
    </row>
    <row r="923" spans="40:42" x14ac:dyDescent="0.3">
      <c r="AN923">
        <v>919</v>
      </c>
      <c r="AO923" s="11">
        <v>20723.96</v>
      </c>
      <c r="AP923" s="9">
        <v>2.5144951693801936</v>
      </c>
    </row>
    <row r="924" spans="40:42" x14ac:dyDescent="0.3">
      <c r="AN924">
        <v>920</v>
      </c>
      <c r="AO924" s="11">
        <v>40405.57</v>
      </c>
      <c r="AP924" s="9">
        <v>3.3130435579743684</v>
      </c>
    </row>
    <row r="925" spans="40:42" x14ac:dyDescent="0.3">
      <c r="AN925">
        <v>921</v>
      </c>
      <c r="AO925" s="11">
        <v>26451.5</v>
      </c>
      <c r="AP925" s="9">
        <v>3.8490914108952663</v>
      </c>
    </row>
    <row r="926" spans="40:42" x14ac:dyDescent="0.3">
      <c r="AN926">
        <v>922</v>
      </c>
      <c r="AO926" s="11">
        <v>21562.65</v>
      </c>
      <c r="AP926" s="9">
        <v>2.8134883947638092</v>
      </c>
    </row>
    <row r="927" spans="40:42" x14ac:dyDescent="0.3">
      <c r="AN927">
        <v>923</v>
      </c>
      <c r="AO927" s="11">
        <v>22810.03</v>
      </c>
      <c r="AP927" s="9">
        <v>3.3201376984041442</v>
      </c>
    </row>
    <row r="928" spans="40:42" x14ac:dyDescent="0.3">
      <c r="AN928">
        <v>924</v>
      </c>
      <c r="AO928" s="11">
        <v>34958.89</v>
      </c>
      <c r="AP928" s="9">
        <v>3.5264264173223387</v>
      </c>
    </row>
    <row r="929" spans="40:42" x14ac:dyDescent="0.3">
      <c r="AN929">
        <v>925</v>
      </c>
      <c r="AO929" s="11">
        <v>23291.63</v>
      </c>
      <c r="AP929" s="9">
        <v>3.1754833572038645</v>
      </c>
    </row>
    <row r="930" spans="40:42" x14ac:dyDescent="0.3">
      <c r="AN930">
        <v>926</v>
      </c>
      <c r="AO930" s="11">
        <v>24017.96</v>
      </c>
      <c r="AP930" s="9">
        <v>2.915938552005525</v>
      </c>
    </row>
    <row r="931" spans="40:42" x14ac:dyDescent="0.3">
      <c r="AN931">
        <v>927</v>
      </c>
      <c r="AO931" s="11">
        <v>56331.69</v>
      </c>
      <c r="AP931" s="9">
        <v>4.1099574373939669</v>
      </c>
    </row>
    <row r="932" spans="40:42" x14ac:dyDescent="0.3">
      <c r="AN932">
        <v>928</v>
      </c>
      <c r="AO932" s="11">
        <v>29926.21</v>
      </c>
      <c r="AP932" s="9">
        <v>3.1927742961519736</v>
      </c>
    </row>
    <row r="933" spans="40:42" x14ac:dyDescent="0.3">
      <c r="AN933">
        <v>929</v>
      </c>
      <c r="AO933" s="11">
        <v>24889.72</v>
      </c>
      <c r="AP933" s="9">
        <v>3.3395726478580436</v>
      </c>
    </row>
    <row r="934" spans="40:42" x14ac:dyDescent="0.3">
      <c r="AN934">
        <v>930</v>
      </c>
      <c r="AO934" s="11">
        <v>28712.89</v>
      </c>
      <c r="AP934" s="9">
        <v>3.0464312148126655</v>
      </c>
    </row>
    <row r="935" spans="40:42" x14ac:dyDescent="0.3">
      <c r="AN935">
        <v>931</v>
      </c>
      <c r="AO935" s="11">
        <v>37871.89</v>
      </c>
      <c r="AP935" s="9">
        <v>3.2855734650174662</v>
      </c>
    </row>
    <row r="936" spans="40:42" x14ac:dyDescent="0.3">
      <c r="AN936">
        <v>932</v>
      </c>
      <c r="AO936" s="11">
        <v>26979.87</v>
      </c>
      <c r="AP936" s="9">
        <v>3.8029898566273359</v>
      </c>
    </row>
    <row r="937" spans="40:42" x14ac:dyDescent="0.3">
      <c r="AN937">
        <v>933</v>
      </c>
      <c r="AO937" s="11">
        <v>39189.879999999997</v>
      </c>
      <c r="AP937" s="9">
        <v>3.3244243808416583</v>
      </c>
    </row>
    <row r="938" spans="40:42" x14ac:dyDescent="0.3">
      <c r="AN938">
        <v>934</v>
      </c>
      <c r="AO938" s="11">
        <v>35440.11</v>
      </c>
      <c r="AP938" s="9">
        <v>3.3207444044949157</v>
      </c>
    </row>
    <row r="939" spans="40:42" x14ac:dyDescent="0.3">
      <c r="AN939">
        <v>935</v>
      </c>
      <c r="AO939" s="11">
        <v>20908.25</v>
      </c>
      <c r="AP939" s="9">
        <v>3.4918228074743016</v>
      </c>
    </row>
    <row r="940" spans="40:42" x14ac:dyDescent="0.3">
      <c r="AN940">
        <v>936</v>
      </c>
      <c r="AO940" s="11">
        <v>15796.06</v>
      </c>
      <c r="AP940" s="9">
        <v>2.8622331720181964</v>
      </c>
    </row>
    <row r="941" spans="40:42" x14ac:dyDescent="0.3">
      <c r="AN941">
        <v>937</v>
      </c>
      <c r="AO941" s="11">
        <v>25735.64</v>
      </c>
      <c r="AP941" s="9">
        <v>3.0372001080469104</v>
      </c>
    </row>
    <row r="942" spans="40:42" x14ac:dyDescent="0.3">
      <c r="AN942">
        <v>938</v>
      </c>
      <c r="AO942" s="11">
        <v>24847.48</v>
      </c>
      <c r="AP942" s="9">
        <v>3.6378485675667847</v>
      </c>
    </row>
    <row r="943" spans="40:42" x14ac:dyDescent="0.3">
      <c r="AN943">
        <v>939</v>
      </c>
      <c r="AO943" s="11">
        <v>20202.240000000002</v>
      </c>
      <c r="AP943" s="9">
        <v>3.0949003385594489</v>
      </c>
    </row>
    <row r="944" spans="40:42" x14ac:dyDescent="0.3">
      <c r="AN944">
        <v>940</v>
      </c>
      <c r="AO944" s="11">
        <v>36506.75</v>
      </c>
      <c r="AP944" s="9">
        <v>3.300691768119985</v>
      </c>
    </row>
    <row r="945" spans="40:42" x14ac:dyDescent="0.3">
      <c r="AN945">
        <v>941</v>
      </c>
      <c r="AO945" s="11">
        <v>27513.5</v>
      </c>
      <c r="AP945" s="9">
        <v>3.2221046321697919</v>
      </c>
    </row>
    <row r="946" spans="40:42" x14ac:dyDescent="0.3">
      <c r="AN946">
        <v>942</v>
      </c>
      <c r="AO946" s="11">
        <v>25285.88</v>
      </c>
      <c r="AP946" s="9">
        <v>2.6867642832204233</v>
      </c>
    </row>
    <row r="947" spans="40:42" x14ac:dyDescent="0.3">
      <c r="AN947">
        <v>943</v>
      </c>
      <c r="AO947" s="11">
        <v>35490.519999999997</v>
      </c>
      <c r="AP947" s="9">
        <v>3.1883227095065862</v>
      </c>
    </row>
    <row r="948" spans="40:42" x14ac:dyDescent="0.3">
      <c r="AN948">
        <v>944</v>
      </c>
      <c r="AO948" s="11">
        <v>19964.310000000001</v>
      </c>
      <c r="AP948" s="9">
        <v>3.5689602914447702</v>
      </c>
    </row>
    <row r="949" spans="40:42" x14ac:dyDescent="0.3">
      <c r="AN949">
        <v>945</v>
      </c>
      <c r="AO949" s="11">
        <v>25722.240000000002</v>
      </c>
      <c r="AP949" s="9">
        <v>3.7605731385710266</v>
      </c>
    </row>
    <row r="950" spans="40:42" x14ac:dyDescent="0.3">
      <c r="AN950">
        <v>946</v>
      </c>
      <c r="AO950" s="11">
        <v>26015.47</v>
      </c>
      <c r="AP950" s="9">
        <v>3.148205269814238</v>
      </c>
    </row>
    <row r="951" spans="40:42" x14ac:dyDescent="0.3">
      <c r="AN951">
        <v>947</v>
      </c>
      <c r="AO951" s="11">
        <v>17065.98</v>
      </c>
      <c r="AP951" s="9">
        <v>3.0141006609531158</v>
      </c>
    </row>
    <row r="952" spans="40:42" x14ac:dyDescent="0.3">
      <c r="AN952">
        <v>948</v>
      </c>
      <c r="AO952" s="11">
        <v>20960.66</v>
      </c>
      <c r="AP952" s="9">
        <v>2.8873299038376072</v>
      </c>
    </row>
    <row r="953" spans="40:42" x14ac:dyDescent="0.3">
      <c r="AN953">
        <v>949</v>
      </c>
      <c r="AO953" s="11">
        <v>28905.95</v>
      </c>
      <c r="AP953" s="9">
        <v>4.100067862580822</v>
      </c>
    </row>
    <row r="954" spans="40:42" x14ac:dyDescent="0.3">
      <c r="AN954">
        <v>950</v>
      </c>
      <c r="AO954" s="11">
        <v>28840.43</v>
      </c>
      <c r="AP954" s="9">
        <v>3.3873735401840634</v>
      </c>
    </row>
    <row r="955" spans="40:42" x14ac:dyDescent="0.3">
      <c r="AN955">
        <v>951</v>
      </c>
      <c r="AO955" s="11">
        <v>15439.94</v>
      </c>
      <c r="AP955" s="9">
        <v>3.2267068711034734</v>
      </c>
    </row>
    <row r="956" spans="40:42" x14ac:dyDescent="0.3">
      <c r="AN956">
        <v>952</v>
      </c>
      <c r="AO956" s="11">
        <v>15762.56</v>
      </c>
      <c r="AP956" s="9">
        <v>3.2779913552348026</v>
      </c>
    </row>
    <row r="957" spans="40:42" x14ac:dyDescent="0.3">
      <c r="AN957">
        <v>953</v>
      </c>
      <c r="AO957" s="11">
        <v>29917.26</v>
      </c>
      <c r="AP957" s="9">
        <v>3.3742185496953505</v>
      </c>
    </row>
    <row r="958" spans="40:42" x14ac:dyDescent="0.3">
      <c r="AN958">
        <v>954</v>
      </c>
      <c r="AO958" s="11">
        <v>28790.91</v>
      </c>
      <c r="AP958" s="9">
        <v>2.8813706923925384</v>
      </c>
    </row>
    <row r="959" spans="40:42" x14ac:dyDescent="0.3">
      <c r="AN959">
        <v>955</v>
      </c>
      <c r="AO959" s="11">
        <v>42237.1</v>
      </c>
      <c r="AP959" s="9">
        <v>4.4507358322901105</v>
      </c>
    </row>
    <row r="960" spans="40:42" x14ac:dyDescent="0.3">
      <c r="AN960">
        <v>956</v>
      </c>
      <c r="AO960" s="11">
        <v>40914.53</v>
      </c>
      <c r="AP960" s="9">
        <v>4.2491817016529838</v>
      </c>
    </row>
    <row r="961" spans="40:42" x14ac:dyDescent="0.3">
      <c r="AN961">
        <v>957</v>
      </c>
      <c r="AO961" s="11">
        <v>15584.85</v>
      </c>
      <c r="AP961" s="9">
        <v>2.419650688659583</v>
      </c>
    </row>
    <row r="962" spans="40:42" x14ac:dyDescent="0.3">
      <c r="AN962">
        <v>958</v>
      </c>
      <c r="AO962" s="11">
        <v>18022.54</v>
      </c>
      <c r="AP962" s="9">
        <v>3.266095700207893</v>
      </c>
    </row>
    <row r="963" spans="40:42" x14ac:dyDescent="0.3">
      <c r="AN963">
        <v>959</v>
      </c>
      <c r="AO963" s="11">
        <v>24928.6</v>
      </c>
      <c r="AP963" s="9">
        <v>3.8264164382487675</v>
      </c>
    </row>
    <row r="964" spans="40:42" x14ac:dyDescent="0.3">
      <c r="AN964">
        <v>960</v>
      </c>
      <c r="AO964" s="11">
        <v>18527.75</v>
      </c>
      <c r="AP964" s="9">
        <v>3.1879865330772623</v>
      </c>
    </row>
    <row r="965" spans="40:42" x14ac:dyDescent="0.3">
      <c r="AN965">
        <v>961</v>
      </c>
      <c r="AO965" s="11">
        <v>20590.650000000001</v>
      </c>
      <c r="AP965" s="9">
        <v>3.3972581623744595</v>
      </c>
    </row>
    <row r="966" spans="40:42" x14ac:dyDescent="0.3">
      <c r="AN966">
        <v>962</v>
      </c>
      <c r="AO966" s="11">
        <v>21591.74</v>
      </c>
      <c r="AP966" s="9">
        <v>3.1495135548502571</v>
      </c>
    </row>
    <row r="967" spans="40:42" x14ac:dyDescent="0.3">
      <c r="AN967">
        <v>963</v>
      </c>
      <c r="AO967" s="11">
        <v>30135.49</v>
      </c>
      <c r="AP967" s="9">
        <v>3.2815873988000797</v>
      </c>
    </row>
    <row r="968" spans="40:42" x14ac:dyDescent="0.3">
      <c r="AN968">
        <v>964</v>
      </c>
      <c r="AO968" s="11">
        <v>34215.42</v>
      </c>
      <c r="AP968" s="9">
        <v>3.1885463530600644</v>
      </c>
    </row>
    <row r="969" spans="40:42" x14ac:dyDescent="0.3">
      <c r="AN969">
        <v>965</v>
      </c>
      <c r="AO969" s="11">
        <v>34502.22</v>
      </c>
      <c r="AP969" s="9">
        <v>3.6665183437068971</v>
      </c>
    </row>
    <row r="970" spans="40:42" x14ac:dyDescent="0.3">
      <c r="AN970">
        <v>966</v>
      </c>
      <c r="AO970" s="11">
        <v>24838.42</v>
      </c>
      <c r="AP970" s="9">
        <v>3.3038630984090682</v>
      </c>
    </row>
    <row r="971" spans="40:42" x14ac:dyDescent="0.3">
      <c r="AN971">
        <v>967</v>
      </c>
      <c r="AO971" s="11">
        <v>28350.78</v>
      </c>
      <c r="AP971" s="9">
        <v>3.2029559709809057</v>
      </c>
    </row>
    <row r="972" spans="40:42" x14ac:dyDescent="0.3">
      <c r="AN972">
        <v>968</v>
      </c>
      <c r="AO972" s="11">
        <v>23755.21</v>
      </c>
      <c r="AP972" s="9">
        <v>4.0598137166144719</v>
      </c>
    </row>
    <row r="973" spans="40:42" x14ac:dyDescent="0.3">
      <c r="AN973">
        <v>969</v>
      </c>
      <c r="AO973" s="11">
        <v>22816.2</v>
      </c>
      <c r="AP973" s="9">
        <v>3.0893025348087413</v>
      </c>
    </row>
    <row r="974" spans="40:42" x14ac:dyDescent="0.3">
      <c r="AN974">
        <v>970</v>
      </c>
      <c r="AO974" s="11">
        <v>25356.639999999999</v>
      </c>
      <c r="AP974" s="9">
        <v>2.9619258677659865</v>
      </c>
    </row>
    <row r="975" spans="40:42" x14ac:dyDescent="0.3">
      <c r="AN975">
        <v>971</v>
      </c>
      <c r="AO975" s="11">
        <v>34083.31</v>
      </c>
      <c r="AP975" s="9">
        <v>3.1229890432578413</v>
      </c>
    </row>
    <row r="976" spans="40:42" x14ac:dyDescent="0.3">
      <c r="AN976">
        <v>972</v>
      </c>
      <c r="AO976" s="11">
        <v>35130.42</v>
      </c>
      <c r="AP976" s="9">
        <v>3.2592843478413491</v>
      </c>
    </row>
    <row r="977" spans="40:42" x14ac:dyDescent="0.3">
      <c r="AN977">
        <v>973</v>
      </c>
      <c r="AO977" s="11">
        <v>26772.09</v>
      </c>
      <c r="AP977" s="9">
        <v>3.6545037094939561</v>
      </c>
    </row>
    <row r="978" spans="40:42" x14ac:dyDescent="0.3">
      <c r="AN978">
        <v>974</v>
      </c>
      <c r="AO978" s="11">
        <v>22862.54</v>
      </c>
      <c r="AP978" s="9">
        <v>3.0652300815474001</v>
      </c>
    </row>
    <row r="979" spans="40:42" x14ac:dyDescent="0.3">
      <c r="AN979">
        <v>975</v>
      </c>
      <c r="AO979" s="11">
        <v>33979.57</v>
      </c>
      <c r="AP979" s="9">
        <v>3.9106021366861383</v>
      </c>
    </row>
    <row r="980" spans="40:42" x14ac:dyDescent="0.3">
      <c r="AN980">
        <v>976</v>
      </c>
      <c r="AO980" s="11">
        <v>20324.43</v>
      </c>
      <c r="AP980" s="9">
        <v>2.9697395990643995</v>
      </c>
    </row>
    <row r="981" spans="40:42" x14ac:dyDescent="0.3">
      <c r="AN981">
        <v>977</v>
      </c>
      <c r="AO981" s="11">
        <v>27505.74</v>
      </c>
      <c r="AP981" s="9">
        <v>3.5394257250289316</v>
      </c>
    </row>
    <row r="982" spans="40:42" x14ac:dyDescent="0.3">
      <c r="AN982">
        <v>978</v>
      </c>
      <c r="AO982" s="11">
        <v>21027.05</v>
      </c>
      <c r="AP982" s="9">
        <v>3.1526183163238271</v>
      </c>
    </row>
    <row r="983" spans="40:42" x14ac:dyDescent="0.3">
      <c r="AN983">
        <v>979</v>
      </c>
      <c r="AO983" s="11">
        <v>38128.639999999999</v>
      </c>
      <c r="AP983" s="9">
        <v>3.8906145971555586</v>
      </c>
    </row>
    <row r="984" spans="40:42" x14ac:dyDescent="0.3">
      <c r="AN984">
        <v>980</v>
      </c>
      <c r="AO984" s="11">
        <v>32003.919999999998</v>
      </c>
      <c r="AP984" s="9">
        <v>3.3546483143671177</v>
      </c>
    </row>
    <row r="985" spans="40:42" x14ac:dyDescent="0.3">
      <c r="AN985">
        <v>981</v>
      </c>
      <c r="AO985" s="11">
        <v>29065.46</v>
      </c>
      <c r="AP985" s="9">
        <v>3.3445998979064506</v>
      </c>
    </row>
    <row r="986" spans="40:42" x14ac:dyDescent="0.3">
      <c r="AN986">
        <v>982</v>
      </c>
      <c r="AO986" s="11">
        <v>34071.71</v>
      </c>
      <c r="AP986" s="9">
        <v>3.1015373945111997</v>
      </c>
    </row>
    <row r="987" spans="40:42" x14ac:dyDescent="0.3">
      <c r="AN987">
        <v>983</v>
      </c>
      <c r="AO987" s="11">
        <v>25909.97</v>
      </c>
      <c r="AP987" s="9">
        <v>3.7187108709543684</v>
      </c>
    </row>
    <row r="988" spans="40:42" x14ac:dyDescent="0.3">
      <c r="AN988">
        <v>984</v>
      </c>
      <c r="AO988" s="11">
        <v>14630.98</v>
      </c>
      <c r="AP988" s="9">
        <v>2.9842950696332138</v>
      </c>
    </row>
    <row r="989" spans="40:42" x14ac:dyDescent="0.3">
      <c r="AN989">
        <v>985</v>
      </c>
      <c r="AO989" s="11">
        <v>26464.05</v>
      </c>
      <c r="AP989" s="9">
        <v>3.6648549472297018</v>
      </c>
    </row>
    <row r="990" spans="40:42" x14ac:dyDescent="0.3">
      <c r="AN990">
        <v>986</v>
      </c>
      <c r="AO990" s="11">
        <v>35132.370000000003</v>
      </c>
      <c r="AP990" s="9">
        <v>3.3330190832655715</v>
      </c>
    </row>
    <row r="991" spans="40:42" x14ac:dyDescent="0.3">
      <c r="AN991">
        <v>987</v>
      </c>
      <c r="AO991" s="11">
        <v>27559.27</v>
      </c>
      <c r="AP991" s="9">
        <v>3.3269748074388916</v>
      </c>
    </row>
    <row r="992" spans="40:42" x14ac:dyDescent="0.3">
      <c r="AN992">
        <v>988</v>
      </c>
      <c r="AO992" s="11">
        <v>31126.28</v>
      </c>
      <c r="AP992" s="9">
        <v>3.6470624195877406</v>
      </c>
    </row>
    <row r="993" spans="40:42" x14ac:dyDescent="0.3">
      <c r="AN993">
        <v>989</v>
      </c>
      <c r="AO993" s="11">
        <v>29662.25</v>
      </c>
      <c r="AP993" s="9">
        <v>3.1517394150290285</v>
      </c>
    </row>
    <row r="994" spans="40:42" x14ac:dyDescent="0.3">
      <c r="AN994">
        <v>990</v>
      </c>
      <c r="AO994" s="11">
        <v>32695.11</v>
      </c>
      <c r="AP994" s="9">
        <v>3.409074473177141</v>
      </c>
    </row>
    <row r="995" spans="40:42" x14ac:dyDescent="0.3">
      <c r="AN995">
        <v>991</v>
      </c>
      <c r="AO995" s="11">
        <v>37719.4</v>
      </c>
      <c r="AP995" s="9">
        <v>3.8741294633066752</v>
      </c>
    </row>
    <row r="996" spans="40:42" x14ac:dyDescent="0.3">
      <c r="AN996">
        <v>992</v>
      </c>
      <c r="AO996" s="11">
        <v>24205.599999999999</v>
      </c>
      <c r="AP996" s="9">
        <v>2.658372812909219</v>
      </c>
    </row>
    <row r="997" spans="40:42" x14ac:dyDescent="0.3">
      <c r="AN997">
        <v>993</v>
      </c>
      <c r="AO997" s="11">
        <v>50823.01</v>
      </c>
      <c r="AP997" s="9">
        <v>4.1639153850657182</v>
      </c>
    </row>
    <row r="998" spans="40:42" x14ac:dyDescent="0.3">
      <c r="AN998">
        <v>994</v>
      </c>
      <c r="AO998" s="11">
        <v>26605.040000000001</v>
      </c>
      <c r="AP998" s="9">
        <v>3.1141470899961083</v>
      </c>
    </row>
    <row r="999" spans="40:42" x14ac:dyDescent="0.3">
      <c r="AN999">
        <v>995</v>
      </c>
      <c r="AO999" s="11">
        <v>18176.72</v>
      </c>
      <c r="AP999" s="9">
        <v>3.434494008215041</v>
      </c>
    </row>
    <row r="1000" spans="40:42" x14ac:dyDescent="0.3">
      <c r="AN1000">
        <v>996</v>
      </c>
      <c r="AO1000" s="11">
        <v>32003.52</v>
      </c>
      <c r="AP1000" s="9">
        <v>3.4901217094041965</v>
      </c>
    </row>
    <row r="1001" spans="40:42" x14ac:dyDescent="0.3">
      <c r="AN1001">
        <v>997</v>
      </c>
      <c r="AO1001" s="11">
        <v>29935.67</v>
      </c>
      <c r="AP1001" s="9">
        <v>3.2956860643056518</v>
      </c>
    </row>
    <row r="1002" spans="40:42" x14ac:dyDescent="0.3">
      <c r="AN1002">
        <v>998</v>
      </c>
      <c r="AO1002" s="11">
        <v>25692.240000000002</v>
      </c>
      <c r="AP1002" s="9">
        <v>3.6940719736814067</v>
      </c>
    </row>
    <row r="1003" spans="40:42" x14ac:dyDescent="0.3">
      <c r="AN1003">
        <v>999</v>
      </c>
      <c r="AO1003" s="11">
        <v>21495.03</v>
      </c>
      <c r="AP1003" s="9">
        <v>3.3656918273050707</v>
      </c>
    </row>
    <row r="1004" spans="40:42" x14ac:dyDescent="0.3">
      <c r="AN1004">
        <v>1000</v>
      </c>
      <c r="AO1004" s="11">
        <v>24109.22</v>
      </c>
      <c r="AP1004" s="9">
        <v>2.8980021380181453</v>
      </c>
    </row>
    <row r="1005" spans="40:42" x14ac:dyDescent="0.3">
      <c r="AN1005">
        <v>1001</v>
      </c>
      <c r="AO1005" s="11">
        <v>29731.81</v>
      </c>
      <c r="AP1005" s="9">
        <v>3.2377049269929761</v>
      </c>
    </row>
    <row r="1006" spans="40:42" x14ac:dyDescent="0.3">
      <c r="AN1006">
        <v>1002</v>
      </c>
      <c r="AO1006" s="11">
        <v>42172.24</v>
      </c>
      <c r="AP1006" s="9">
        <v>4.9684677874164791</v>
      </c>
    </row>
    <row r="1007" spans="40:42" x14ac:dyDescent="0.3">
      <c r="AN1007">
        <v>1003</v>
      </c>
      <c r="AO1007" s="11">
        <v>19292.79</v>
      </c>
      <c r="AP1007" s="9">
        <v>2.4827422962287402</v>
      </c>
    </row>
    <row r="1008" spans="40:42" x14ac:dyDescent="0.3">
      <c r="AN1008">
        <v>1004</v>
      </c>
      <c r="AO1008" s="11">
        <v>29713.79</v>
      </c>
      <c r="AP1008" s="9">
        <v>3.4585929561455524</v>
      </c>
    </row>
    <row r="1009" spans="40:42" x14ac:dyDescent="0.3">
      <c r="AN1009">
        <v>1005</v>
      </c>
      <c r="AO1009" s="11">
        <v>19239.45</v>
      </c>
      <c r="AP1009" s="9">
        <v>3.2411122574530316</v>
      </c>
    </row>
    <row r="1010" spans="40:42" x14ac:dyDescent="0.3">
      <c r="AN1010">
        <v>1006</v>
      </c>
      <c r="AO1010" s="11">
        <v>23802.49</v>
      </c>
      <c r="AP1010" s="9">
        <v>3.4955400724170169</v>
      </c>
    </row>
    <row r="1011" spans="40:42" x14ac:dyDescent="0.3">
      <c r="AN1011">
        <v>1007</v>
      </c>
      <c r="AO1011" s="11">
        <v>17535.97</v>
      </c>
      <c r="AP1011" s="9">
        <v>2.9190715595077861</v>
      </c>
    </row>
    <row r="1012" spans="40:42" x14ac:dyDescent="0.3">
      <c r="AN1012">
        <v>1008</v>
      </c>
      <c r="AO1012" s="11">
        <v>19647.63</v>
      </c>
      <c r="AP1012" s="9">
        <v>2.9634694131264454</v>
      </c>
    </row>
    <row r="1013" spans="40:42" x14ac:dyDescent="0.3">
      <c r="AN1013">
        <v>1009</v>
      </c>
      <c r="AO1013" s="11">
        <v>31187.37</v>
      </c>
      <c r="AP1013" s="9">
        <v>3.5334564172177365</v>
      </c>
    </row>
    <row r="1014" spans="40:42" x14ac:dyDescent="0.3">
      <c r="AN1014">
        <v>1010</v>
      </c>
      <c r="AO1014" s="11">
        <v>36244.22</v>
      </c>
      <c r="AP1014" s="9">
        <v>2.9784340799817919</v>
      </c>
    </row>
    <row r="1015" spans="40:42" x14ac:dyDescent="0.3">
      <c r="AN1015">
        <v>1011</v>
      </c>
      <c r="AO1015" s="11">
        <v>36154.68</v>
      </c>
      <c r="AP1015" s="9">
        <v>3.5829585451942707</v>
      </c>
    </row>
    <row r="1016" spans="40:42" x14ac:dyDescent="0.3">
      <c r="AN1016">
        <v>1012</v>
      </c>
      <c r="AO1016" s="11">
        <v>51995.97</v>
      </c>
      <c r="AP1016" s="9">
        <v>4.1112981175688414</v>
      </c>
    </row>
    <row r="1017" spans="40:42" x14ac:dyDescent="0.3">
      <c r="AN1017">
        <v>1013</v>
      </c>
      <c r="AO1017" s="11">
        <v>31473.94</v>
      </c>
      <c r="AP1017" s="9">
        <v>3.3399149841579217</v>
      </c>
    </row>
    <row r="1018" spans="40:42" x14ac:dyDescent="0.3">
      <c r="AN1018">
        <v>1014</v>
      </c>
      <c r="AO1018" s="11">
        <v>25996.76</v>
      </c>
      <c r="AP1018" s="9">
        <v>3.5967399289091917</v>
      </c>
    </row>
    <row r="1019" spans="40:42" x14ac:dyDescent="0.3">
      <c r="AN1019">
        <v>1015</v>
      </c>
      <c r="AO1019" s="11">
        <v>16657.78</v>
      </c>
      <c r="AP1019" s="9">
        <v>3.1143218611760024</v>
      </c>
    </row>
    <row r="1020" spans="40:42" x14ac:dyDescent="0.3">
      <c r="AN1020">
        <v>1016</v>
      </c>
      <c r="AO1020" s="11">
        <v>26864.39</v>
      </c>
      <c r="AP1020" s="9">
        <v>3.0209527296060807</v>
      </c>
    </row>
    <row r="1021" spans="40:42" x14ac:dyDescent="0.3">
      <c r="AN1021">
        <v>1017</v>
      </c>
      <c r="AO1021" s="11">
        <v>31645.1</v>
      </c>
      <c r="AP1021" s="9">
        <v>3.3543325442590777</v>
      </c>
    </row>
    <row r="1022" spans="40:42" x14ac:dyDescent="0.3">
      <c r="AN1022">
        <v>1018</v>
      </c>
      <c r="AO1022" s="11">
        <v>23944.99</v>
      </c>
      <c r="AP1022" s="9">
        <v>3.0818052302038188</v>
      </c>
    </row>
    <row r="1023" spans="40:42" x14ac:dyDescent="0.3">
      <c r="AN1023">
        <v>1019</v>
      </c>
      <c r="AO1023" s="11">
        <v>29154.07</v>
      </c>
      <c r="AP1023" s="9">
        <v>3.038896326773338</v>
      </c>
    </row>
    <row r="1024" spans="40:42" x14ac:dyDescent="0.3">
      <c r="AN1024">
        <v>1020</v>
      </c>
      <c r="AO1024" s="11">
        <v>24946.95</v>
      </c>
      <c r="AP1024" s="9">
        <v>3.50610896394921</v>
      </c>
    </row>
    <row r="1025" spans="40:42" x14ac:dyDescent="0.3">
      <c r="AN1025">
        <v>1021</v>
      </c>
      <c r="AO1025" s="11">
        <v>30283.93</v>
      </c>
      <c r="AP1025" s="9">
        <v>3.9871116838421363</v>
      </c>
    </row>
    <row r="1026" spans="40:42" x14ac:dyDescent="0.3">
      <c r="AN1026">
        <v>1022</v>
      </c>
      <c r="AO1026" s="11">
        <v>23204.9</v>
      </c>
      <c r="AP1026" s="9">
        <v>3.9202190440247824</v>
      </c>
    </row>
    <row r="1027" spans="40:42" x14ac:dyDescent="0.3">
      <c r="AN1027">
        <v>1023</v>
      </c>
      <c r="AO1027" s="11">
        <v>20854.91</v>
      </c>
      <c r="AP1027" s="9">
        <v>3.2959683355476148</v>
      </c>
    </row>
    <row r="1028" spans="40:42" x14ac:dyDescent="0.3">
      <c r="AN1028">
        <v>1024</v>
      </c>
      <c r="AO1028" s="11">
        <v>22675.06</v>
      </c>
      <c r="AP1028" s="9">
        <v>3.2212740504675854</v>
      </c>
    </row>
    <row r="1029" spans="40:42" x14ac:dyDescent="0.3">
      <c r="AN1029">
        <v>1025</v>
      </c>
      <c r="AO1029" s="11">
        <v>32297.3</v>
      </c>
      <c r="AP1029" s="9">
        <v>3.0982822475175031</v>
      </c>
    </row>
    <row r="1030" spans="40:42" x14ac:dyDescent="0.3">
      <c r="AN1030">
        <v>1026</v>
      </c>
      <c r="AO1030" s="11">
        <v>21407.75</v>
      </c>
      <c r="AP1030" s="9">
        <v>3.5744256301911546</v>
      </c>
    </row>
    <row r="1031" spans="40:42" x14ac:dyDescent="0.3">
      <c r="AN1031">
        <v>1027</v>
      </c>
      <c r="AO1031" s="11">
        <v>23684.76</v>
      </c>
      <c r="AP1031" s="9">
        <v>2.9676035283195521</v>
      </c>
    </row>
    <row r="1032" spans="40:42" x14ac:dyDescent="0.3">
      <c r="AN1032">
        <v>1028</v>
      </c>
      <c r="AO1032" s="11">
        <v>20580.05</v>
      </c>
      <c r="AP1032" s="9">
        <v>3.097992396243523</v>
      </c>
    </row>
    <row r="1033" spans="40:42" x14ac:dyDescent="0.3">
      <c r="AN1033">
        <v>1029</v>
      </c>
      <c r="AO1033" s="11">
        <v>22925.58</v>
      </c>
      <c r="AP1033" s="9">
        <v>3.2869905466072842</v>
      </c>
    </row>
    <row r="1034" spans="40:42" x14ac:dyDescent="0.3">
      <c r="AN1034">
        <v>1030</v>
      </c>
      <c r="AO1034" s="11">
        <v>37299.67</v>
      </c>
      <c r="AP1034" s="9">
        <v>3.6345544024120398</v>
      </c>
    </row>
    <row r="1035" spans="40:42" x14ac:dyDescent="0.3">
      <c r="AN1035">
        <v>1031</v>
      </c>
      <c r="AO1035" s="11">
        <v>19784.189999999999</v>
      </c>
      <c r="AP1035" s="9">
        <v>3.0794663023560651</v>
      </c>
    </row>
    <row r="1036" spans="40:42" x14ac:dyDescent="0.3">
      <c r="AN1036">
        <v>1032</v>
      </c>
      <c r="AO1036" s="11">
        <v>35395.29</v>
      </c>
      <c r="AP1036" s="9">
        <v>3.325646896921854</v>
      </c>
    </row>
    <row r="1037" spans="40:42" x14ac:dyDescent="0.3">
      <c r="AN1037">
        <v>1033</v>
      </c>
      <c r="AO1037" s="11">
        <v>35116.68</v>
      </c>
      <c r="AP1037" s="9">
        <v>4.0541370623548225</v>
      </c>
    </row>
    <row r="1038" spans="40:42" x14ac:dyDescent="0.3">
      <c r="AN1038">
        <v>1034</v>
      </c>
      <c r="AO1038" s="11">
        <v>43956.01</v>
      </c>
      <c r="AP1038" s="9">
        <v>3.8611740912572383</v>
      </c>
    </row>
    <row r="1039" spans="40:42" x14ac:dyDescent="0.3">
      <c r="AN1039">
        <v>1035</v>
      </c>
      <c r="AO1039" s="11">
        <v>21346.799999999999</v>
      </c>
      <c r="AP1039" s="9">
        <v>2.8644845743520704</v>
      </c>
    </row>
    <row r="1040" spans="40:42" x14ac:dyDescent="0.3">
      <c r="AN1040">
        <v>1036</v>
      </c>
      <c r="AO1040" s="11">
        <v>29662.52</v>
      </c>
      <c r="AP1040" s="9">
        <v>3.3465084174740309</v>
      </c>
    </row>
    <row r="1041" spans="40:42" x14ac:dyDescent="0.3">
      <c r="AN1041">
        <v>1037</v>
      </c>
      <c r="AO1041" s="11">
        <v>20870.11</v>
      </c>
      <c r="AP1041" s="9">
        <v>3.0596895831664854</v>
      </c>
    </row>
    <row r="1042" spans="40:42" x14ac:dyDescent="0.3">
      <c r="AN1042">
        <v>1038</v>
      </c>
      <c r="AO1042" s="11">
        <v>18984.75</v>
      </c>
      <c r="AP1042" s="9">
        <v>2.9803426350110565</v>
      </c>
    </row>
    <row r="1043" spans="40:42" x14ac:dyDescent="0.3">
      <c r="AN1043">
        <v>1039</v>
      </c>
      <c r="AO1043" s="11">
        <v>28294.75</v>
      </c>
      <c r="AP1043" s="9">
        <v>4.1463680119872839</v>
      </c>
    </row>
    <row r="1044" spans="40:42" x14ac:dyDescent="0.3">
      <c r="AN1044">
        <v>1040</v>
      </c>
      <c r="AO1044" s="11">
        <v>20100.169999999998</v>
      </c>
      <c r="AP1044" s="9">
        <v>3.1279777648127642</v>
      </c>
    </row>
    <row r="1045" spans="40:42" x14ac:dyDescent="0.3">
      <c r="AN1045">
        <v>1041</v>
      </c>
      <c r="AO1045" s="11">
        <v>37893.14</v>
      </c>
      <c r="AP1045" s="9">
        <v>3.0862908531031596</v>
      </c>
    </row>
    <row r="1046" spans="40:42" x14ac:dyDescent="0.3">
      <c r="AN1046">
        <v>1042</v>
      </c>
      <c r="AO1046" s="11">
        <v>32232.17</v>
      </c>
      <c r="AP1046" s="9">
        <v>3.4350670433411645</v>
      </c>
    </row>
    <row r="1047" spans="40:42" x14ac:dyDescent="0.3">
      <c r="AN1047">
        <v>1043</v>
      </c>
      <c r="AO1047" s="11">
        <v>18649.169999999998</v>
      </c>
      <c r="AP1047" s="9">
        <v>3.3188662122802386</v>
      </c>
    </row>
    <row r="1048" spans="40:42" x14ac:dyDescent="0.3">
      <c r="AN1048">
        <v>1044</v>
      </c>
      <c r="AO1048" s="11">
        <v>30485.99</v>
      </c>
      <c r="AP1048" s="9">
        <v>3.4116883615034879</v>
      </c>
    </row>
    <row r="1049" spans="40:42" x14ac:dyDescent="0.3">
      <c r="AN1049">
        <v>1045</v>
      </c>
      <c r="AO1049" s="11">
        <v>28037.65</v>
      </c>
      <c r="AP1049" s="9">
        <v>3.847333395347071</v>
      </c>
    </row>
    <row r="1050" spans="40:42" x14ac:dyDescent="0.3">
      <c r="AN1050">
        <v>1046</v>
      </c>
      <c r="AO1050" s="11">
        <v>24257.35</v>
      </c>
      <c r="AP1050" s="9">
        <v>3.1218108763627059</v>
      </c>
    </row>
    <row r="1051" spans="40:42" x14ac:dyDescent="0.3">
      <c r="AN1051">
        <v>1047</v>
      </c>
      <c r="AO1051" s="11">
        <v>26635.68</v>
      </c>
      <c r="AP1051" s="9">
        <v>3.4092195924841544</v>
      </c>
    </row>
    <row r="1052" spans="40:42" x14ac:dyDescent="0.3">
      <c r="AN1052">
        <v>1048</v>
      </c>
      <c r="AO1052" s="11">
        <v>23424.47</v>
      </c>
      <c r="AP1052" s="9">
        <v>3.1174530601062673</v>
      </c>
    </row>
    <row r="1053" spans="40:42" x14ac:dyDescent="0.3">
      <c r="AN1053">
        <v>1049</v>
      </c>
      <c r="AO1053" s="11">
        <v>37556.519999999997</v>
      </c>
      <c r="AP1053" s="9">
        <v>3.3325348082829067</v>
      </c>
    </row>
    <row r="1054" spans="40:42" x14ac:dyDescent="0.3">
      <c r="AN1054">
        <v>1050</v>
      </c>
      <c r="AO1054" s="11">
        <v>21784.97</v>
      </c>
      <c r="AP1054" s="9">
        <v>3.4727732946172578</v>
      </c>
    </row>
    <row r="1055" spans="40:42" x14ac:dyDescent="0.3">
      <c r="AN1055">
        <v>1051</v>
      </c>
      <c r="AO1055" s="11">
        <v>40245.64</v>
      </c>
      <c r="AP1055" s="9">
        <v>3.9628587355663374</v>
      </c>
    </row>
    <row r="1056" spans="40:42" x14ac:dyDescent="0.3">
      <c r="AN1056">
        <v>1052</v>
      </c>
      <c r="AO1056" s="11">
        <v>21283.77</v>
      </c>
      <c r="AP1056" s="9">
        <v>3.4118304450231816</v>
      </c>
    </row>
    <row r="1057" spans="40:42" x14ac:dyDescent="0.3">
      <c r="AN1057">
        <v>1053</v>
      </c>
      <c r="AO1057" s="11">
        <v>23123.98</v>
      </c>
      <c r="AP1057" s="9">
        <v>3.2361273826123624</v>
      </c>
    </row>
    <row r="1058" spans="40:42" x14ac:dyDescent="0.3">
      <c r="AN1058">
        <v>1054</v>
      </c>
      <c r="AO1058" s="11">
        <v>17593.669999999998</v>
      </c>
      <c r="AP1058" s="9">
        <v>3.2244879866801739</v>
      </c>
    </row>
    <row r="1059" spans="40:42" x14ac:dyDescent="0.3">
      <c r="AN1059">
        <v>1055</v>
      </c>
      <c r="AO1059" s="11">
        <v>15070.37</v>
      </c>
      <c r="AP1059" s="9">
        <v>4.1295235727832456</v>
      </c>
    </row>
    <row r="1060" spans="40:42" x14ac:dyDescent="0.3">
      <c r="AN1060">
        <v>1056</v>
      </c>
      <c r="AO1060" s="11">
        <v>16862.82</v>
      </c>
      <c r="AP1060" s="9">
        <v>3.4931217704636848</v>
      </c>
    </row>
    <row r="1061" spans="40:42" x14ac:dyDescent="0.3">
      <c r="AN1061">
        <v>1057</v>
      </c>
      <c r="AO1061" s="11">
        <v>34010.99</v>
      </c>
      <c r="AP1061" s="9">
        <v>3.0867592072701688</v>
      </c>
    </row>
    <row r="1062" spans="40:42" x14ac:dyDescent="0.3">
      <c r="AN1062">
        <v>1058</v>
      </c>
      <c r="AO1062" s="11">
        <v>31439.67</v>
      </c>
      <c r="AP1062" s="9">
        <v>4.2499497368077126</v>
      </c>
    </row>
    <row r="1063" spans="40:42" x14ac:dyDescent="0.3">
      <c r="AN1063">
        <v>1059</v>
      </c>
      <c r="AO1063" s="11">
        <v>18788.150000000001</v>
      </c>
      <c r="AP1063" s="9">
        <v>3.6624210226162122</v>
      </c>
    </row>
    <row r="1064" spans="40:42" x14ac:dyDescent="0.3">
      <c r="AN1064">
        <v>1060</v>
      </c>
      <c r="AO1064" s="11">
        <v>41562.82</v>
      </c>
      <c r="AP1064" s="9">
        <v>3.8867524970762899</v>
      </c>
    </row>
    <row r="1065" spans="40:42" x14ac:dyDescent="0.3">
      <c r="AN1065">
        <v>1061</v>
      </c>
      <c r="AO1065" s="11">
        <v>20594.919999999998</v>
      </c>
      <c r="AP1065" s="9">
        <v>2.9845300890684556</v>
      </c>
    </row>
    <row r="1066" spans="40:42" x14ac:dyDescent="0.3">
      <c r="AN1066">
        <v>1062</v>
      </c>
      <c r="AO1066" s="11">
        <v>20328.09</v>
      </c>
      <c r="AP1066" s="9">
        <v>2.6970844260780913</v>
      </c>
    </row>
    <row r="1067" spans="40:42" x14ac:dyDescent="0.3">
      <c r="AN1067">
        <v>1063</v>
      </c>
      <c r="AO1067" s="11">
        <v>27961.03</v>
      </c>
      <c r="AP1067" s="9">
        <v>3.767807978688678</v>
      </c>
    </row>
    <row r="1068" spans="40:42" x14ac:dyDescent="0.3">
      <c r="AN1068">
        <v>1064</v>
      </c>
      <c r="AO1068" s="11">
        <v>26060.13</v>
      </c>
      <c r="AP1068" s="9">
        <v>3.6980628799114919</v>
      </c>
    </row>
    <row r="1069" spans="40:42" x14ac:dyDescent="0.3">
      <c r="AN1069">
        <v>1065</v>
      </c>
      <c r="AO1069" s="11">
        <v>19831.09</v>
      </c>
      <c r="AP1069" s="9">
        <v>3.2925427538488385</v>
      </c>
    </row>
    <row r="1070" spans="40:42" x14ac:dyDescent="0.3">
      <c r="AN1070">
        <v>1066</v>
      </c>
      <c r="AO1070" s="11">
        <v>19476.849999999999</v>
      </c>
      <c r="AP1070" s="9">
        <v>3.0835049009160778</v>
      </c>
    </row>
    <row r="1071" spans="40:42" x14ac:dyDescent="0.3">
      <c r="AN1071">
        <v>1067</v>
      </c>
      <c r="AO1071" s="11">
        <v>35789.75</v>
      </c>
      <c r="AP1071" s="9">
        <v>3.4960048419394347</v>
      </c>
    </row>
    <row r="1072" spans="40:42" x14ac:dyDescent="0.3">
      <c r="AN1072">
        <v>1068</v>
      </c>
      <c r="AO1072" s="11">
        <v>29076.86</v>
      </c>
      <c r="AP1072" s="9">
        <v>3.3231183329333422</v>
      </c>
    </row>
    <row r="1073" spans="40:42" x14ac:dyDescent="0.3">
      <c r="AN1073">
        <v>1069</v>
      </c>
      <c r="AO1073" s="11">
        <v>20532.919999999998</v>
      </c>
      <c r="AP1073" s="9">
        <v>2.9026740178471941</v>
      </c>
    </row>
    <row r="1074" spans="40:42" x14ac:dyDescent="0.3">
      <c r="AN1074">
        <v>1070</v>
      </c>
      <c r="AO1074" s="11">
        <v>29041.32</v>
      </c>
      <c r="AP1074" s="9">
        <v>3.5781671967946114</v>
      </c>
    </row>
    <row r="1075" spans="40:42" x14ac:dyDescent="0.3">
      <c r="AN1075">
        <v>1071</v>
      </c>
      <c r="AO1075" s="11">
        <v>33637.96</v>
      </c>
      <c r="AP1075" s="9">
        <v>3.3315654029278758</v>
      </c>
    </row>
    <row r="1076" spans="40:42" x14ac:dyDescent="0.3">
      <c r="AN1076">
        <v>1072</v>
      </c>
      <c r="AO1076" s="11">
        <v>23801</v>
      </c>
      <c r="AP1076" s="9">
        <v>3.1774114246741862</v>
      </c>
    </row>
    <row r="1077" spans="40:42" x14ac:dyDescent="0.3">
      <c r="AN1077">
        <v>1073</v>
      </c>
      <c r="AO1077" s="11">
        <v>29565.73</v>
      </c>
      <c r="AP1077" s="9">
        <v>3.6262187065938596</v>
      </c>
    </row>
    <row r="1078" spans="40:42" x14ac:dyDescent="0.3">
      <c r="AN1078">
        <v>1074</v>
      </c>
      <c r="AO1078" s="11">
        <v>30581.77</v>
      </c>
      <c r="AP1078" s="9">
        <v>3.8104385474490781</v>
      </c>
    </row>
    <row r="1079" spans="40:42" x14ac:dyDescent="0.3">
      <c r="AN1079">
        <v>1075</v>
      </c>
      <c r="AO1079" s="11">
        <v>21581.08</v>
      </c>
      <c r="AP1079" s="9">
        <v>2.9435738815571901</v>
      </c>
    </row>
    <row r="1080" spans="40:42" x14ac:dyDescent="0.3">
      <c r="AN1080">
        <v>1076</v>
      </c>
      <c r="AO1080" s="11">
        <v>23929.46</v>
      </c>
      <c r="AP1080" s="9">
        <v>3.4120701442725299</v>
      </c>
    </row>
    <row r="1081" spans="40:42" x14ac:dyDescent="0.3">
      <c r="AN1081">
        <v>1077</v>
      </c>
      <c r="AO1081" s="11">
        <v>24251.33</v>
      </c>
      <c r="AP1081" s="9">
        <v>3.3839288212183649</v>
      </c>
    </row>
    <row r="1082" spans="40:42" x14ac:dyDescent="0.3">
      <c r="AN1082">
        <v>1078</v>
      </c>
      <c r="AO1082" s="11">
        <v>35675.11</v>
      </c>
      <c r="AP1082" s="9">
        <v>3.6780087865053006</v>
      </c>
    </row>
    <row r="1083" spans="40:42" x14ac:dyDescent="0.3">
      <c r="AN1083">
        <v>1079</v>
      </c>
      <c r="AO1083" s="11">
        <v>24942.43</v>
      </c>
      <c r="AP1083" s="9">
        <v>2.7788262082874042</v>
      </c>
    </row>
    <row r="1084" spans="40:42" x14ac:dyDescent="0.3">
      <c r="AN1084">
        <v>1080</v>
      </c>
      <c r="AO1084" s="11">
        <v>25183.64</v>
      </c>
      <c r="AP1084" s="9">
        <v>3.9746491869790859</v>
      </c>
    </row>
    <row r="1085" spans="40:42" x14ac:dyDescent="0.3">
      <c r="AN1085">
        <v>1081</v>
      </c>
      <c r="AO1085" s="11">
        <v>31045.17</v>
      </c>
      <c r="AP1085" s="9">
        <v>4.0474938069255302</v>
      </c>
    </row>
    <row r="1086" spans="40:42" x14ac:dyDescent="0.3">
      <c r="AN1086">
        <v>1082</v>
      </c>
      <c r="AO1086" s="11">
        <v>22730.12</v>
      </c>
      <c r="AP1086" s="9">
        <v>3.1548071992305129</v>
      </c>
    </row>
    <row r="1087" spans="40:42" x14ac:dyDescent="0.3">
      <c r="AN1087">
        <v>1083</v>
      </c>
      <c r="AO1087" s="11">
        <v>32428.99</v>
      </c>
      <c r="AP1087" s="9">
        <v>3.7591793750514517</v>
      </c>
    </row>
    <row r="1088" spans="40:42" x14ac:dyDescent="0.3">
      <c r="AN1088">
        <v>1084</v>
      </c>
      <c r="AO1088" s="11">
        <v>25536.36</v>
      </c>
      <c r="AP1088" s="9">
        <v>3.449617973938949</v>
      </c>
    </row>
    <row r="1089" spans="40:42" x14ac:dyDescent="0.3">
      <c r="AN1089">
        <v>1085</v>
      </c>
      <c r="AO1089" s="11">
        <v>30866.71</v>
      </c>
      <c r="AP1089" s="9">
        <v>3.3623157960559511</v>
      </c>
    </row>
    <row r="1090" spans="40:42" x14ac:dyDescent="0.3">
      <c r="AN1090">
        <v>1086</v>
      </c>
      <c r="AO1090" s="11">
        <v>31409.59</v>
      </c>
      <c r="AP1090" s="9">
        <v>3.8793786490091771</v>
      </c>
    </row>
    <row r="1091" spans="40:42" x14ac:dyDescent="0.3">
      <c r="AN1091">
        <v>1087</v>
      </c>
      <c r="AO1091" s="11">
        <v>28398.47</v>
      </c>
      <c r="AP1091" s="9">
        <v>3.0900576351594964</v>
      </c>
    </row>
    <row r="1092" spans="40:42" x14ac:dyDescent="0.3">
      <c r="AN1092">
        <v>1088</v>
      </c>
      <c r="AO1092" s="11">
        <v>25245.77</v>
      </c>
      <c r="AP1092" s="9">
        <v>3.7824259401958082</v>
      </c>
    </row>
    <row r="1093" spans="40:42" x14ac:dyDescent="0.3">
      <c r="AN1093">
        <v>1089</v>
      </c>
      <c r="AO1093" s="11">
        <v>34305.26</v>
      </c>
      <c r="AP1093" s="9">
        <v>3.6018767065424036</v>
      </c>
    </row>
    <row r="1094" spans="40:42" x14ac:dyDescent="0.3">
      <c r="AN1094">
        <v>1090</v>
      </c>
      <c r="AO1094" s="11">
        <v>37545.24</v>
      </c>
      <c r="AP1094" s="9">
        <v>4.0713099165096116</v>
      </c>
    </row>
    <row r="1095" spans="40:42" x14ac:dyDescent="0.3">
      <c r="AN1095">
        <v>1091</v>
      </c>
      <c r="AO1095" s="11">
        <v>18519.91</v>
      </c>
      <c r="AP1095" s="9">
        <v>2.9221013920424608</v>
      </c>
    </row>
    <row r="1096" spans="40:42" x14ac:dyDescent="0.3">
      <c r="AN1096">
        <v>1092</v>
      </c>
      <c r="AO1096" s="11">
        <v>36766.68</v>
      </c>
      <c r="AP1096" s="9">
        <v>3.2905563118458021</v>
      </c>
    </row>
    <row r="1097" spans="40:42" x14ac:dyDescent="0.3">
      <c r="AN1097">
        <v>1093</v>
      </c>
      <c r="AO1097" s="11">
        <v>28539.18</v>
      </c>
      <c r="AP1097" s="9">
        <v>3.3405191061829052</v>
      </c>
    </row>
    <row r="1098" spans="40:42" x14ac:dyDescent="0.3">
      <c r="AN1098">
        <v>1094</v>
      </c>
      <c r="AO1098" s="11">
        <v>32971.33</v>
      </c>
      <c r="AP1098" s="9">
        <v>3.3451733177312772</v>
      </c>
    </row>
    <row r="1099" spans="40:42" x14ac:dyDescent="0.3">
      <c r="AN1099">
        <v>1095</v>
      </c>
      <c r="AO1099" s="11">
        <v>18232.009999999998</v>
      </c>
      <c r="AP1099" s="9">
        <v>3.2296263825367819</v>
      </c>
    </row>
    <row r="1100" spans="40:42" x14ac:dyDescent="0.3">
      <c r="AN1100">
        <v>1096</v>
      </c>
      <c r="AO1100" s="11">
        <v>23737.94</v>
      </c>
      <c r="AP1100" s="9">
        <v>3.2417590971049695</v>
      </c>
    </row>
    <row r="1101" spans="40:42" x14ac:dyDescent="0.3">
      <c r="AN1101">
        <v>1097</v>
      </c>
      <c r="AO1101" s="11">
        <v>26196.02</v>
      </c>
      <c r="AP1101" s="9">
        <v>3.0667452756541564</v>
      </c>
    </row>
    <row r="1102" spans="40:42" x14ac:dyDescent="0.3">
      <c r="AN1102">
        <v>1098</v>
      </c>
      <c r="AO1102" s="11">
        <v>23642.28</v>
      </c>
      <c r="AP1102" s="9">
        <v>3.4800758000224885</v>
      </c>
    </row>
    <row r="1103" spans="40:42" x14ac:dyDescent="0.3">
      <c r="AN1103">
        <v>1099</v>
      </c>
      <c r="AO1103" s="11">
        <v>24038.78</v>
      </c>
      <c r="AP1103" s="9">
        <v>3.5674799019567436</v>
      </c>
    </row>
    <row r="1104" spans="40:42" x14ac:dyDescent="0.3">
      <c r="AN1104">
        <v>1100</v>
      </c>
      <c r="AO1104" s="11">
        <v>14735.12</v>
      </c>
      <c r="AP1104" s="9">
        <v>3.4158241360988346</v>
      </c>
    </row>
    <row r="1105" spans="40:42" x14ac:dyDescent="0.3">
      <c r="AN1105">
        <v>1101</v>
      </c>
      <c r="AO1105" s="11">
        <v>28372.51</v>
      </c>
      <c r="AP1105" s="9">
        <v>3.0660802320858083</v>
      </c>
    </row>
    <row r="1106" spans="40:42" x14ac:dyDescent="0.3">
      <c r="AN1106">
        <v>1102</v>
      </c>
      <c r="AO1106" s="11">
        <v>26673.38</v>
      </c>
      <c r="AP1106" s="9">
        <v>3.8744706957485282</v>
      </c>
    </row>
    <row r="1107" spans="40:42" x14ac:dyDescent="0.3">
      <c r="AN1107">
        <v>1103</v>
      </c>
      <c r="AO1107" s="11">
        <v>27785.34</v>
      </c>
      <c r="AP1107" s="9">
        <v>3.316289637599505</v>
      </c>
    </row>
    <row r="1108" spans="40:42" x14ac:dyDescent="0.3">
      <c r="AN1108">
        <v>1104</v>
      </c>
      <c r="AO1108" s="11">
        <v>29831.38</v>
      </c>
      <c r="AP1108" s="9">
        <v>3.3483601389547957</v>
      </c>
    </row>
    <row r="1109" spans="40:42" x14ac:dyDescent="0.3">
      <c r="AN1109">
        <v>1105</v>
      </c>
      <c r="AO1109" s="11">
        <v>27006.36</v>
      </c>
      <c r="AP1109" s="9">
        <v>3.152753142940377</v>
      </c>
    </row>
    <row r="1110" spans="40:42" x14ac:dyDescent="0.3">
      <c r="AN1110">
        <v>1106</v>
      </c>
      <c r="AO1110" s="11">
        <v>26151.45</v>
      </c>
      <c r="AP1110" s="9">
        <v>3.7106325351202707</v>
      </c>
    </row>
    <row r="1111" spans="40:42" x14ac:dyDescent="0.3">
      <c r="AN1111">
        <v>1107</v>
      </c>
      <c r="AO1111" s="11">
        <v>27214.78</v>
      </c>
      <c r="AP1111" s="9">
        <v>3.0055611565690548</v>
      </c>
    </row>
    <row r="1112" spans="40:42" x14ac:dyDescent="0.3">
      <c r="AN1112">
        <v>1108</v>
      </c>
      <c r="AO1112" s="11">
        <v>29405.01</v>
      </c>
      <c r="AP1112" s="9">
        <v>3.2020407110162967</v>
      </c>
    </row>
    <row r="1113" spans="40:42" x14ac:dyDescent="0.3">
      <c r="AN1113">
        <v>1109</v>
      </c>
      <c r="AO1113" s="11">
        <v>24566</v>
      </c>
      <c r="AP1113" s="9">
        <v>3.3128957900409386</v>
      </c>
    </row>
    <row r="1114" spans="40:42" x14ac:dyDescent="0.3">
      <c r="AN1114">
        <v>1110</v>
      </c>
      <c r="AO1114" s="11">
        <v>23593.11</v>
      </c>
      <c r="AP1114" s="9">
        <v>3.2631449146380551</v>
      </c>
    </row>
    <row r="1115" spans="40:42" x14ac:dyDescent="0.3">
      <c r="AN1115">
        <v>1111</v>
      </c>
      <c r="AO1115" s="11">
        <v>14986.46</v>
      </c>
      <c r="AP1115" s="9">
        <v>2.7975954867585142</v>
      </c>
    </row>
    <row r="1116" spans="40:42" x14ac:dyDescent="0.3">
      <c r="AN1116">
        <v>1112</v>
      </c>
      <c r="AO1116" s="11">
        <v>19939.04</v>
      </c>
      <c r="AP1116" s="9">
        <v>3.4582113287765375</v>
      </c>
    </row>
    <row r="1117" spans="40:42" x14ac:dyDescent="0.3">
      <c r="AN1117">
        <v>1113</v>
      </c>
      <c r="AO1117" s="11">
        <v>24513.3</v>
      </c>
      <c r="AP1117" s="9">
        <v>3.0465132372975967</v>
      </c>
    </row>
    <row r="1118" spans="40:42" x14ac:dyDescent="0.3">
      <c r="AN1118">
        <v>1114</v>
      </c>
      <c r="AO1118" s="11">
        <v>23364.22</v>
      </c>
      <c r="AP1118" s="9">
        <v>3.5246346767776595</v>
      </c>
    </row>
    <row r="1119" spans="40:42" x14ac:dyDescent="0.3">
      <c r="AN1119">
        <v>1115</v>
      </c>
      <c r="AO1119" s="11">
        <v>16121.95</v>
      </c>
      <c r="AP1119" s="9">
        <v>3.1775068589597946</v>
      </c>
    </row>
    <row r="1120" spans="40:42" x14ac:dyDescent="0.3">
      <c r="AN1120">
        <v>1116</v>
      </c>
      <c r="AO1120" s="11">
        <v>32642.11</v>
      </c>
      <c r="AP1120" s="9">
        <v>3.6069421228638245</v>
      </c>
    </row>
    <row r="1121" spans="40:42" x14ac:dyDescent="0.3">
      <c r="AN1121">
        <v>1117</v>
      </c>
      <c r="AO1121" s="11">
        <v>21616.799999999999</v>
      </c>
      <c r="AP1121" s="9">
        <v>2.7599113788169096</v>
      </c>
    </row>
    <row r="1122" spans="40:42" x14ac:dyDescent="0.3">
      <c r="AN1122">
        <v>1118</v>
      </c>
      <c r="AO1122" s="11">
        <v>30694.19</v>
      </c>
      <c r="AP1122" s="9">
        <v>3.4054997870083659</v>
      </c>
    </row>
    <row r="1123" spans="40:42" x14ac:dyDescent="0.3">
      <c r="AN1123">
        <v>1119</v>
      </c>
      <c r="AO1123" s="11">
        <v>21054.74</v>
      </c>
      <c r="AP1123" s="9">
        <v>3.2467485554197526</v>
      </c>
    </row>
    <row r="1124" spans="40:42" x14ac:dyDescent="0.3">
      <c r="AN1124">
        <v>1120</v>
      </c>
      <c r="AO1124" s="11">
        <v>26168.54</v>
      </c>
      <c r="AP1124" s="9">
        <v>3.748102478013922</v>
      </c>
    </row>
    <row r="1125" spans="40:42" x14ac:dyDescent="0.3">
      <c r="AN1125">
        <v>1121</v>
      </c>
      <c r="AO1125" s="11">
        <v>14111.29</v>
      </c>
      <c r="AP1125" s="9">
        <v>3.0371862149166247</v>
      </c>
    </row>
    <row r="1126" spans="40:42" x14ac:dyDescent="0.3">
      <c r="AN1126">
        <v>1122</v>
      </c>
      <c r="AO1126" s="11">
        <v>32532.59</v>
      </c>
      <c r="AP1126" s="9">
        <v>3.9974262293190215</v>
      </c>
    </row>
    <row r="1127" spans="40:42" x14ac:dyDescent="0.3">
      <c r="AN1127">
        <v>1123</v>
      </c>
      <c r="AO1127" s="11">
        <v>29621.040000000001</v>
      </c>
      <c r="AP1127" s="9">
        <v>3.8252287061908494</v>
      </c>
    </row>
    <row r="1128" spans="40:42" x14ac:dyDescent="0.3">
      <c r="AN1128">
        <v>1124</v>
      </c>
      <c r="AO1128" s="11">
        <v>21744.49</v>
      </c>
      <c r="AP1128" s="9">
        <v>3.0679618562043718</v>
      </c>
    </row>
    <row r="1129" spans="40:42" x14ac:dyDescent="0.3">
      <c r="AN1129">
        <v>1125</v>
      </c>
      <c r="AO1129" s="11">
        <v>22773.06</v>
      </c>
      <c r="AP1129" s="9">
        <v>2.60252607436448</v>
      </c>
    </row>
    <row r="1130" spans="40:42" x14ac:dyDescent="0.3">
      <c r="AN1130">
        <v>1126</v>
      </c>
      <c r="AO1130" s="11">
        <v>23784</v>
      </c>
      <c r="AP1130" s="9">
        <v>3.2542495553998463</v>
      </c>
    </row>
    <row r="1131" spans="40:42" x14ac:dyDescent="0.3">
      <c r="AN1131">
        <v>1127</v>
      </c>
      <c r="AO1131" s="11">
        <v>15759.36</v>
      </c>
      <c r="AP1131" s="9">
        <v>2.7931759914729524</v>
      </c>
    </row>
    <row r="1132" spans="40:42" x14ac:dyDescent="0.3">
      <c r="AN1132">
        <v>1128</v>
      </c>
      <c r="AO1132" s="11">
        <v>19604.740000000002</v>
      </c>
      <c r="AP1132" s="9">
        <v>3.2643133711558545</v>
      </c>
    </row>
    <row r="1133" spans="40:42" x14ac:dyDescent="0.3">
      <c r="AN1133">
        <v>1129</v>
      </c>
      <c r="AO1133" s="11">
        <v>29512.89</v>
      </c>
      <c r="AP1133" s="9">
        <v>3.7173531697839803</v>
      </c>
    </row>
    <row r="1134" spans="40:42" x14ac:dyDescent="0.3">
      <c r="AN1134">
        <v>1130</v>
      </c>
      <c r="AO1134" s="11">
        <v>33590.080000000002</v>
      </c>
      <c r="AP1134" s="9">
        <v>3.3799777161955817</v>
      </c>
    </row>
    <row r="1135" spans="40:42" x14ac:dyDescent="0.3">
      <c r="AN1135">
        <v>1131</v>
      </c>
      <c r="AO1135" s="11">
        <v>31284.49</v>
      </c>
      <c r="AP1135" s="9">
        <v>3.0041971942730687</v>
      </c>
    </row>
    <row r="1136" spans="40:42" x14ac:dyDescent="0.3">
      <c r="AN1136">
        <v>1132</v>
      </c>
      <c r="AO1136" s="11">
        <v>32349.43</v>
      </c>
      <c r="AP1136" s="9">
        <v>3.656781451223694</v>
      </c>
    </row>
    <row r="1137" spans="40:42" x14ac:dyDescent="0.3">
      <c r="AN1137">
        <v>1133</v>
      </c>
      <c r="AO1137" s="11">
        <v>20814.3</v>
      </c>
      <c r="AP1137" s="9">
        <v>3.1214403617388293</v>
      </c>
    </row>
    <row r="1138" spans="40:42" x14ac:dyDescent="0.3">
      <c r="AN1138">
        <v>1134</v>
      </c>
      <c r="AO1138" s="11">
        <v>20622.89</v>
      </c>
      <c r="AP1138" s="9">
        <v>3.6325354334108608</v>
      </c>
    </row>
    <row r="1139" spans="40:42" x14ac:dyDescent="0.3">
      <c r="AN1139">
        <v>1135</v>
      </c>
      <c r="AO1139" s="11">
        <v>22267.89</v>
      </c>
      <c r="AP1139" s="9">
        <v>2.8457160695851602</v>
      </c>
    </row>
    <row r="1140" spans="40:42" x14ac:dyDescent="0.3">
      <c r="AN1140">
        <v>1136</v>
      </c>
      <c r="AO1140" s="11">
        <v>22058.78</v>
      </c>
      <c r="AP1140" s="9">
        <v>3.0602838240915329</v>
      </c>
    </row>
    <row r="1141" spans="40:42" x14ac:dyDescent="0.3">
      <c r="AN1141">
        <v>1137</v>
      </c>
      <c r="AO1141" s="11">
        <v>30929.05</v>
      </c>
      <c r="AP1141" s="9">
        <v>3.6166784632845306</v>
      </c>
    </row>
    <row r="1142" spans="40:42" x14ac:dyDescent="0.3">
      <c r="AN1142">
        <v>1138</v>
      </c>
      <c r="AO1142" s="11">
        <v>29871.15</v>
      </c>
      <c r="AP1142" s="9">
        <v>3.7049321252080158</v>
      </c>
    </row>
    <row r="1143" spans="40:42" x14ac:dyDescent="0.3">
      <c r="AN1143">
        <v>1139</v>
      </c>
      <c r="AO1143" s="11">
        <v>44266.96</v>
      </c>
      <c r="AP1143" s="9">
        <v>3.5082421150589913</v>
      </c>
    </row>
    <row r="1144" spans="40:42" x14ac:dyDescent="0.3">
      <c r="AN1144">
        <v>1140</v>
      </c>
      <c r="AO1144" s="11">
        <v>13218.42</v>
      </c>
      <c r="AP1144" s="9">
        <v>3.4110831024062898</v>
      </c>
    </row>
    <row r="1145" spans="40:42" x14ac:dyDescent="0.3">
      <c r="AN1145">
        <v>1141</v>
      </c>
      <c r="AO1145" s="11">
        <v>25179.29</v>
      </c>
      <c r="AP1145" s="9">
        <v>3.5558903923912357</v>
      </c>
    </row>
    <row r="1146" spans="40:42" x14ac:dyDescent="0.3">
      <c r="AN1146">
        <v>1142</v>
      </c>
      <c r="AO1146" s="11">
        <v>33951.53</v>
      </c>
      <c r="AP1146" s="9">
        <v>3.7868294660345896</v>
      </c>
    </row>
    <row r="1147" spans="40:42" x14ac:dyDescent="0.3">
      <c r="AN1147">
        <v>1143</v>
      </c>
      <c r="AO1147" s="11">
        <v>27726.799999999999</v>
      </c>
      <c r="AP1147" s="9">
        <v>3.1743069819299881</v>
      </c>
    </row>
    <row r="1148" spans="40:42" x14ac:dyDescent="0.3">
      <c r="AN1148">
        <v>1144</v>
      </c>
      <c r="AO1148" s="11">
        <v>21190.880000000001</v>
      </c>
      <c r="AP1148" s="9">
        <v>3.4883820501289966</v>
      </c>
    </row>
    <row r="1149" spans="40:42" x14ac:dyDescent="0.3">
      <c r="AN1149">
        <v>1145</v>
      </c>
      <c r="AO1149" s="11">
        <v>34313.120000000003</v>
      </c>
      <c r="AP1149" s="9">
        <v>3.2476798901778205</v>
      </c>
    </row>
    <row r="1150" spans="40:42" x14ac:dyDescent="0.3">
      <c r="AN1150">
        <v>1146</v>
      </c>
      <c r="AO1150" s="11">
        <v>24722.36</v>
      </c>
      <c r="AP1150" s="9">
        <v>3.5862020052699588</v>
      </c>
    </row>
    <row r="1151" spans="40:42" x14ac:dyDescent="0.3">
      <c r="AN1151">
        <v>1147</v>
      </c>
      <c r="AO1151" s="11">
        <v>28498.57</v>
      </c>
      <c r="AP1151" s="9">
        <v>3.7927399409959968</v>
      </c>
    </row>
    <row r="1152" spans="40:42" x14ac:dyDescent="0.3">
      <c r="AN1152">
        <v>1148</v>
      </c>
      <c r="AO1152" s="11">
        <v>23323.68</v>
      </c>
      <c r="AP1152" s="9">
        <v>2.9598808914698163</v>
      </c>
    </row>
    <row r="1153" spans="40:42" x14ac:dyDescent="0.3">
      <c r="AN1153">
        <v>1149</v>
      </c>
      <c r="AO1153" s="11">
        <v>24858.09</v>
      </c>
      <c r="AP1153" s="9">
        <v>3.3146281936035091</v>
      </c>
    </row>
    <row r="1154" spans="40:42" x14ac:dyDescent="0.3">
      <c r="AN1154">
        <v>1150</v>
      </c>
      <c r="AO1154" s="11">
        <v>19241.95</v>
      </c>
      <c r="AP1154" s="9">
        <v>2.7672996097407268</v>
      </c>
    </row>
    <row r="1155" spans="40:42" x14ac:dyDescent="0.3">
      <c r="AN1155">
        <v>1151</v>
      </c>
      <c r="AO1155" s="11">
        <v>22466.06</v>
      </c>
      <c r="AP1155" s="9">
        <v>3.0034119974000011</v>
      </c>
    </row>
    <row r="1156" spans="40:42" x14ac:dyDescent="0.3">
      <c r="AN1156">
        <v>1152</v>
      </c>
      <c r="AO1156" s="11">
        <v>14459.14</v>
      </c>
      <c r="AP1156" s="9">
        <v>2.5379650183624061</v>
      </c>
    </row>
    <row r="1157" spans="40:42" x14ac:dyDescent="0.3">
      <c r="AN1157">
        <v>1153</v>
      </c>
      <c r="AO1157" s="11">
        <v>22057.97</v>
      </c>
      <c r="AP1157" s="9">
        <v>3.355817964441504</v>
      </c>
    </row>
    <row r="1158" spans="40:42" x14ac:dyDescent="0.3">
      <c r="AN1158">
        <v>1154</v>
      </c>
      <c r="AO1158" s="11">
        <v>27210.92</v>
      </c>
      <c r="AP1158" s="9">
        <v>2.8466224415468857</v>
      </c>
    </row>
    <row r="1159" spans="40:42" x14ac:dyDescent="0.3">
      <c r="AN1159">
        <v>1155</v>
      </c>
      <c r="AO1159" s="11">
        <v>23861.18</v>
      </c>
      <c r="AP1159" s="9">
        <v>3.267929931019947</v>
      </c>
    </row>
    <row r="1160" spans="40:42" x14ac:dyDescent="0.3">
      <c r="AN1160">
        <v>1156</v>
      </c>
      <c r="AO1160" s="11">
        <v>24626.97</v>
      </c>
      <c r="AP1160" s="9">
        <v>3.2880331409949011</v>
      </c>
    </row>
    <row r="1161" spans="40:42" x14ac:dyDescent="0.3">
      <c r="AN1161">
        <v>1157</v>
      </c>
      <c r="AO1161" s="11">
        <v>25393.91</v>
      </c>
      <c r="AP1161" s="9">
        <v>3.2044029771421205</v>
      </c>
    </row>
    <row r="1162" spans="40:42" x14ac:dyDescent="0.3">
      <c r="AN1162">
        <v>1158</v>
      </c>
      <c r="AO1162" s="11">
        <v>33110.120000000003</v>
      </c>
      <c r="AP1162" s="9">
        <v>3.0162347212578493</v>
      </c>
    </row>
    <row r="1163" spans="40:42" x14ac:dyDescent="0.3">
      <c r="AN1163">
        <v>1159</v>
      </c>
      <c r="AO1163" s="11">
        <v>27702.05</v>
      </c>
      <c r="AP1163" s="9">
        <v>3.1324517782824115</v>
      </c>
    </row>
    <row r="1164" spans="40:42" x14ac:dyDescent="0.3">
      <c r="AN1164">
        <v>1160</v>
      </c>
      <c r="AO1164" s="11">
        <v>21456.52</v>
      </c>
      <c r="AP1164" s="9">
        <v>3.6500760281362887</v>
      </c>
    </row>
    <row r="1165" spans="40:42" x14ac:dyDescent="0.3">
      <c r="AN1165">
        <v>1161</v>
      </c>
      <c r="AO1165" s="11">
        <v>23353.11</v>
      </c>
      <c r="AP1165" s="9">
        <v>3.4447494014404327</v>
      </c>
    </row>
    <row r="1166" spans="40:42" x14ac:dyDescent="0.3">
      <c r="AN1166">
        <v>1162</v>
      </c>
      <c r="AO1166" s="11">
        <v>31456.03</v>
      </c>
      <c r="AP1166" s="9">
        <v>3.0220348733054672</v>
      </c>
    </row>
    <row r="1167" spans="40:42" x14ac:dyDescent="0.3">
      <c r="AN1167">
        <v>1163</v>
      </c>
      <c r="AO1167" s="11">
        <v>29410.29</v>
      </c>
      <c r="AP1167" s="9">
        <v>3.0606486208399395</v>
      </c>
    </row>
    <row r="1168" spans="40:42" x14ac:dyDescent="0.3">
      <c r="AN1168">
        <v>1164</v>
      </c>
      <c r="AO1168" s="11">
        <v>18183.59</v>
      </c>
      <c r="AP1168" s="9">
        <v>3.2624203098694857</v>
      </c>
    </row>
    <row r="1169" spans="40:42" x14ac:dyDescent="0.3">
      <c r="AN1169">
        <v>1165</v>
      </c>
      <c r="AO1169" s="11">
        <v>24915.55</v>
      </c>
      <c r="AP1169" s="9">
        <v>3.0751182624270812</v>
      </c>
    </row>
    <row r="1170" spans="40:42" x14ac:dyDescent="0.3">
      <c r="AN1170">
        <v>1166</v>
      </c>
      <c r="AO1170" s="11">
        <v>32928.49</v>
      </c>
      <c r="AP1170" s="9">
        <v>3.0025336321751923</v>
      </c>
    </row>
    <row r="1171" spans="40:42" x14ac:dyDescent="0.3">
      <c r="AN1171">
        <v>1167</v>
      </c>
      <c r="AO1171" s="11">
        <v>56239.62</v>
      </c>
      <c r="AP1171" s="9">
        <v>3.7876765879567316</v>
      </c>
    </row>
    <row r="1172" spans="40:42" x14ac:dyDescent="0.3">
      <c r="AN1172">
        <v>1168</v>
      </c>
      <c r="AO1172" s="11">
        <v>31168.35</v>
      </c>
      <c r="AP1172" s="9">
        <v>4.0358119677122435</v>
      </c>
    </row>
    <row r="1173" spans="40:42" x14ac:dyDescent="0.3">
      <c r="AN1173">
        <v>1169</v>
      </c>
      <c r="AO1173" s="11">
        <v>29426.79</v>
      </c>
      <c r="AP1173" s="9">
        <v>3.2930113686678553</v>
      </c>
    </row>
    <row r="1174" spans="40:42" x14ac:dyDescent="0.3">
      <c r="AN1174">
        <v>1170</v>
      </c>
      <c r="AO1174" s="11">
        <v>27856.31</v>
      </c>
      <c r="AP1174" s="9">
        <v>3.2554217652696749</v>
      </c>
    </row>
    <row r="1175" spans="40:42" x14ac:dyDescent="0.3">
      <c r="AN1175">
        <v>1171</v>
      </c>
      <c r="AO1175" s="11">
        <v>26355.03</v>
      </c>
      <c r="AP1175" s="9">
        <v>3.4788853413475818</v>
      </c>
    </row>
    <row r="1176" spans="40:42" x14ac:dyDescent="0.3">
      <c r="AN1176">
        <v>1172</v>
      </c>
      <c r="AO1176" s="11">
        <v>29452.73</v>
      </c>
      <c r="AP1176" s="9">
        <v>3.2483891819556305</v>
      </c>
    </row>
    <row r="1177" spans="40:42" x14ac:dyDescent="0.3">
      <c r="AN1177">
        <v>1173</v>
      </c>
      <c r="AO1177" s="11">
        <v>28351.15</v>
      </c>
      <c r="AP1177" s="9">
        <v>4.1349861162954245</v>
      </c>
    </row>
    <row r="1178" spans="40:42" x14ac:dyDescent="0.3">
      <c r="AN1178">
        <v>1174</v>
      </c>
      <c r="AO1178" s="11">
        <v>18038.650000000001</v>
      </c>
      <c r="AP1178" s="9">
        <v>2.9515860586505216</v>
      </c>
    </row>
    <row r="1179" spans="40:42" x14ac:dyDescent="0.3">
      <c r="AN1179">
        <v>1175</v>
      </c>
      <c r="AO1179" s="11">
        <v>24812.25</v>
      </c>
      <c r="AP1179" s="9">
        <v>3.6214050358114522</v>
      </c>
    </row>
    <row r="1180" spans="40:42" x14ac:dyDescent="0.3">
      <c r="AN1180">
        <v>1176</v>
      </c>
      <c r="AO1180" s="11">
        <v>19585.13</v>
      </c>
      <c r="AP1180" s="9">
        <v>3.189755099324223</v>
      </c>
    </row>
    <row r="1181" spans="40:42" x14ac:dyDescent="0.3">
      <c r="AN1181">
        <v>1177</v>
      </c>
      <c r="AO1181" s="11">
        <v>30888.06</v>
      </c>
      <c r="AP1181" s="9">
        <v>3.8232278016819912</v>
      </c>
    </row>
    <row r="1182" spans="40:42" x14ac:dyDescent="0.3">
      <c r="AN1182">
        <v>1178</v>
      </c>
      <c r="AO1182" s="11">
        <v>24542.89</v>
      </c>
      <c r="AP1182" s="9">
        <v>3.0181330534951973</v>
      </c>
    </row>
    <row r="1183" spans="40:42" x14ac:dyDescent="0.3">
      <c r="AN1183">
        <v>1179</v>
      </c>
      <c r="AO1183" s="11">
        <v>28118.3</v>
      </c>
      <c r="AP1183" s="9">
        <v>3.2704404146615902</v>
      </c>
    </row>
    <row r="1184" spans="40:42" x14ac:dyDescent="0.3">
      <c r="AN1184">
        <v>1180</v>
      </c>
      <c r="AO1184" s="11">
        <v>24249.279999999999</v>
      </c>
      <c r="AP1184" s="9">
        <v>3.3264857489098101</v>
      </c>
    </row>
    <row r="1185" spans="40:42" x14ac:dyDescent="0.3">
      <c r="AN1185">
        <v>1181</v>
      </c>
      <c r="AO1185" s="11">
        <v>26928.33</v>
      </c>
      <c r="AP1185" s="9">
        <v>3.1425454168613447</v>
      </c>
    </row>
    <row r="1186" spans="40:42" x14ac:dyDescent="0.3">
      <c r="AN1186">
        <v>1182</v>
      </c>
      <c r="AO1186" s="11">
        <v>30663.86</v>
      </c>
      <c r="AP1186" s="9">
        <v>3.455610630379879</v>
      </c>
    </row>
    <row r="1187" spans="40:42" x14ac:dyDescent="0.3">
      <c r="AN1187">
        <v>1183</v>
      </c>
      <c r="AO1187" s="11">
        <v>19086.63</v>
      </c>
      <c r="AP1187" s="9">
        <v>3.156719376723343</v>
      </c>
    </row>
    <row r="1188" spans="40:42" x14ac:dyDescent="0.3">
      <c r="AN1188">
        <v>1184</v>
      </c>
      <c r="AO1188" s="11">
        <v>29683.16</v>
      </c>
      <c r="AP1188" s="9">
        <v>3.2833164444824359</v>
      </c>
    </row>
    <row r="1189" spans="40:42" x14ac:dyDescent="0.3">
      <c r="AN1189">
        <v>1185</v>
      </c>
      <c r="AO1189" s="11">
        <v>28256.09</v>
      </c>
      <c r="AP1189" s="9">
        <v>4.2366730824141579</v>
      </c>
    </row>
    <row r="1190" spans="40:42" x14ac:dyDescent="0.3">
      <c r="AN1190">
        <v>1186</v>
      </c>
      <c r="AO1190" s="11">
        <v>14279.5</v>
      </c>
      <c r="AP1190" s="9">
        <v>2.9099312639373758</v>
      </c>
    </row>
    <row r="1191" spans="40:42" x14ac:dyDescent="0.3">
      <c r="AN1191">
        <v>1187</v>
      </c>
      <c r="AO1191" s="11">
        <v>29718.69</v>
      </c>
      <c r="AP1191" s="9">
        <v>3.0498240758524449</v>
      </c>
    </row>
    <row r="1192" spans="40:42" x14ac:dyDescent="0.3">
      <c r="AN1192">
        <v>1188</v>
      </c>
      <c r="AO1192" s="11">
        <v>26580.560000000001</v>
      </c>
      <c r="AP1192" s="9">
        <v>3.3022338040253185</v>
      </c>
    </row>
    <row r="1193" spans="40:42" x14ac:dyDescent="0.3">
      <c r="AN1193">
        <v>1189</v>
      </c>
      <c r="AO1193" s="11">
        <v>48177.23</v>
      </c>
      <c r="AP1193" s="9">
        <v>4.8973348972361634</v>
      </c>
    </row>
    <row r="1194" spans="40:42" x14ac:dyDescent="0.3">
      <c r="AN1194">
        <v>1190</v>
      </c>
      <c r="AO1194" s="11">
        <v>23881.65</v>
      </c>
      <c r="AP1194" s="9">
        <v>3.4418629615390635</v>
      </c>
    </row>
    <row r="1195" spans="40:42" x14ac:dyDescent="0.3">
      <c r="AN1195">
        <v>1191</v>
      </c>
      <c r="AO1195" s="11">
        <v>26769.85</v>
      </c>
      <c r="AP1195" s="9">
        <v>3.3430131597651505</v>
      </c>
    </row>
    <row r="1196" spans="40:42" x14ac:dyDescent="0.3">
      <c r="AN1196">
        <v>1192</v>
      </c>
      <c r="AO1196" s="11">
        <v>30510.71</v>
      </c>
      <c r="AP1196" s="9">
        <v>3.084332802506593</v>
      </c>
    </row>
    <row r="1197" spans="40:42" x14ac:dyDescent="0.3">
      <c r="AN1197">
        <v>1193</v>
      </c>
      <c r="AO1197" s="11">
        <v>23176.41</v>
      </c>
      <c r="AP1197" s="9">
        <v>3.2408167904094145</v>
      </c>
    </row>
    <row r="1198" spans="40:42" x14ac:dyDescent="0.3">
      <c r="AN1198">
        <v>1194</v>
      </c>
      <c r="AO1198" s="11">
        <v>25138.67</v>
      </c>
      <c r="AP1198" s="9">
        <v>2.9589926555719139</v>
      </c>
    </row>
    <row r="1199" spans="40:42" x14ac:dyDescent="0.3">
      <c r="AN1199">
        <v>1195</v>
      </c>
      <c r="AO1199" s="11">
        <v>26524.43</v>
      </c>
      <c r="AP1199" s="9">
        <v>3.3471631679690006</v>
      </c>
    </row>
    <row r="1200" spans="40:42" x14ac:dyDescent="0.3">
      <c r="AN1200">
        <v>1196</v>
      </c>
      <c r="AO1200" s="11">
        <v>27844.02</v>
      </c>
      <c r="AP1200" s="9">
        <v>3.0606022057658326</v>
      </c>
    </row>
    <row r="1201" spans="40:42" x14ac:dyDescent="0.3">
      <c r="AN1201">
        <v>1197</v>
      </c>
      <c r="AO1201" s="11">
        <v>22060.6</v>
      </c>
      <c r="AP1201" s="9">
        <v>3.4982547964878359</v>
      </c>
    </row>
    <row r="1202" spans="40:42" x14ac:dyDescent="0.3">
      <c r="AN1202">
        <v>1198</v>
      </c>
      <c r="AO1202" s="11">
        <v>27019.88</v>
      </c>
      <c r="AP1202" s="9">
        <v>3.101300729318357</v>
      </c>
    </row>
    <row r="1203" spans="40:42" x14ac:dyDescent="0.3">
      <c r="AN1203">
        <v>1199</v>
      </c>
      <c r="AO1203" s="11">
        <v>20689.599999999999</v>
      </c>
      <c r="AP1203" s="9">
        <v>3.1582728357148167</v>
      </c>
    </row>
    <row r="1204" spans="40:42" x14ac:dyDescent="0.3">
      <c r="AN1204">
        <v>1200</v>
      </c>
      <c r="AO1204" s="11">
        <v>23258.51</v>
      </c>
      <c r="AP1204" s="9">
        <v>2.6942954513778812</v>
      </c>
    </row>
    <row r="1205" spans="40:42" x14ac:dyDescent="0.3">
      <c r="AN1205">
        <v>1201</v>
      </c>
      <c r="AO1205" s="11">
        <v>34710.550000000003</v>
      </c>
      <c r="AP1205" s="9">
        <v>3.4554680511934692</v>
      </c>
    </row>
    <row r="1206" spans="40:42" x14ac:dyDescent="0.3">
      <c r="AN1206">
        <v>1202</v>
      </c>
      <c r="AO1206" s="11">
        <v>22937.96</v>
      </c>
      <c r="AP1206" s="9">
        <v>3.2982540510351117</v>
      </c>
    </row>
    <row r="1207" spans="40:42" x14ac:dyDescent="0.3">
      <c r="AN1207">
        <v>1203</v>
      </c>
      <c r="AO1207" s="11">
        <v>26021.040000000001</v>
      </c>
      <c r="AP1207" s="9">
        <v>3.1055448797082139</v>
      </c>
    </row>
    <row r="1208" spans="40:42" x14ac:dyDescent="0.3">
      <c r="AN1208">
        <v>1204</v>
      </c>
      <c r="AO1208" s="11">
        <v>17885.810000000001</v>
      </c>
      <c r="AP1208" s="9">
        <v>2.7365141785343843</v>
      </c>
    </row>
    <row r="1209" spans="40:42" x14ac:dyDescent="0.3">
      <c r="AN1209">
        <v>1205</v>
      </c>
      <c r="AO1209" s="11">
        <v>22005.7</v>
      </c>
      <c r="AP1209" s="9">
        <v>3.585235628969984</v>
      </c>
    </row>
    <row r="1210" spans="40:42" x14ac:dyDescent="0.3">
      <c r="AN1210">
        <v>1206</v>
      </c>
      <c r="AO1210" s="11">
        <v>32253.14</v>
      </c>
      <c r="AP1210" s="9">
        <v>3.7230605629897653</v>
      </c>
    </row>
    <row r="1211" spans="40:42" x14ac:dyDescent="0.3">
      <c r="AN1211">
        <v>1207</v>
      </c>
      <c r="AO1211" s="11">
        <v>24773.26</v>
      </c>
      <c r="AP1211" s="9">
        <v>2.9053585960700019</v>
      </c>
    </row>
    <row r="1212" spans="40:42" x14ac:dyDescent="0.3">
      <c r="AN1212">
        <v>1208</v>
      </c>
      <c r="AO1212" s="11">
        <v>20955.73</v>
      </c>
      <c r="AP1212" s="9">
        <v>3.301785802518217</v>
      </c>
    </row>
    <row r="1213" spans="40:42" x14ac:dyDescent="0.3">
      <c r="AN1213">
        <v>1209</v>
      </c>
      <c r="AO1213" s="11">
        <v>34044.050000000003</v>
      </c>
      <c r="AP1213" s="9">
        <v>3.4834107571413115</v>
      </c>
    </row>
    <row r="1214" spans="40:42" x14ac:dyDescent="0.3">
      <c r="AN1214">
        <v>1210</v>
      </c>
      <c r="AO1214" s="11">
        <v>24107.43</v>
      </c>
      <c r="AP1214" s="9">
        <v>3.3622291457950486</v>
      </c>
    </row>
    <row r="1215" spans="40:42" x14ac:dyDescent="0.3">
      <c r="AN1215">
        <v>1211</v>
      </c>
      <c r="AO1215" s="11">
        <v>23934.87</v>
      </c>
      <c r="AP1215" s="9">
        <v>3.8009154215910286</v>
      </c>
    </row>
    <row r="1216" spans="40:42" x14ac:dyDescent="0.3">
      <c r="AN1216">
        <v>1212</v>
      </c>
      <c r="AO1216" s="11">
        <v>25728.93</v>
      </c>
      <c r="AP1216" s="9">
        <v>3.5950400724712921</v>
      </c>
    </row>
    <row r="1217" spans="40:42" x14ac:dyDescent="0.3">
      <c r="AN1217">
        <v>1213</v>
      </c>
      <c r="AO1217" s="11">
        <v>34264.9</v>
      </c>
      <c r="AP1217" s="9">
        <v>3.2165604186481591</v>
      </c>
    </row>
    <row r="1218" spans="40:42" x14ac:dyDescent="0.3">
      <c r="AN1218">
        <v>1214</v>
      </c>
      <c r="AO1218" s="11">
        <v>34316.29</v>
      </c>
      <c r="AP1218" s="9">
        <v>3.8194436611053839</v>
      </c>
    </row>
    <row r="1219" spans="40:42" x14ac:dyDescent="0.3">
      <c r="AN1219">
        <v>1215</v>
      </c>
      <c r="AO1219" s="11">
        <v>21362.49</v>
      </c>
      <c r="AP1219" s="9">
        <v>3.1316168941228208</v>
      </c>
    </row>
    <row r="1220" spans="40:42" x14ac:dyDescent="0.3">
      <c r="AN1220">
        <v>1216</v>
      </c>
      <c r="AO1220" s="11">
        <v>25931.919999999998</v>
      </c>
      <c r="AP1220" s="9">
        <v>3.2637697940907238</v>
      </c>
    </row>
    <row r="1221" spans="40:42" x14ac:dyDescent="0.3">
      <c r="AN1221">
        <v>1217</v>
      </c>
      <c r="AO1221" s="11">
        <v>25630.06</v>
      </c>
      <c r="AP1221" s="9">
        <v>3.1667803288643914</v>
      </c>
    </row>
    <row r="1222" spans="40:42" x14ac:dyDescent="0.3">
      <c r="AN1222">
        <v>1218</v>
      </c>
      <c r="AO1222" s="11">
        <v>30390.09</v>
      </c>
      <c r="AP1222" s="9">
        <v>3.6013531822108074</v>
      </c>
    </row>
    <row r="1223" spans="40:42" x14ac:dyDescent="0.3">
      <c r="AN1223">
        <v>1219</v>
      </c>
      <c r="AO1223" s="11">
        <v>23140.54</v>
      </c>
      <c r="AP1223" s="9">
        <v>3.3325425280900398</v>
      </c>
    </row>
    <row r="1224" spans="40:42" x14ac:dyDescent="0.3">
      <c r="AN1224">
        <v>1220</v>
      </c>
      <c r="AO1224" s="11">
        <v>24041.35</v>
      </c>
      <c r="AP1224" s="9">
        <v>3.6918170638038319</v>
      </c>
    </row>
    <row r="1225" spans="40:42" x14ac:dyDescent="0.3">
      <c r="AN1225">
        <v>1221</v>
      </c>
      <c r="AO1225" s="11">
        <v>24568.51</v>
      </c>
      <c r="AP1225" s="9">
        <v>3.7652467885410053</v>
      </c>
    </row>
    <row r="1226" spans="40:42" x14ac:dyDescent="0.3">
      <c r="AN1226">
        <v>1222</v>
      </c>
      <c r="AO1226" s="11">
        <v>20223.810000000001</v>
      </c>
      <c r="AP1226" s="9">
        <v>3.3142646883352178</v>
      </c>
    </row>
    <row r="1227" spans="40:42" x14ac:dyDescent="0.3">
      <c r="AN1227">
        <v>1223</v>
      </c>
      <c r="AO1227" s="11">
        <v>19192.97</v>
      </c>
      <c r="AP1227" s="9">
        <v>3.2136446858478758</v>
      </c>
    </row>
    <row r="1228" spans="40:42" x14ac:dyDescent="0.3">
      <c r="AN1228">
        <v>1224</v>
      </c>
      <c r="AO1228" s="11">
        <v>24424.73</v>
      </c>
      <c r="AP1228" s="9">
        <v>2.9466567889373216</v>
      </c>
    </row>
    <row r="1229" spans="40:42" x14ac:dyDescent="0.3">
      <c r="AN1229">
        <v>1225</v>
      </c>
      <c r="AO1229" s="11">
        <v>31792.42</v>
      </c>
      <c r="AP1229" s="9">
        <v>3.0805401451984809</v>
      </c>
    </row>
    <row r="1230" spans="40:42" x14ac:dyDescent="0.3">
      <c r="AN1230">
        <v>1226</v>
      </c>
      <c r="AO1230" s="11">
        <v>24460.83</v>
      </c>
      <c r="AP1230" s="9">
        <v>2.9734397627772049</v>
      </c>
    </row>
    <row r="1231" spans="40:42" x14ac:dyDescent="0.3">
      <c r="AN1231">
        <v>1227</v>
      </c>
      <c r="AO1231" s="11">
        <v>17314.87</v>
      </c>
      <c r="AP1231" s="9">
        <v>3.6565089044918975</v>
      </c>
    </row>
    <row r="1232" spans="40:42" x14ac:dyDescent="0.3">
      <c r="AN1232">
        <v>1228</v>
      </c>
      <c r="AO1232" s="11">
        <v>19714.240000000002</v>
      </c>
      <c r="AP1232" s="9">
        <v>2.9157142869892367</v>
      </c>
    </row>
    <row r="1233" spans="40:42" x14ac:dyDescent="0.3">
      <c r="AN1233">
        <v>1229</v>
      </c>
      <c r="AO1233" s="11">
        <v>25593.52</v>
      </c>
      <c r="AP1233" s="9">
        <v>3.5190587700027738</v>
      </c>
    </row>
    <row r="1234" spans="40:42" x14ac:dyDescent="0.3">
      <c r="AN1234">
        <v>1230</v>
      </c>
      <c r="AO1234" s="11">
        <v>22719.06</v>
      </c>
      <c r="AP1234" s="9">
        <v>3.2929020691771993</v>
      </c>
    </row>
    <row r="1235" spans="40:42" x14ac:dyDescent="0.3">
      <c r="AN1235">
        <v>1231</v>
      </c>
      <c r="AO1235" s="11">
        <v>20193.939999999999</v>
      </c>
      <c r="AP1235" s="9">
        <v>3.5150884645973464</v>
      </c>
    </row>
    <row r="1236" spans="40:42" x14ac:dyDescent="0.3">
      <c r="AN1236">
        <v>1232</v>
      </c>
      <c r="AO1236" s="11">
        <v>28475.53</v>
      </c>
      <c r="AP1236" s="9">
        <v>3.1383081950406138</v>
      </c>
    </row>
    <row r="1237" spans="40:42" x14ac:dyDescent="0.3">
      <c r="AN1237">
        <v>1233</v>
      </c>
      <c r="AO1237" s="11">
        <v>19705.84</v>
      </c>
      <c r="AP1237" s="9">
        <v>2.7318424206074905</v>
      </c>
    </row>
    <row r="1238" spans="40:42" x14ac:dyDescent="0.3">
      <c r="AN1238">
        <v>1234</v>
      </c>
      <c r="AO1238" s="11">
        <v>35932.44</v>
      </c>
      <c r="AP1238" s="9">
        <v>3.9502041671699524</v>
      </c>
    </row>
    <row r="1239" spans="40:42" x14ac:dyDescent="0.3">
      <c r="AN1239">
        <v>1235</v>
      </c>
      <c r="AO1239" s="11">
        <v>23498.63</v>
      </c>
      <c r="AP1239" s="9">
        <v>3.487241255762906</v>
      </c>
    </row>
    <row r="1240" spans="40:42" x14ac:dyDescent="0.3">
      <c r="AN1240">
        <v>1236</v>
      </c>
      <c r="AO1240" s="11">
        <v>37504.36</v>
      </c>
      <c r="AP1240" s="9">
        <v>3.5755119792275356</v>
      </c>
    </row>
    <row r="1241" spans="40:42" x14ac:dyDescent="0.3">
      <c r="AN1241">
        <v>1237</v>
      </c>
      <c r="AO1241" s="11">
        <v>25492.02</v>
      </c>
      <c r="AP1241" s="9">
        <v>3.5677241918873022</v>
      </c>
    </row>
    <row r="1242" spans="40:42" x14ac:dyDescent="0.3">
      <c r="AN1242">
        <v>1238</v>
      </c>
      <c r="AO1242" s="11">
        <v>21833.9</v>
      </c>
      <c r="AP1242" s="9">
        <v>2.9422008143063438</v>
      </c>
    </row>
    <row r="1243" spans="40:42" x14ac:dyDescent="0.3">
      <c r="AN1243">
        <v>1239</v>
      </c>
      <c r="AO1243" s="11">
        <v>34966.980000000003</v>
      </c>
      <c r="AP1243" s="9">
        <v>3.6234929850136783</v>
      </c>
    </row>
    <row r="1244" spans="40:42" x14ac:dyDescent="0.3">
      <c r="AN1244">
        <v>1240</v>
      </c>
      <c r="AO1244" s="11">
        <v>28506.6</v>
      </c>
      <c r="AP1244" s="9">
        <v>3.5891487123083268</v>
      </c>
    </row>
    <row r="1245" spans="40:42" x14ac:dyDescent="0.3">
      <c r="AN1245">
        <v>1241</v>
      </c>
      <c r="AO1245" s="11">
        <v>29384.7</v>
      </c>
      <c r="AP1245" s="9">
        <v>3.1361981103895444</v>
      </c>
    </row>
    <row r="1246" spans="40:42" x14ac:dyDescent="0.3">
      <c r="AN1246">
        <v>1242</v>
      </c>
      <c r="AO1246" s="11">
        <v>30017.96</v>
      </c>
      <c r="AP1246" s="9">
        <v>3.5856493349453853</v>
      </c>
    </row>
    <row r="1247" spans="40:42" x14ac:dyDescent="0.3">
      <c r="AN1247">
        <v>1243</v>
      </c>
      <c r="AO1247" s="11">
        <v>34752.629999999997</v>
      </c>
      <c r="AP1247" s="9">
        <v>4.0359553446240364</v>
      </c>
    </row>
    <row r="1248" spans="40:42" x14ac:dyDescent="0.3">
      <c r="AN1248">
        <v>1244</v>
      </c>
      <c r="AO1248" s="11">
        <v>35878.980000000003</v>
      </c>
      <c r="AP1248" s="9">
        <v>3.3811891061133474</v>
      </c>
    </row>
    <row r="1249" spans="40:42" x14ac:dyDescent="0.3">
      <c r="AN1249">
        <v>1245</v>
      </c>
      <c r="AO1249" s="11">
        <v>31916.11</v>
      </c>
      <c r="AP1249" s="9">
        <v>3.402570134212525</v>
      </c>
    </row>
    <row r="1250" spans="40:42" x14ac:dyDescent="0.3">
      <c r="AN1250">
        <v>1246</v>
      </c>
      <c r="AO1250" s="11">
        <v>30184.720000000001</v>
      </c>
      <c r="AP1250" s="9">
        <v>3.5906243424715854</v>
      </c>
    </row>
    <row r="1251" spans="40:42" x14ac:dyDescent="0.3">
      <c r="AN1251">
        <v>1247</v>
      </c>
      <c r="AO1251" s="11">
        <v>40461.040000000001</v>
      </c>
      <c r="AP1251" s="9">
        <v>3.8210068948221476</v>
      </c>
    </row>
    <row r="1252" spans="40:42" x14ac:dyDescent="0.3">
      <c r="AN1252">
        <v>1248</v>
      </c>
      <c r="AO1252" s="11">
        <v>26361.69</v>
      </c>
      <c r="AP1252" s="9">
        <v>3.4015283589533745</v>
      </c>
    </row>
    <row r="1253" spans="40:42" x14ac:dyDescent="0.3">
      <c r="AN1253">
        <v>1249</v>
      </c>
      <c r="AO1253" s="11">
        <v>22186.97</v>
      </c>
      <c r="AP1253" s="9">
        <v>2.8307558434300528</v>
      </c>
    </row>
    <row r="1254" spans="40:42" x14ac:dyDescent="0.3">
      <c r="AN1254">
        <v>1250</v>
      </c>
      <c r="AO1254" s="11">
        <v>19999.16</v>
      </c>
      <c r="AP1254" s="9">
        <v>3.2762643113446384</v>
      </c>
    </row>
    <row r="1255" spans="40:42" x14ac:dyDescent="0.3">
      <c r="AN1255">
        <v>1251</v>
      </c>
      <c r="AO1255" s="11">
        <v>23928.23</v>
      </c>
      <c r="AP1255" s="9">
        <v>3.2364254122910729</v>
      </c>
    </row>
    <row r="1256" spans="40:42" x14ac:dyDescent="0.3">
      <c r="AN1256">
        <v>1252</v>
      </c>
      <c r="AO1256" s="11">
        <v>24878.16</v>
      </c>
      <c r="AP1256" s="9">
        <v>3.6204507072785219</v>
      </c>
    </row>
    <row r="1257" spans="40:42" x14ac:dyDescent="0.3">
      <c r="AN1257">
        <v>1253</v>
      </c>
      <c r="AO1257" s="11">
        <v>25398.06</v>
      </c>
      <c r="AP1257" s="9">
        <v>3.4536714255664696</v>
      </c>
    </row>
    <row r="1258" spans="40:42" x14ac:dyDescent="0.3">
      <c r="AN1258">
        <v>1254</v>
      </c>
      <c r="AO1258" s="11">
        <v>29723</v>
      </c>
      <c r="AP1258" s="9">
        <v>3.334051752497587</v>
      </c>
    </row>
    <row r="1259" spans="40:42" x14ac:dyDescent="0.3">
      <c r="AN1259">
        <v>1255</v>
      </c>
      <c r="AO1259" s="11">
        <v>15006.61</v>
      </c>
      <c r="AP1259" s="9">
        <v>3.378086762457607</v>
      </c>
    </row>
    <row r="1260" spans="40:42" x14ac:dyDescent="0.3">
      <c r="AN1260">
        <v>1256</v>
      </c>
      <c r="AO1260" s="11">
        <v>21522.57</v>
      </c>
      <c r="AP1260" s="9">
        <v>3.0200708732577626</v>
      </c>
    </row>
    <row r="1261" spans="40:42" x14ac:dyDescent="0.3">
      <c r="AN1261">
        <v>1257</v>
      </c>
      <c r="AO1261" s="11">
        <v>23098.34</v>
      </c>
      <c r="AP1261" s="9">
        <v>2.7839013215576243</v>
      </c>
    </row>
    <row r="1262" spans="40:42" x14ac:dyDescent="0.3">
      <c r="AN1262">
        <v>1258</v>
      </c>
      <c r="AO1262" s="11">
        <v>27298.959999999999</v>
      </c>
      <c r="AP1262" s="9">
        <v>3.0607449829076239</v>
      </c>
    </row>
    <row r="1263" spans="40:42" x14ac:dyDescent="0.3">
      <c r="AN1263">
        <v>1259</v>
      </c>
      <c r="AO1263" s="11">
        <v>20772.77</v>
      </c>
      <c r="AP1263" s="9">
        <v>2.8168490913229309</v>
      </c>
    </row>
    <row r="1264" spans="40:42" x14ac:dyDescent="0.3">
      <c r="AN1264">
        <v>1260</v>
      </c>
      <c r="AO1264" s="11">
        <v>23020.85</v>
      </c>
      <c r="AP1264" s="9">
        <v>3.6800397166766703</v>
      </c>
    </row>
    <row r="1265" spans="40:42" x14ac:dyDescent="0.3">
      <c r="AN1265">
        <v>1261</v>
      </c>
      <c r="AO1265" s="11">
        <v>28232.98</v>
      </c>
      <c r="AP1265" s="9">
        <v>3.0299888767290719</v>
      </c>
    </row>
    <row r="1266" spans="40:42" x14ac:dyDescent="0.3">
      <c r="AN1266">
        <v>1262</v>
      </c>
      <c r="AO1266" s="11">
        <v>27749.8</v>
      </c>
      <c r="AP1266" s="9">
        <v>3.4213867561327085</v>
      </c>
    </row>
    <row r="1267" spans="40:42" x14ac:dyDescent="0.3">
      <c r="AN1267">
        <v>1263</v>
      </c>
      <c r="AO1267" s="11">
        <v>14381.21</v>
      </c>
      <c r="AP1267" s="9">
        <v>2.8409300061406935</v>
      </c>
    </row>
    <row r="1268" spans="40:42" x14ac:dyDescent="0.3">
      <c r="AN1268">
        <v>1264</v>
      </c>
      <c r="AO1268" s="11">
        <v>22532.36</v>
      </c>
      <c r="AP1268" s="9">
        <v>2.9410374140963071</v>
      </c>
    </row>
    <row r="1269" spans="40:42" x14ac:dyDescent="0.3">
      <c r="AN1269">
        <v>1265</v>
      </c>
      <c r="AO1269" s="11">
        <v>29347.82</v>
      </c>
      <c r="AP1269" s="9">
        <v>3.0942674283320244</v>
      </c>
    </row>
    <row r="1270" spans="40:42" x14ac:dyDescent="0.3">
      <c r="AN1270">
        <v>1266</v>
      </c>
      <c r="AO1270" s="11">
        <v>10433.43</v>
      </c>
      <c r="AP1270" s="9">
        <v>3.3072218427385645</v>
      </c>
    </row>
    <row r="1271" spans="40:42" x14ac:dyDescent="0.3">
      <c r="AN1271">
        <v>1267</v>
      </c>
      <c r="AO1271" s="11">
        <v>16638.73</v>
      </c>
      <c r="AP1271" s="9">
        <v>3.6428456047343141</v>
      </c>
    </row>
    <row r="1272" spans="40:42" x14ac:dyDescent="0.3">
      <c r="AN1272">
        <v>1268</v>
      </c>
      <c r="AO1272" s="11">
        <v>34022.160000000003</v>
      </c>
      <c r="AP1272" s="9">
        <v>3.6857865234886678</v>
      </c>
    </row>
    <row r="1273" spans="40:42" x14ac:dyDescent="0.3">
      <c r="AN1273">
        <v>1269</v>
      </c>
      <c r="AO1273" s="11">
        <v>15943.93</v>
      </c>
      <c r="AP1273" s="9">
        <v>3.0180519633477383</v>
      </c>
    </row>
    <row r="1274" spans="40:42" x14ac:dyDescent="0.3">
      <c r="AN1274">
        <v>1270</v>
      </c>
      <c r="AO1274" s="11">
        <v>29417.1</v>
      </c>
      <c r="AP1274" s="9">
        <v>3.4748604676768409</v>
      </c>
    </row>
    <row r="1275" spans="40:42" x14ac:dyDescent="0.3">
      <c r="AN1275">
        <v>1271</v>
      </c>
      <c r="AO1275" s="11">
        <v>23645.99</v>
      </c>
      <c r="AP1275" s="9">
        <v>3.0772841639245434</v>
      </c>
    </row>
    <row r="1276" spans="40:42" x14ac:dyDescent="0.3">
      <c r="AN1276">
        <v>1272</v>
      </c>
      <c r="AO1276" s="11">
        <v>37694.31</v>
      </c>
      <c r="AP1276" s="9">
        <v>3.1181953173752004</v>
      </c>
    </row>
    <row r="1277" spans="40:42" x14ac:dyDescent="0.3">
      <c r="AN1277">
        <v>1273</v>
      </c>
      <c r="AO1277" s="11">
        <v>18456.55</v>
      </c>
      <c r="AP1277" s="9">
        <v>3.3051025025262297</v>
      </c>
    </row>
    <row r="1278" spans="40:42" x14ac:dyDescent="0.3">
      <c r="AN1278">
        <v>1274</v>
      </c>
      <c r="AO1278" s="11">
        <v>29144.68</v>
      </c>
      <c r="AP1278" s="9">
        <v>4.0446713630743298</v>
      </c>
    </row>
    <row r="1279" spans="40:42" x14ac:dyDescent="0.3">
      <c r="AN1279">
        <v>1275</v>
      </c>
      <c r="AO1279" s="11">
        <v>15186.33</v>
      </c>
      <c r="AP1279" s="9">
        <v>2.7946325618085206</v>
      </c>
    </row>
    <row r="1280" spans="40:42" x14ac:dyDescent="0.3">
      <c r="AN1280">
        <v>1276</v>
      </c>
      <c r="AO1280" s="11">
        <v>32381.22</v>
      </c>
      <c r="AP1280" s="9">
        <v>3.9699141244314022</v>
      </c>
    </row>
    <row r="1281" spans="40:42" x14ac:dyDescent="0.3">
      <c r="AN1281">
        <v>1277</v>
      </c>
      <c r="AO1281" s="11">
        <v>16954.5</v>
      </c>
      <c r="AP1281" s="9">
        <v>3.1019416786458809</v>
      </c>
    </row>
    <row r="1282" spans="40:42" x14ac:dyDescent="0.3">
      <c r="AN1282">
        <v>1278</v>
      </c>
      <c r="AO1282" s="11">
        <v>32708.639999999999</v>
      </c>
      <c r="AP1282" s="9">
        <v>3.8990684871865704</v>
      </c>
    </row>
    <row r="1283" spans="40:42" x14ac:dyDescent="0.3">
      <c r="AN1283">
        <v>1279</v>
      </c>
      <c r="AO1283" s="11">
        <v>17589.27</v>
      </c>
      <c r="AP1283" s="9">
        <v>2.8481912224090427</v>
      </c>
    </row>
    <row r="1284" spans="40:42" x14ac:dyDescent="0.3">
      <c r="AN1284">
        <v>1280</v>
      </c>
      <c r="AO1284" s="11">
        <v>32205.97</v>
      </c>
      <c r="AP1284" s="9">
        <v>2.8475308485134048</v>
      </c>
    </row>
    <row r="1285" spans="40:42" x14ac:dyDescent="0.3">
      <c r="AN1285">
        <v>1281</v>
      </c>
      <c r="AO1285" s="11">
        <v>34663.1</v>
      </c>
      <c r="AP1285" s="9">
        <v>3.2745056129412768</v>
      </c>
    </row>
    <row r="1286" spans="40:42" x14ac:dyDescent="0.3">
      <c r="AN1286">
        <v>1282</v>
      </c>
      <c r="AO1286" s="11">
        <v>26095.41</v>
      </c>
      <c r="AP1286" s="9">
        <v>2.9073773656204094</v>
      </c>
    </row>
    <row r="1287" spans="40:42" x14ac:dyDescent="0.3">
      <c r="AN1287">
        <v>1283</v>
      </c>
      <c r="AO1287" s="11">
        <v>18257.310000000001</v>
      </c>
      <c r="AP1287" s="9">
        <v>2.7272389081781809</v>
      </c>
    </row>
    <row r="1288" spans="40:42" x14ac:dyDescent="0.3">
      <c r="AN1288">
        <v>1284</v>
      </c>
      <c r="AO1288" s="11">
        <v>54037.88</v>
      </c>
      <c r="AP1288" s="9">
        <v>3.9560368318329906</v>
      </c>
    </row>
    <row r="1289" spans="40:42" x14ac:dyDescent="0.3">
      <c r="AN1289">
        <v>1285</v>
      </c>
      <c r="AO1289" s="11">
        <v>21781.07</v>
      </c>
      <c r="AP1289" s="9">
        <v>3.4040042059629538</v>
      </c>
    </row>
    <row r="1290" spans="40:42" x14ac:dyDescent="0.3">
      <c r="AN1290">
        <v>1286</v>
      </c>
      <c r="AO1290" s="11">
        <v>31302.54</v>
      </c>
      <c r="AP1290" s="9">
        <v>3.1499324048608028</v>
      </c>
    </row>
    <row r="1291" spans="40:42" x14ac:dyDescent="0.3">
      <c r="AN1291">
        <v>1287</v>
      </c>
      <c r="AO1291" s="11">
        <v>42501.54</v>
      </c>
      <c r="AP1291" s="9">
        <v>3.3554076312526062</v>
      </c>
    </row>
    <row r="1292" spans="40:42" x14ac:dyDescent="0.3">
      <c r="AN1292">
        <v>1288</v>
      </c>
      <c r="AO1292" s="11">
        <v>32068.57</v>
      </c>
      <c r="AP1292" s="9">
        <v>3.4801279771036171</v>
      </c>
    </row>
    <row r="1293" spans="40:42" x14ac:dyDescent="0.3">
      <c r="AN1293">
        <v>1289</v>
      </c>
      <c r="AO1293" s="11">
        <v>25835.96</v>
      </c>
      <c r="AP1293" s="9">
        <v>2.7891784037024361</v>
      </c>
    </row>
    <row r="1294" spans="40:42" x14ac:dyDescent="0.3">
      <c r="AN1294">
        <v>1290</v>
      </c>
      <c r="AO1294" s="11">
        <v>35554.379999999997</v>
      </c>
      <c r="AP1294" s="9">
        <v>3.4118331648712066</v>
      </c>
    </row>
    <row r="1295" spans="40:42" x14ac:dyDescent="0.3">
      <c r="AN1295">
        <v>1291</v>
      </c>
      <c r="AO1295" s="11">
        <v>34160.79</v>
      </c>
      <c r="AP1295" s="9">
        <v>3.2717767931462221</v>
      </c>
    </row>
    <row r="1296" spans="40:42" x14ac:dyDescent="0.3">
      <c r="AN1296">
        <v>1292</v>
      </c>
      <c r="AO1296" s="11">
        <v>24732.55</v>
      </c>
      <c r="AP1296" s="9">
        <v>3.3415531052036349</v>
      </c>
    </row>
    <row r="1297" spans="40:42" x14ac:dyDescent="0.3">
      <c r="AN1297">
        <v>1293</v>
      </c>
      <c r="AO1297" s="11">
        <v>14089.28</v>
      </c>
      <c r="AP1297" s="9">
        <v>2.6658472379279443</v>
      </c>
    </row>
    <row r="1298" spans="40:42" x14ac:dyDescent="0.3">
      <c r="AN1298">
        <v>1294</v>
      </c>
      <c r="AO1298" s="11">
        <v>28960.21</v>
      </c>
      <c r="AP1298" s="9">
        <v>4.1319303508842227</v>
      </c>
    </row>
    <row r="1299" spans="40:42" x14ac:dyDescent="0.3">
      <c r="AN1299">
        <v>1295</v>
      </c>
      <c r="AO1299" s="11">
        <v>27600.45</v>
      </c>
      <c r="AP1299" s="9">
        <v>3.3329480732199932</v>
      </c>
    </row>
    <row r="1300" spans="40:42" x14ac:dyDescent="0.3">
      <c r="AN1300">
        <v>1296</v>
      </c>
      <c r="AO1300" s="11">
        <v>22982.880000000001</v>
      </c>
      <c r="AP1300" s="9">
        <v>3.2905406279535656</v>
      </c>
    </row>
    <row r="1301" spans="40:42" x14ac:dyDescent="0.3">
      <c r="AN1301">
        <v>1297</v>
      </c>
      <c r="AO1301" s="11">
        <v>16648.05</v>
      </c>
      <c r="AP1301" s="9">
        <v>3.1920647526029535</v>
      </c>
    </row>
    <row r="1302" spans="40:42" x14ac:dyDescent="0.3">
      <c r="AN1302">
        <v>1298</v>
      </c>
      <c r="AO1302" s="11">
        <v>30119.53</v>
      </c>
      <c r="AP1302" s="9">
        <v>4.3093074316668938</v>
      </c>
    </row>
    <row r="1303" spans="40:42" x14ac:dyDescent="0.3">
      <c r="AN1303">
        <v>1299</v>
      </c>
      <c r="AO1303" s="11">
        <v>31080.91</v>
      </c>
      <c r="AP1303" s="9">
        <v>4.0445823517982777</v>
      </c>
    </row>
    <row r="1304" spans="40:42" x14ac:dyDescent="0.3">
      <c r="AN1304">
        <v>1300</v>
      </c>
      <c r="AO1304" s="11">
        <v>21876.15</v>
      </c>
      <c r="AP1304" s="9">
        <v>2.7224145239353352</v>
      </c>
    </row>
    <row r="1305" spans="40:42" x14ac:dyDescent="0.3">
      <c r="AN1305">
        <v>1301</v>
      </c>
      <c r="AO1305" s="11">
        <v>21978.35</v>
      </c>
      <c r="AP1305" s="9">
        <v>3.2743654401820397</v>
      </c>
    </row>
    <row r="1306" spans="40:42" x14ac:dyDescent="0.3">
      <c r="AN1306">
        <v>1302</v>
      </c>
      <c r="AO1306" s="11">
        <v>31790.36</v>
      </c>
      <c r="AP1306" s="9">
        <v>3.7024138163716667</v>
      </c>
    </row>
    <row r="1307" spans="40:42" x14ac:dyDescent="0.3">
      <c r="AN1307">
        <v>1303</v>
      </c>
      <c r="AO1307" s="11">
        <v>32645.07</v>
      </c>
      <c r="AP1307" s="9">
        <v>3.9015206034642858</v>
      </c>
    </row>
    <row r="1308" spans="40:42" x14ac:dyDescent="0.3">
      <c r="AN1308">
        <v>1304</v>
      </c>
      <c r="AO1308" s="11">
        <v>23418.99</v>
      </c>
      <c r="AP1308" s="9">
        <v>3.4703626775307468</v>
      </c>
    </row>
    <row r="1309" spans="40:42" x14ac:dyDescent="0.3">
      <c r="AN1309">
        <v>1305</v>
      </c>
      <c r="AO1309" s="11">
        <v>42336.31</v>
      </c>
      <c r="AP1309" s="9">
        <v>3.5053430093069902</v>
      </c>
    </row>
    <row r="1310" spans="40:42" x14ac:dyDescent="0.3">
      <c r="AN1310">
        <v>1306</v>
      </c>
      <c r="AO1310" s="11">
        <v>22911.41</v>
      </c>
      <c r="AP1310" s="9">
        <v>3.4994079756749263</v>
      </c>
    </row>
    <row r="1311" spans="40:42" x14ac:dyDescent="0.3">
      <c r="AN1311">
        <v>1307</v>
      </c>
      <c r="AO1311" s="11">
        <v>23028.91</v>
      </c>
      <c r="AP1311" s="9">
        <v>3.4722914594455676</v>
      </c>
    </row>
    <row r="1312" spans="40:42" x14ac:dyDescent="0.3">
      <c r="AN1312">
        <v>1308</v>
      </c>
      <c r="AO1312" s="11">
        <v>26728.47</v>
      </c>
      <c r="AP1312" s="9">
        <v>3.6222963816634626</v>
      </c>
    </row>
    <row r="1313" spans="40:42" x14ac:dyDescent="0.3">
      <c r="AN1313">
        <v>1309</v>
      </c>
      <c r="AO1313" s="11">
        <v>16564.29</v>
      </c>
      <c r="AP1313" s="9">
        <v>2.7237430262163547</v>
      </c>
    </row>
    <row r="1314" spans="40:42" x14ac:dyDescent="0.3">
      <c r="AN1314">
        <v>1310</v>
      </c>
      <c r="AO1314" s="11">
        <v>22765.59</v>
      </c>
      <c r="AP1314" s="9">
        <v>2.8058914379902733</v>
      </c>
    </row>
    <row r="1315" spans="40:42" x14ac:dyDescent="0.3">
      <c r="AN1315">
        <v>1311</v>
      </c>
      <c r="AO1315" s="11">
        <v>30156.19</v>
      </c>
      <c r="AP1315" s="9">
        <v>3.850454872441945</v>
      </c>
    </row>
    <row r="1316" spans="40:42" x14ac:dyDescent="0.3">
      <c r="AN1316">
        <v>1312</v>
      </c>
      <c r="AO1316" s="11">
        <v>29061</v>
      </c>
      <c r="AP1316" s="9">
        <v>3.747248850989457</v>
      </c>
    </row>
    <row r="1317" spans="40:42" x14ac:dyDescent="0.3">
      <c r="AN1317">
        <v>1313</v>
      </c>
      <c r="AO1317" s="11">
        <v>26803.59</v>
      </c>
      <c r="AP1317" s="9">
        <v>3.3343174386312953</v>
      </c>
    </row>
    <row r="1318" spans="40:42" x14ac:dyDescent="0.3">
      <c r="AN1318">
        <v>1314</v>
      </c>
      <c r="AO1318" s="11">
        <v>16411.89</v>
      </c>
      <c r="AP1318" s="9">
        <v>3.3185590100330722</v>
      </c>
    </row>
    <row r="1319" spans="40:42" x14ac:dyDescent="0.3">
      <c r="AN1319">
        <v>1315</v>
      </c>
      <c r="AO1319" s="11">
        <v>26977.040000000001</v>
      </c>
      <c r="AP1319" s="9">
        <v>3.5315304920328132</v>
      </c>
    </row>
    <row r="1320" spans="40:42" x14ac:dyDescent="0.3">
      <c r="AN1320">
        <v>1316</v>
      </c>
      <c r="AO1320" s="11">
        <v>18257.55</v>
      </c>
      <c r="AP1320" s="9">
        <v>2.6369829668776643</v>
      </c>
    </row>
    <row r="1321" spans="40:42" x14ac:dyDescent="0.3">
      <c r="AN1321">
        <v>1317</v>
      </c>
      <c r="AO1321" s="11">
        <v>25364.91</v>
      </c>
      <c r="AP1321" s="9">
        <v>3.3359433821152771</v>
      </c>
    </row>
    <row r="1322" spans="40:42" x14ac:dyDescent="0.3">
      <c r="AN1322">
        <v>1318</v>
      </c>
      <c r="AO1322" s="11">
        <v>25326.5</v>
      </c>
      <c r="AP1322" s="9">
        <v>2.6110094403287532</v>
      </c>
    </row>
    <row r="1323" spans="40:42" x14ac:dyDescent="0.3">
      <c r="AN1323">
        <v>1319</v>
      </c>
      <c r="AO1323" s="11">
        <v>23212.7</v>
      </c>
      <c r="AP1323" s="9">
        <v>3.7998619729458061</v>
      </c>
    </row>
    <row r="1324" spans="40:42" x14ac:dyDescent="0.3">
      <c r="AN1324">
        <v>1320</v>
      </c>
      <c r="AO1324" s="11">
        <v>25323.69</v>
      </c>
      <c r="AP1324" s="9">
        <v>2.9258578832421334</v>
      </c>
    </row>
    <row r="1325" spans="40:42" x14ac:dyDescent="0.3">
      <c r="AN1325">
        <v>1321</v>
      </c>
      <c r="AO1325" s="11">
        <v>25230.83</v>
      </c>
      <c r="AP1325" s="9">
        <v>3.3072197846088347</v>
      </c>
    </row>
    <row r="1326" spans="40:42" x14ac:dyDescent="0.3">
      <c r="AN1326">
        <v>1322</v>
      </c>
      <c r="AO1326" s="11">
        <v>32410.27</v>
      </c>
      <c r="AP1326" s="9">
        <v>3.0099988854784225</v>
      </c>
    </row>
    <row r="1327" spans="40:42" x14ac:dyDescent="0.3">
      <c r="AN1327">
        <v>1323</v>
      </c>
      <c r="AO1327" s="11">
        <v>33373.86</v>
      </c>
      <c r="AP1327" s="9">
        <v>3.1439200107654939</v>
      </c>
    </row>
    <row r="1328" spans="40:42" x14ac:dyDescent="0.3">
      <c r="AN1328">
        <v>1324</v>
      </c>
      <c r="AO1328" s="11">
        <v>33621.58</v>
      </c>
      <c r="AP1328" s="9">
        <v>3.7656311913943932</v>
      </c>
    </row>
    <row r="1329" spans="40:42" x14ac:dyDescent="0.3">
      <c r="AN1329">
        <v>1325</v>
      </c>
      <c r="AO1329" s="11">
        <v>33433.65</v>
      </c>
      <c r="AP1329" s="9">
        <v>3.4726809764629283</v>
      </c>
    </row>
    <row r="1330" spans="40:42" x14ac:dyDescent="0.3">
      <c r="AN1330">
        <v>1326</v>
      </c>
      <c r="AO1330" s="11">
        <v>24922.12</v>
      </c>
      <c r="AP1330" s="9">
        <v>3.2147443248896299</v>
      </c>
    </row>
    <row r="1331" spans="40:42" x14ac:dyDescent="0.3">
      <c r="AN1331">
        <v>1327</v>
      </c>
      <c r="AO1331" s="11">
        <v>23415.09</v>
      </c>
      <c r="AP1331" s="9">
        <v>2.6908545865705955</v>
      </c>
    </row>
    <row r="1332" spans="40:42" x14ac:dyDescent="0.3">
      <c r="AN1332">
        <v>1328</v>
      </c>
      <c r="AO1332" s="11">
        <v>47723.54</v>
      </c>
      <c r="AP1332" s="9">
        <v>3.5247015385696194</v>
      </c>
    </row>
    <row r="1333" spans="40:42" x14ac:dyDescent="0.3">
      <c r="AN1333">
        <v>1329</v>
      </c>
      <c r="AO1333" s="11">
        <v>34898.57</v>
      </c>
      <c r="AP1333" s="9">
        <v>3.4493132911918218</v>
      </c>
    </row>
    <row r="1334" spans="40:42" x14ac:dyDescent="0.3">
      <c r="AN1334">
        <v>1330</v>
      </c>
      <c r="AO1334" s="11">
        <v>27067.67</v>
      </c>
      <c r="AP1334" s="9">
        <v>3.1632976920541136</v>
      </c>
    </row>
    <row r="1335" spans="40:42" x14ac:dyDescent="0.3">
      <c r="AN1335">
        <v>1331</v>
      </c>
      <c r="AO1335" s="11">
        <v>33364.160000000003</v>
      </c>
      <c r="AP1335" s="9">
        <v>3.2032768305167467</v>
      </c>
    </row>
    <row r="1336" spans="40:42" x14ac:dyDescent="0.3">
      <c r="AN1336">
        <v>1332</v>
      </c>
      <c r="AO1336" s="11">
        <v>36783.410000000003</v>
      </c>
      <c r="AP1336" s="9">
        <v>3.9679342453642192</v>
      </c>
    </row>
    <row r="1337" spans="40:42" x14ac:dyDescent="0.3">
      <c r="AN1337">
        <v>1333</v>
      </c>
      <c r="AO1337" s="11">
        <v>20839.05</v>
      </c>
      <c r="AP1337" s="9">
        <v>3.2325233312619086</v>
      </c>
    </row>
    <row r="1338" spans="40:42" x14ac:dyDescent="0.3">
      <c r="AN1338">
        <v>1334</v>
      </c>
      <c r="AO1338" s="11">
        <v>22341.83</v>
      </c>
      <c r="AP1338" s="9">
        <v>3.3193641384131722</v>
      </c>
    </row>
    <row r="1339" spans="40:42" x14ac:dyDescent="0.3">
      <c r="AN1339">
        <v>1335</v>
      </c>
      <c r="AO1339" s="11">
        <v>37106.230000000003</v>
      </c>
      <c r="AP1339" s="9">
        <v>4.1018371887659377</v>
      </c>
    </row>
    <row r="1340" spans="40:42" x14ac:dyDescent="0.3">
      <c r="AN1340">
        <v>1336</v>
      </c>
      <c r="AO1340" s="11">
        <v>20500.52</v>
      </c>
      <c r="AP1340" s="9">
        <v>3.7205723198308607</v>
      </c>
    </row>
    <row r="1341" spans="40:42" x14ac:dyDescent="0.3">
      <c r="AN1341">
        <v>1337</v>
      </c>
      <c r="AO1341" s="11">
        <v>29569.43</v>
      </c>
      <c r="AP1341" s="9">
        <v>3.243091639771682</v>
      </c>
    </row>
    <row r="1342" spans="40:42" x14ac:dyDescent="0.3">
      <c r="AN1342">
        <v>1338</v>
      </c>
      <c r="AO1342" s="11">
        <v>29450.47</v>
      </c>
      <c r="AP1342" s="9">
        <v>3.8119453346381862</v>
      </c>
    </row>
    <row r="1343" spans="40:42" x14ac:dyDescent="0.3">
      <c r="AN1343">
        <v>1339</v>
      </c>
      <c r="AO1343" s="11">
        <v>17622.5</v>
      </c>
      <c r="AP1343" s="9">
        <v>3.0001349492600715</v>
      </c>
    </row>
    <row r="1344" spans="40:42" x14ac:dyDescent="0.3">
      <c r="AN1344">
        <v>1340</v>
      </c>
      <c r="AO1344" s="11">
        <v>30543.83</v>
      </c>
      <c r="AP1344" s="9">
        <v>3.2686185029032568</v>
      </c>
    </row>
    <row r="1345" spans="40:42" x14ac:dyDescent="0.3">
      <c r="AN1345">
        <v>1341</v>
      </c>
      <c r="AO1345" s="11">
        <v>27334.38</v>
      </c>
      <c r="AP1345" s="9">
        <v>3.7703550118677915</v>
      </c>
    </row>
    <row r="1346" spans="40:42" x14ac:dyDescent="0.3">
      <c r="AN1346">
        <v>1342</v>
      </c>
      <c r="AO1346" s="11">
        <v>30050.04</v>
      </c>
      <c r="AP1346" s="9">
        <v>3.2552446877511807</v>
      </c>
    </row>
    <row r="1347" spans="40:42" x14ac:dyDescent="0.3">
      <c r="AN1347">
        <v>1343</v>
      </c>
      <c r="AO1347" s="11">
        <v>37522.480000000003</v>
      </c>
      <c r="AP1347" s="9">
        <v>3.8886140184979054</v>
      </c>
    </row>
    <row r="1348" spans="40:42" x14ac:dyDescent="0.3">
      <c r="AN1348">
        <v>1344</v>
      </c>
      <c r="AO1348" s="11">
        <v>28516.47</v>
      </c>
      <c r="AP1348" s="9">
        <v>3.036288048377429</v>
      </c>
    </row>
    <row r="1349" spans="40:42" x14ac:dyDescent="0.3">
      <c r="AN1349">
        <v>1345</v>
      </c>
      <c r="AO1349" s="11">
        <v>24472.91</v>
      </c>
      <c r="AP1349" s="9">
        <v>3.512976198703202</v>
      </c>
    </row>
    <row r="1350" spans="40:42" x14ac:dyDescent="0.3">
      <c r="AN1350">
        <v>1346</v>
      </c>
      <c r="AO1350" s="11">
        <v>28779.39</v>
      </c>
      <c r="AP1350" s="9">
        <v>3.3491186428323769</v>
      </c>
    </row>
    <row r="1351" spans="40:42" x14ac:dyDescent="0.3">
      <c r="AN1351">
        <v>1347</v>
      </c>
      <c r="AO1351" s="11">
        <v>30275.54</v>
      </c>
      <c r="AP1351" s="9">
        <v>3.6887370645275213</v>
      </c>
    </row>
    <row r="1352" spans="40:42" x14ac:dyDescent="0.3">
      <c r="AN1352">
        <v>1348</v>
      </c>
      <c r="AO1352" s="11">
        <v>36358.879999999997</v>
      </c>
      <c r="AP1352" s="9">
        <v>3.9166318677066627</v>
      </c>
    </row>
    <row r="1353" spans="40:42" x14ac:dyDescent="0.3">
      <c r="AN1353">
        <v>1349</v>
      </c>
      <c r="AO1353" s="11">
        <v>28373.46</v>
      </c>
      <c r="AP1353" s="9">
        <v>3.2021999728418851</v>
      </c>
    </row>
    <row r="1354" spans="40:42" x14ac:dyDescent="0.3">
      <c r="AN1354">
        <v>1350</v>
      </c>
      <c r="AO1354" s="11">
        <v>18862.41</v>
      </c>
      <c r="AP1354" s="9">
        <v>3.7840746570477006</v>
      </c>
    </row>
    <row r="1355" spans="40:42" x14ac:dyDescent="0.3">
      <c r="AN1355">
        <v>1351</v>
      </c>
      <c r="AO1355" s="11">
        <v>33936.080000000002</v>
      </c>
      <c r="AP1355" s="9">
        <v>3.6479178639474044</v>
      </c>
    </row>
    <row r="1356" spans="40:42" x14ac:dyDescent="0.3">
      <c r="AN1356">
        <v>1352</v>
      </c>
      <c r="AO1356" s="11">
        <v>35160.339999999997</v>
      </c>
      <c r="AP1356" s="9">
        <v>3.7430593387621456</v>
      </c>
    </row>
    <row r="1357" spans="40:42" x14ac:dyDescent="0.3">
      <c r="AN1357">
        <v>1353</v>
      </c>
      <c r="AO1357" s="11">
        <v>19607.66</v>
      </c>
      <c r="AP1357" s="9">
        <v>3.0258775766445152</v>
      </c>
    </row>
    <row r="1358" spans="40:42" x14ac:dyDescent="0.3">
      <c r="AN1358">
        <v>1354</v>
      </c>
      <c r="AO1358" s="11">
        <v>22996.82</v>
      </c>
      <c r="AP1358" s="9">
        <v>2.655869634533877</v>
      </c>
    </row>
    <row r="1359" spans="40:42" x14ac:dyDescent="0.3">
      <c r="AN1359">
        <v>1355</v>
      </c>
      <c r="AO1359" s="11">
        <v>25602.38</v>
      </c>
      <c r="AP1359" s="9">
        <v>4.2167213316281202</v>
      </c>
    </row>
    <row r="1360" spans="40:42" x14ac:dyDescent="0.3">
      <c r="AN1360">
        <v>1356</v>
      </c>
      <c r="AO1360" s="11">
        <v>22554.01</v>
      </c>
      <c r="AP1360" s="9">
        <v>2.9091969040151033</v>
      </c>
    </row>
    <row r="1361" spans="40:42" x14ac:dyDescent="0.3">
      <c r="AN1361">
        <v>1357</v>
      </c>
      <c r="AO1361" s="11">
        <v>24813.58</v>
      </c>
      <c r="AP1361" s="9">
        <v>2.7660197588980724</v>
      </c>
    </row>
    <row r="1362" spans="40:42" x14ac:dyDescent="0.3">
      <c r="AN1362">
        <v>1358</v>
      </c>
      <c r="AO1362" s="11">
        <v>19545.89</v>
      </c>
      <c r="AP1362" s="9">
        <v>3.3942800533277002</v>
      </c>
    </row>
    <row r="1363" spans="40:42" x14ac:dyDescent="0.3">
      <c r="AN1363">
        <v>1359</v>
      </c>
      <c r="AO1363" s="11">
        <v>22355.65</v>
      </c>
      <c r="AP1363" s="9">
        <v>2.9771866980082851</v>
      </c>
    </row>
    <row r="1364" spans="40:42" x14ac:dyDescent="0.3">
      <c r="AN1364">
        <v>1360</v>
      </c>
      <c r="AO1364" s="11">
        <v>46988.52</v>
      </c>
      <c r="AP1364" s="9">
        <v>3.8000031665113658</v>
      </c>
    </row>
    <row r="1365" spans="40:42" x14ac:dyDescent="0.3">
      <c r="AN1365">
        <v>1361</v>
      </c>
      <c r="AO1365" s="11">
        <v>33117.879999999997</v>
      </c>
      <c r="AP1365" s="9">
        <v>3.2850385553911337</v>
      </c>
    </row>
    <row r="1366" spans="40:42" x14ac:dyDescent="0.3">
      <c r="AN1366">
        <v>1362</v>
      </c>
      <c r="AO1366" s="11">
        <v>37260.910000000003</v>
      </c>
      <c r="AP1366" s="9">
        <v>3.3348490650068947</v>
      </c>
    </row>
    <row r="1367" spans="40:42" x14ac:dyDescent="0.3">
      <c r="AN1367">
        <v>1363</v>
      </c>
      <c r="AO1367" s="11">
        <v>26024.080000000002</v>
      </c>
      <c r="AP1367" s="9">
        <v>2.9274414496157544</v>
      </c>
    </row>
    <row r="1368" spans="40:42" x14ac:dyDescent="0.3">
      <c r="AN1368">
        <v>1364</v>
      </c>
      <c r="AO1368" s="11">
        <v>22918.97</v>
      </c>
      <c r="AP1368" s="9">
        <v>2.7423850608157641</v>
      </c>
    </row>
    <row r="1369" spans="40:42" x14ac:dyDescent="0.3">
      <c r="AN1369">
        <v>1365</v>
      </c>
      <c r="AO1369" s="11">
        <v>32612.6</v>
      </c>
      <c r="AP1369" s="9">
        <v>4.3311715333447127</v>
      </c>
    </row>
    <row r="1370" spans="40:42" x14ac:dyDescent="0.3">
      <c r="AN1370">
        <v>1366</v>
      </c>
      <c r="AO1370" s="11">
        <v>23360.62</v>
      </c>
      <c r="AP1370" s="9">
        <v>2.9737716838977826</v>
      </c>
    </row>
    <row r="1371" spans="40:42" x14ac:dyDescent="0.3">
      <c r="AN1371">
        <v>1367</v>
      </c>
      <c r="AO1371" s="11">
        <v>22669.13</v>
      </c>
      <c r="AP1371" s="9">
        <v>3.0174912344657083</v>
      </c>
    </row>
    <row r="1372" spans="40:42" x14ac:dyDescent="0.3">
      <c r="AN1372">
        <v>1368</v>
      </c>
      <c r="AO1372" s="11">
        <v>22564.11</v>
      </c>
      <c r="AP1372" s="9">
        <v>3.1292052704961191</v>
      </c>
    </row>
    <row r="1373" spans="40:42" x14ac:dyDescent="0.3">
      <c r="AN1373">
        <v>1369</v>
      </c>
      <c r="AO1373" s="11">
        <v>40596.49</v>
      </c>
      <c r="AP1373" s="9">
        <v>4.7020196699827039</v>
      </c>
    </row>
    <row r="1374" spans="40:42" x14ac:dyDescent="0.3">
      <c r="AN1374">
        <v>1370</v>
      </c>
      <c r="AO1374" s="11">
        <v>26104.83</v>
      </c>
      <c r="AP1374" s="9">
        <v>3.4213626165688238</v>
      </c>
    </row>
    <row r="1375" spans="40:42" x14ac:dyDescent="0.3">
      <c r="AN1375">
        <v>1371</v>
      </c>
      <c r="AO1375" s="11">
        <v>26299.1</v>
      </c>
      <c r="AP1375" s="9">
        <v>3.0927360543471729</v>
      </c>
    </row>
    <row r="1376" spans="40:42" x14ac:dyDescent="0.3">
      <c r="AN1376">
        <v>1372</v>
      </c>
      <c r="AO1376" s="11">
        <v>24352.71</v>
      </c>
      <c r="AP1376" s="9">
        <v>3.6333959599623769</v>
      </c>
    </row>
    <row r="1377" spans="40:42" x14ac:dyDescent="0.3">
      <c r="AN1377">
        <v>1373</v>
      </c>
      <c r="AO1377" s="11">
        <v>29471.88</v>
      </c>
      <c r="AP1377" s="9">
        <v>3.6022459865292786</v>
      </c>
    </row>
    <row r="1378" spans="40:42" x14ac:dyDescent="0.3">
      <c r="AN1378">
        <v>1374</v>
      </c>
      <c r="AO1378" s="11">
        <v>26765.79</v>
      </c>
      <c r="AP1378" s="9">
        <v>3.7284349702885913</v>
      </c>
    </row>
    <row r="1379" spans="40:42" x14ac:dyDescent="0.3">
      <c r="AN1379">
        <v>1375</v>
      </c>
      <c r="AO1379" s="11">
        <v>22738.65</v>
      </c>
      <c r="AP1379" s="9">
        <v>3.3571111141058143</v>
      </c>
    </row>
    <row r="1380" spans="40:42" x14ac:dyDescent="0.3">
      <c r="AN1380">
        <v>1376</v>
      </c>
      <c r="AO1380" s="11">
        <v>22207.59</v>
      </c>
      <c r="AP1380" s="9">
        <v>3.8261592684256582</v>
      </c>
    </row>
    <row r="1381" spans="40:42" x14ac:dyDescent="0.3">
      <c r="AN1381">
        <v>1377</v>
      </c>
      <c r="AO1381" s="11">
        <v>35668.089999999997</v>
      </c>
      <c r="AP1381" s="9">
        <v>4.1584813708078014</v>
      </c>
    </row>
    <row r="1382" spans="40:42" x14ac:dyDescent="0.3">
      <c r="AN1382">
        <v>1378</v>
      </c>
      <c r="AO1382" s="11">
        <v>23091.77</v>
      </c>
      <c r="AP1382" s="9">
        <v>3.0456780490243704</v>
      </c>
    </row>
    <row r="1383" spans="40:42" x14ac:dyDescent="0.3">
      <c r="AN1383">
        <v>1379</v>
      </c>
      <c r="AO1383" s="11">
        <v>25012</v>
      </c>
      <c r="AP1383" s="9">
        <v>3.6387485362386309</v>
      </c>
    </row>
    <row r="1384" spans="40:42" x14ac:dyDescent="0.3">
      <c r="AN1384">
        <v>1380</v>
      </c>
      <c r="AO1384" s="11">
        <v>35137.910000000003</v>
      </c>
      <c r="AP1384" s="9">
        <v>3.3879368413193576</v>
      </c>
    </row>
    <row r="1385" spans="40:42" x14ac:dyDescent="0.3">
      <c r="AN1385">
        <v>1381</v>
      </c>
      <c r="AO1385" s="11">
        <v>24563.72</v>
      </c>
      <c r="AP1385" s="9">
        <v>3.1548176047806429</v>
      </c>
    </row>
    <row r="1386" spans="40:42" x14ac:dyDescent="0.3">
      <c r="AN1386">
        <v>1382</v>
      </c>
      <c r="AO1386" s="11">
        <v>30448.58</v>
      </c>
      <c r="AP1386" s="9">
        <v>3.3748941253445515</v>
      </c>
    </row>
    <row r="1387" spans="40:42" x14ac:dyDescent="0.3">
      <c r="AN1387">
        <v>1383</v>
      </c>
      <c r="AO1387" s="11">
        <v>33178.910000000003</v>
      </c>
      <c r="AP1387" s="9">
        <v>3.3968455337668528</v>
      </c>
    </row>
    <row r="1388" spans="40:42" x14ac:dyDescent="0.3">
      <c r="AN1388">
        <v>1384</v>
      </c>
      <c r="AO1388" s="11">
        <v>26899.21</v>
      </c>
      <c r="AP1388" s="9">
        <v>2.8826151067444141</v>
      </c>
    </row>
    <row r="1389" spans="40:42" x14ac:dyDescent="0.3">
      <c r="AN1389">
        <v>1385</v>
      </c>
      <c r="AO1389" s="11">
        <v>22770.66</v>
      </c>
      <c r="AP1389" s="9">
        <v>3.6511198177003377</v>
      </c>
    </row>
    <row r="1390" spans="40:42" x14ac:dyDescent="0.3">
      <c r="AN1390">
        <v>1386</v>
      </c>
      <c r="AO1390" s="11">
        <v>27580.71</v>
      </c>
      <c r="AP1390" s="9">
        <v>3.6053934139403476</v>
      </c>
    </row>
    <row r="1391" spans="40:42" x14ac:dyDescent="0.3">
      <c r="AN1391">
        <v>1387</v>
      </c>
      <c r="AO1391" s="11">
        <v>29188.15</v>
      </c>
      <c r="AP1391" s="9">
        <v>3.4486677046492713</v>
      </c>
    </row>
    <row r="1392" spans="40:42" x14ac:dyDescent="0.3">
      <c r="AN1392">
        <v>1388</v>
      </c>
      <c r="AO1392" s="11">
        <v>25487.18</v>
      </c>
      <c r="AP1392" s="9">
        <v>2.7763112934164145</v>
      </c>
    </row>
    <row r="1393" spans="40:42" x14ac:dyDescent="0.3">
      <c r="AN1393">
        <v>1389</v>
      </c>
      <c r="AO1393" s="11">
        <v>21785.7</v>
      </c>
      <c r="AP1393" s="9">
        <v>3.5817236202029901</v>
      </c>
    </row>
    <row r="1394" spans="40:42" x14ac:dyDescent="0.3">
      <c r="AN1394">
        <v>1390</v>
      </c>
      <c r="AO1394" s="11">
        <v>19713.03</v>
      </c>
      <c r="AP1394" s="9">
        <v>2.958611306583077</v>
      </c>
    </row>
    <row r="1395" spans="40:42" x14ac:dyDescent="0.3">
      <c r="AN1395">
        <v>1391</v>
      </c>
      <c r="AO1395" s="11">
        <v>30095.97</v>
      </c>
      <c r="AP1395" s="9">
        <v>3.6016862910984653</v>
      </c>
    </row>
    <row r="1396" spans="40:42" x14ac:dyDescent="0.3">
      <c r="AN1396">
        <v>1392</v>
      </c>
      <c r="AO1396" s="11">
        <v>32384.080000000002</v>
      </c>
      <c r="AP1396" s="9">
        <v>3.560940318305581</v>
      </c>
    </row>
    <row r="1397" spans="40:42" x14ac:dyDescent="0.3">
      <c r="AN1397">
        <v>1393</v>
      </c>
      <c r="AO1397" s="11">
        <v>28445.72</v>
      </c>
      <c r="AP1397" s="9">
        <v>3.3744323273400423</v>
      </c>
    </row>
    <row r="1398" spans="40:42" x14ac:dyDescent="0.3">
      <c r="AN1398">
        <v>1394</v>
      </c>
      <c r="AO1398" s="11">
        <v>33270.85</v>
      </c>
      <c r="AP1398" s="9">
        <v>3.8172728724106046</v>
      </c>
    </row>
    <row r="1399" spans="40:42" x14ac:dyDescent="0.3">
      <c r="AN1399">
        <v>1395</v>
      </c>
      <c r="AO1399" s="11">
        <v>19386.12</v>
      </c>
      <c r="AP1399" s="9">
        <v>3.2831375843675747</v>
      </c>
    </row>
    <row r="1400" spans="40:42" x14ac:dyDescent="0.3">
      <c r="AN1400">
        <v>1396</v>
      </c>
      <c r="AO1400" s="11">
        <v>24160.34</v>
      </c>
      <c r="AP1400" s="9">
        <v>3.314238213958439</v>
      </c>
    </row>
    <row r="1401" spans="40:42" x14ac:dyDescent="0.3">
      <c r="AN1401">
        <v>1397</v>
      </c>
      <c r="AO1401" s="11">
        <v>32371.919999999998</v>
      </c>
      <c r="AP1401" s="9">
        <v>3.3262803968557852</v>
      </c>
    </row>
    <row r="1402" spans="40:42" x14ac:dyDescent="0.3">
      <c r="AN1402">
        <v>1398</v>
      </c>
      <c r="AO1402" s="11">
        <v>32309.16</v>
      </c>
      <c r="AP1402" s="9">
        <v>3.6432339892035124</v>
      </c>
    </row>
    <row r="1403" spans="40:42" x14ac:dyDescent="0.3">
      <c r="AN1403">
        <v>1399</v>
      </c>
      <c r="AO1403" s="11">
        <v>32715.67</v>
      </c>
      <c r="AP1403" s="9">
        <v>3.7685686076548266</v>
      </c>
    </row>
    <row r="1404" spans="40:42" x14ac:dyDescent="0.3">
      <c r="AN1404">
        <v>1400</v>
      </c>
      <c r="AO1404" s="11">
        <v>22966.27</v>
      </c>
      <c r="AP1404" s="9">
        <v>3.071131017473983</v>
      </c>
    </row>
    <row r="1405" spans="40:42" x14ac:dyDescent="0.3">
      <c r="AN1405">
        <v>1401</v>
      </c>
      <c r="AO1405" s="11">
        <v>14965.38</v>
      </c>
      <c r="AP1405" s="9">
        <v>3.478661783427492</v>
      </c>
    </row>
    <row r="1406" spans="40:42" x14ac:dyDescent="0.3">
      <c r="AN1406">
        <v>1402</v>
      </c>
      <c r="AO1406" s="11">
        <v>21579.13</v>
      </c>
      <c r="AP1406" s="9">
        <v>3.0099557026301764</v>
      </c>
    </row>
    <row r="1407" spans="40:42" x14ac:dyDescent="0.3">
      <c r="AN1407">
        <v>1403</v>
      </c>
      <c r="AO1407" s="11">
        <v>30853.86</v>
      </c>
      <c r="AP1407" s="9">
        <v>4.8205953967921529</v>
      </c>
    </row>
    <row r="1408" spans="40:42" x14ac:dyDescent="0.3">
      <c r="AN1408">
        <v>1404</v>
      </c>
      <c r="AO1408" s="11">
        <v>21074.89</v>
      </c>
      <c r="AP1408" s="9">
        <v>2.9171207607017449</v>
      </c>
    </row>
    <row r="1409" spans="40:42" x14ac:dyDescent="0.3">
      <c r="AN1409">
        <v>1405</v>
      </c>
      <c r="AO1409" s="11">
        <v>27122.61</v>
      </c>
      <c r="AP1409" s="9">
        <v>3.9322121661385507</v>
      </c>
    </row>
    <row r="1410" spans="40:42" x14ac:dyDescent="0.3">
      <c r="AN1410">
        <v>1406</v>
      </c>
      <c r="AO1410" s="11">
        <v>15025.71</v>
      </c>
      <c r="AP1410" s="9">
        <v>3.0147114640321213</v>
      </c>
    </row>
    <row r="1411" spans="40:42" x14ac:dyDescent="0.3">
      <c r="AN1411">
        <v>1407</v>
      </c>
      <c r="AO1411" s="11">
        <v>20693.43</v>
      </c>
      <c r="AP1411" s="9">
        <v>3.2985201433842612</v>
      </c>
    </row>
    <row r="1412" spans="40:42" x14ac:dyDescent="0.3">
      <c r="AN1412">
        <v>1408</v>
      </c>
      <c r="AO1412" s="11">
        <v>19260.48</v>
      </c>
      <c r="AP1412" s="9">
        <v>2.9859432146890867</v>
      </c>
    </row>
    <row r="1413" spans="40:42" x14ac:dyDescent="0.3">
      <c r="AN1413">
        <v>1409</v>
      </c>
      <c r="AO1413" s="11">
        <v>18041.740000000002</v>
      </c>
      <c r="AP1413" s="9">
        <v>2.7269206094075087</v>
      </c>
    </row>
    <row r="1414" spans="40:42" x14ac:dyDescent="0.3">
      <c r="AN1414">
        <v>1410</v>
      </c>
      <c r="AO1414" s="11">
        <v>34080.74</v>
      </c>
      <c r="AP1414" s="9">
        <v>3.1470799516770604</v>
      </c>
    </row>
    <row r="1415" spans="40:42" x14ac:dyDescent="0.3">
      <c r="AN1415">
        <v>1411</v>
      </c>
      <c r="AO1415" s="11">
        <v>21483.61</v>
      </c>
      <c r="AP1415" s="9">
        <v>2.7926414347166486</v>
      </c>
    </row>
    <row r="1416" spans="40:42" x14ac:dyDescent="0.3">
      <c r="AN1416">
        <v>1412</v>
      </c>
      <c r="AO1416" s="11">
        <v>33802.239999999998</v>
      </c>
      <c r="AP1416" s="9">
        <v>3.2034176335087228</v>
      </c>
    </row>
    <row r="1417" spans="40:42" x14ac:dyDescent="0.3">
      <c r="AN1417">
        <v>1413</v>
      </c>
      <c r="AO1417" s="11">
        <v>20262.11</v>
      </c>
      <c r="AP1417" s="9">
        <v>2.8665488455559558</v>
      </c>
    </row>
    <row r="1418" spans="40:42" x14ac:dyDescent="0.3">
      <c r="AN1418">
        <v>1414</v>
      </c>
      <c r="AO1418" s="11">
        <v>25501.38</v>
      </c>
      <c r="AP1418" s="9">
        <v>3.278788178709227</v>
      </c>
    </row>
    <row r="1419" spans="40:42" x14ac:dyDescent="0.3">
      <c r="AN1419">
        <v>1415</v>
      </c>
      <c r="AO1419" s="11">
        <v>16906.93</v>
      </c>
      <c r="AP1419" s="9">
        <v>2.8787240950101536</v>
      </c>
    </row>
    <row r="1420" spans="40:42" x14ac:dyDescent="0.3">
      <c r="AN1420">
        <v>1416</v>
      </c>
      <c r="AO1420" s="11">
        <v>22756.35</v>
      </c>
      <c r="AP1420" s="9">
        <v>3.1781657579322253</v>
      </c>
    </row>
    <row r="1421" spans="40:42" x14ac:dyDescent="0.3">
      <c r="AN1421">
        <v>1417</v>
      </c>
      <c r="AO1421" s="11">
        <v>15424.08</v>
      </c>
      <c r="AP1421" s="9">
        <v>2.8911536038799994</v>
      </c>
    </row>
    <row r="1422" spans="40:42" x14ac:dyDescent="0.3">
      <c r="AN1422">
        <v>1418</v>
      </c>
      <c r="AO1422" s="11">
        <v>19914.16</v>
      </c>
      <c r="AP1422" s="9">
        <v>2.8137932909610459</v>
      </c>
    </row>
    <row r="1423" spans="40:42" x14ac:dyDescent="0.3">
      <c r="AN1423">
        <v>1419</v>
      </c>
      <c r="AO1423" s="11">
        <v>20485.21</v>
      </c>
      <c r="AP1423" s="9">
        <v>3.507799172960548</v>
      </c>
    </row>
    <row r="1424" spans="40:42" x14ac:dyDescent="0.3">
      <c r="AN1424">
        <v>1420</v>
      </c>
      <c r="AO1424" s="11">
        <v>30090.98</v>
      </c>
      <c r="AP1424" s="9">
        <v>3.0827342325443796</v>
      </c>
    </row>
    <row r="1425" spans="40:42" x14ac:dyDescent="0.3">
      <c r="AN1425">
        <v>1421</v>
      </c>
      <c r="AO1425" s="11">
        <v>36630.800000000003</v>
      </c>
      <c r="AP1425" s="9">
        <v>3.5528713730230002</v>
      </c>
    </row>
    <row r="1426" spans="40:42" x14ac:dyDescent="0.3">
      <c r="AN1426">
        <v>1422</v>
      </c>
      <c r="AO1426" s="11">
        <v>13109.44</v>
      </c>
      <c r="AP1426" s="9">
        <v>3.1091230556340816</v>
      </c>
    </row>
    <row r="1427" spans="40:42" x14ac:dyDescent="0.3">
      <c r="AN1427">
        <v>1423</v>
      </c>
      <c r="AO1427" s="11">
        <v>22091.8</v>
      </c>
      <c r="AP1427" s="9">
        <v>3.5180240806125593</v>
      </c>
    </row>
    <row r="1428" spans="40:42" x14ac:dyDescent="0.3">
      <c r="AN1428">
        <v>1424</v>
      </c>
      <c r="AO1428" s="11">
        <v>27184.58</v>
      </c>
      <c r="AP1428" s="9">
        <v>3.3215619288802696</v>
      </c>
    </row>
    <row r="1429" spans="40:42" x14ac:dyDescent="0.3">
      <c r="AN1429">
        <v>1425</v>
      </c>
      <c r="AO1429" s="11">
        <v>32172.959999999999</v>
      </c>
      <c r="AP1429" s="9">
        <v>3.2106789941331564</v>
      </c>
    </row>
    <row r="1430" spans="40:42" x14ac:dyDescent="0.3">
      <c r="AN1430">
        <v>1426</v>
      </c>
      <c r="AO1430" s="11">
        <v>26933.83</v>
      </c>
      <c r="AP1430" s="9">
        <v>3.6083868212443808</v>
      </c>
    </row>
    <row r="1431" spans="40:42" x14ac:dyDescent="0.3">
      <c r="AN1431">
        <v>1427</v>
      </c>
      <c r="AO1431" s="11">
        <v>20776.490000000002</v>
      </c>
      <c r="AP1431" s="9">
        <v>2.9291517709863641</v>
      </c>
    </row>
    <row r="1432" spans="40:42" x14ac:dyDescent="0.3">
      <c r="AN1432">
        <v>1428</v>
      </c>
      <c r="AO1432" s="11">
        <v>18843.87</v>
      </c>
      <c r="AP1432" s="9">
        <v>3.1953220161016076</v>
      </c>
    </row>
    <row r="1433" spans="40:42" x14ac:dyDescent="0.3">
      <c r="AN1433">
        <v>1429</v>
      </c>
      <c r="AO1433" s="11">
        <v>34412.269999999997</v>
      </c>
      <c r="AP1433" s="9">
        <v>3.5104452374475508</v>
      </c>
    </row>
    <row r="1434" spans="40:42" x14ac:dyDescent="0.3">
      <c r="AN1434">
        <v>1430</v>
      </c>
      <c r="AO1434" s="11">
        <v>18009.27</v>
      </c>
      <c r="AP1434" s="9">
        <v>2.9554882498716353</v>
      </c>
    </row>
    <row r="1435" spans="40:42" x14ac:dyDescent="0.3">
      <c r="AN1435">
        <v>1431</v>
      </c>
      <c r="AO1435" s="11">
        <v>18099.23</v>
      </c>
      <c r="AP1435" s="9">
        <v>2.6751855475353845</v>
      </c>
    </row>
    <row r="1436" spans="40:42" x14ac:dyDescent="0.3">
      <c r="AN1436">
        <v>1432</v>
      </c>
      <c r="AO1436" s="11">
        <v>21878.66</v>
      </c>
      <c r="AP1436" s="9">
        <v>2.5801092560220686</v>
      </c>
    </row>
    <row r="1437" spans="40:42" x14ac:dyDescent="0.3">
      <c r="AN1437">
        <v>1433</v>
      </c>
      <c r="AO1437" s="11">
        <v>25766.29</v>
      </c>
      <c r="AP1437" s="9">
        <v>3.0621952046286594</v>
      </c>
    </row>
    <row r="1438" spans="40:42" x14ac:dyDescent="0.3">
      <c r="AN1438">
        <v>1434</v>
      </c>
      <c r="AO1438" s="11">
        <v>22770.22</v>
      </c>
      <c r="AP1438" s="9">
        <v>2.8765861611644583</v>
      </c>
    </row>
    <row r="1439" spans="40:42" x14ac:dyDescent="0.3">
      <c r="AN1439">
        <v>1435</v>
      </c>
      <c r="AO1439" s="11">
        <v>26817.919999999998</v>
      </c>
      <c r="AP1439" s="9">
        <v>3.206028811431104</v>
      </c>
    </row>
    <row r="1440" spans="40:42" x14ac:dyDescent="0.3">
      <c r="AN1440">
        <v>1436</v>
      </c>
      <c r="AO1440" s="11">
        <v>26491.24</v>
      </c>
      <c r="AP1440" s="9">
        <v>3.2465949866579438</v>
      </c>
    </row>
    <row r="1441" spans="40:42" x14ac:dyDescent="0.3">
      <c r="AN1441">
        <v>1437</v>
      </c>
      <c r="AO1441" s="11">
        <v>21260.09</v>
      </c>
      <c r="AP1441" s="9">
        <v>2.9587760700296157</v>
      </c>
    </row>
    <row r="1442" spans="40:42" x14ac:dyDescent="0.3">
      <c r="AN1442">
        <v>1438</v>
      </c>
      <c r="AO1442" s="11">
        <v>29981.759999999998</v>
      </c>
      <c r="AP1442" s="9">
        <v>3.3214431461437797</v>
      </c>
    </row>
    <row r="1443" spans="40:42" x14ac:dyDescent="0.3">
      <c r="AN1443">
        <v>1439</v>
      </c>
      <c r="AO1443" s="11">
        <v>32253.82</v>
      </c>
      <c r="AP1443" s="9">
        <v>3.0965005556912457</v>
      </c>
    </row>
    <row r="1444" spans="40:42" x14ac:dyDescent="0.3">
      <c r="AN1444">
        <v>1440</v>
      </c>
      <c r="AO1444" s="11">
        <v>18063.72</v>
      </c>
      <c r="AP1444" s="9">
        <v>2.5836352211428517</v>
      </c>
    </row>
    <row r="1445" spans="40:42" x14ac:dyDescent="0.3">
      <c r="AN1445">
        <v>1441</v>
      </c>
      <c r="AO1445" s="11">
        <v>25667.46</v>
      </c>
      <c r="AP1445" s="9">
        <v>3.1813512651243707</v>
      </c>
    </row>
    <row r="1446" spans="40:42" x14ac:dyDescent="0.3">
      <c r="AN1446">
        <v>1442</v>
      </c>
      <c r="AO1446" s="11">
        <v>26425.68</v>
      </c>
      <c r="AP1446" s="9">
        <v>3.0785124814877696</v>
      </c>
    </row>
    <row r="1447" spans="40:42" x14ac:dyDescent="0.3">
      <c r="AN1447">
        <v>1443</v>
      </c>
      <c r="AO1447" s="11">
        <v>39696.01</v>
      </c>
      <c r="AP1447" s="9">
        <v>3.1934954769293284</v>
      </c>
    </row>
    <row r="1448" spans="40:42" x14ac:dyDescent="0.3">
      <c r="AN1448">
        <v>1444</v>
      </c>
      <c r="AO1448" s="11">
        <v>21591.68</v>
      </c>
      <c r="AP1448" s="9">
        <v>3.5093588906147906</v>
      </c>
    </row>
    <row r="1449" spans="40:42" x14ac:dyDescent="0.3">
      <c r="AN1449">
        <v>1445</v>
      </c>
      <c r="AO1449" s="11">
        <v>30346.78</v>
      </c>
      <c r="AP1449" s="9">
        <v>2.7625664326405137</v>
      </c>
    </row>
    <row r="1450" spans="40:42" x14ac:dyDescent="0.3">
      <c r="AN1450">
        <v>1446</v>
      </c>
      <c r="AO1450" s="11">
        <v>21765.49</v>
      </c>
      <c r="AP1450" s="9">
        <v>3.7796623948549763</v>
      </c>
    </row>
    <row r="1451" spans="40:42" x14ac:dyDescent="0.3">
      <c r="AN1451">
        <v>1447</v>
      </c>
      <c r="AO1451" s="11">
        <v>34995.279999999999</v>
      </c>
      <c r="AP1451" s="9">
        <v>3.6682572765029806</v>
      </c>
    </row>
    <row r="1452" spans="40:42" x14ac:dyDescent="0.3">
      <c r="AN1452">
        <v>1448</v>
      </c>
      <c r="AO1452" s="11">
        <v>17287.63</v>
      </c>
      <c r="AP1452" s="9">
        <v>3.3618834027283495</v>
      </c>
    </row>
    <row r="1453" spans="40:42" x14ac:dyDescent="0.3">
      <c r="AN1453">
        <v>1449</v>
      </c>
      <c r="AO1453" s="11">
        <v>39141.769999999997</v>
      </c>
      <c r="AP1453" s="9">
        <v>3.5403746526809781</v>
      </c>
    </row>
    <row r="1454" spans="40:42" x14ac:dyDescent="0.3">
      <c r="AN1454">
        <v>1450</v>
      </c>
      <c r="AO1454" s="11">
        <v>19765.810000000001</v>
      </c>
      <c r="AP1454" s="9">
        <v>3.3074401699788911</v>
      </c>
    </row>
    <row r="1455" spans="40:42" x14ac:dyDescent="0.3">
      <c r="AN1455">
        <v>1451</v>
      </c>
      <c r="AO1455" s="11">
        <v>36600.26</v>
      </c>
      <c r="AP1455" s="9">
        <v>3.3670023569450755</v>
      </c>
    </row>
    <row r="1456" spans="40:42" x14ac:dyDescent="0.3">
      <c r="AN1456">
        <v>1452</v>
      </c>
      <c r="AO1456" s="11">
        <v>26359.51</v>
      </c>
      <c r="AP1456" s="9">
        <v>3.7259872419463029</v>
      </c>
    </row>
    <row r="1457" spans="40:42" x14ac:dyDescent="0.3">
      <c r="AN1457">
        <v>1453</v>
      </c>
      <c r="AO1457" s="11">
        <v>17862.14</v>
      </c>
      <c r="AP1457" s="9">
        <v>2.9703663138238765</v>
      </c>
    </row>
    <row r="1458" spans="40:42" x14ac:dyDescent="0.3">
      <c r="AN1458">
        <v>1454</v>
      </c>
      <c r="AO1458" s="11">
        <v>26154.5</v>
      </c>
      <c r="AP1458" s="9">
        <v>3.8360671872218477</v>
      </c>
    </row>
    <row r="1459" spans="40:42" x14ac:dyDescent="0.3">
      <c r="AN1459">
        <v>1455</v>
      </c>
      <c r="AO1459" s="11">
        <v>18710.84</v>
      </c>
      <c r="AP1459" s="9">
        <v>3.1109102156491337</v>
      </c>
    </row>
    <row r="1460" spans="40:42" x14ac:dyDescent="0.3">
      <c r="AN1460">
        <v>1456</v>
      </c>
      <c r="AO1460" s="11">
        <v>28371.42</v>
      </c>
      <c r="AP1460" s="9">
        <v>3.440195612800848</v>
      </c>
    </row>
    <row r="1461" spans="40:42" x14ac:dyDescent="0.3">
      <c r="AN1461">
        <v>1457</v>
      </c>
      <c r="AO1461" s="11">
        <v>39405.06</v>
      </c>
      <c r="AP1461" s="9">
        <v>3.873887450258132</v>
      </c>
    </row>
    <row r="1462" spans="40:42" x14ac:dyDescent="0.3">
      <c r="AN1462">
        <v>1458</v>
      </c>
      <c r="AO1462" s="11">
        <v>36476.06</v>
      </c>
      <c r="AP1462" s="9">
        <v>4.061609068420962</v>
      </c>
    </row>
    <row r="1463" spans="40:42" x14ac:dyDescent="0.3">
      <c r="AN1463">
        <v>1459</v>
      </c>
      <c r="AO1463" s="11">
        <v>26122.16</v>
      </c>
      <c r="AP1463" s="9">
        <v>3.2014999785126319</v>
      </c>
    </row>
    <row r="1464" spans="40:42" x14ac:dyDescent="0.3">
      <c r="AN1464">
        <v>1460</v>
      </c>
      <c r="AO1464" s="11">
        <v>30432.19</v>
      </c>
      <c r="AP1464" s="9">
        <v>3.9332170298596827</v>
      </c>
    </row>
    <row r="1465" spans="40:42" x14ac:dyDescent="0.3">
      <c r="AN1465">
        <v>1461</v>
      </c>
      <c r="AO1465" s="11">
        <v>30756.36</v>
      </c>
      <c r="AP1465" s="9">
        <v>3.2877643683255502</v>
      </c>
    </row>
    <row r="1466" spans="40:42" x14ac:dyDescent="0.3">
      <c r="AN1466">
        <v>1462</v>
      </c>
      <c r="AO1466" s="11">
        <v>32848.769999999997</v>
      </c>
      <c r="AP1466" s="9">
        <v>3.8841095644694272</v>
      </c>
    </row>
    <row r="1467" spans="40:42" x14ac:dyDescent="0.3">
      <c r="AN1467">
        <v>1463</v>
      </c>
      <c r="AO1467" s="11">
        <v>20482.66</v>
      </c>
      <c r="AP1467" s="9">
        <v>3.8104895313081117</v>
      </c>
    </row>
    <row r="1468" spans="40:42" x14ac:dyDescent="0.3">
      <c r="AN1468">
        <v>1464</v>
      </c>
      <c r="AO1468" s="11">
        <v>31616.98</v>
      </c>
      <c r="AP1468" s="9">
        <v>3.2359248820505178</v>
      </c>
    </row>
    <row r="1469" spans="40:42" x14ac:dyDescent="0.3">
      <c r="AN1469">
        <v>1465</v>
      </c>
      <c r="AO1469" s="11">
        <v>21556.77</v>
      </c>
      <c r="AP1469" s="9">
        <v>2.9504079697745866</v>
      </c>
    </row>
    <row r="1470" spans="40:42" x14ac:dyDescent="0.3">
      <c r="AN1470">
        <v>1466</v>
      </c>
      <c r="AO1470" s="11">
        <v>40822.58</v>
      </c>
      <c r="AP1470" s="9">
        <v>3.0674213955234197</v>
      </c>
    </row>
    <row r="1471" spans="40:42" x14ac:dyDescent="0.3">
      <c r="AN1471">
        <v>1467</v>
      </c>
      <c r="AO1471" s="11">
        <v>26731.37</v>
      </c>
      <c r="AP1471" s="9">
        <v>4.1732365050498936</v>
      </c>
    </row>
    <row r="1472" spans="40:42" x14ac:dyDescent="0.3">
      <c r="AN1472">
        <v>1468</v>
      </c>
      <c r="AO1472" s="11">
        <v>25731.79</v>
      </c>
      <c r="AP1472" s="9">
        <v>4.1216998715476301</v>
      </c>
    </row>
    <row r="1473" spans="40:42" x14ac:dyDescent="0.3">
      <c r="AN1473">
        <v>1469</v>
      </c>
      <c r="AO1473" s="11">
        <v>21413.279999999999</v>
      </c>
      <c r="AP1473" s="9">
        <v>3.1975723085311847</v>
      </c>
    </row>
    <row r="1474" spans="40:42" x14ac:dyDescent="0.3">
      <c r="AN1474">
        <v>1470</v>
      </c>
      <c r="AO1474" s="11">
        <v>29099.81</v>
      </c>
      <c r="AP1474" s="9">
        <v>3.3848498426964544</v>
      </c>
    </row>
    <row r="1475" spans="40:42" x14ac:dyDescent="0.3">
      <c r="AN1475">
        <v>1471</v>
      </c>
      <c r="AO1475" s="11">
        <v>29977.01</v>
      </c>
      <c r="AP1475" s="9">
        <v>3.0028502637192074</v>
      </c>
    </row>
    <row r="1476" spans="40:42" x14ac:dyDescent="0.3">
      <c r="AN1476">
        <v>1472</v>
      </c>
      <c r="AO1476" s="11">
        <v>31213.78</v>
      </c>
      <c r="AP1476" s="9">
        <v>4.0977556567673012</v>
      </c>
    </row>
    <row r="1477" spans="40:42" x14ac:dyDescent="0.3">
      <c r="AN1477">
        <v>1473</v>
      </c>
      <c r="AO1477" s="11">
        <v>18032.13</v>
      </c>
      <c r="AP1477" s="9">
        <v>3.1463917272135684</v>
      </c>
    </row>
    <row r="1478" spans="40:42" x14ac:dyDescent="0.3">
      <c r="AN1478">
        <v>1474</v>
      </c>
      <c r="AO1478" s="11">
        <v>20338.21</v>
      </c>
      <c r="AP1478" s="9">
        <v>3.3097895271426649</v>
      </c>
    </row>
    <row r="1479" spans="40:42" x14ac:dyDescent="0.3">
      <c r="AN1479">
        <v>1475</v>
      </c>
      <c r="AO1479" s="11">
        <v>47087.87</v>
      </c>
      <c r="AP1479" s="9">
        <v>3.5422956959723795</v>
      </c>
    </row>
    <row r="1480" spans="40:42" x14ac:dyDescent="0.3">
      <c r="AN1480">
        <v>1476</v>
      </c>
      <c r="AO1480" s="11">
        <v>36565.360000000001</v>
      </c>
      <c r="AP1480" s="9">
        <v>4.2111103186126995</v>
      </c>
    </row>
    <row r="1481" spans="40:42" x14ac:dyDescent="0.3">
      <c r="AN1481">
        <v>1477</v>
      </c>
      <c r="AO1481" s="11">
        <v>26577.91</v>
      </c>
      <c r="AP1481" s="9">
        <v>3.1937805501803123</v>
      </c>
    </row>
    <row r="1482" spans="40:42" x14ac:dyDescent="0.3">
      <c r="AN1482">
        <v>1478</v>
      </c>
      <c r="AO1482" s="11">
        <v>37467.14</v>
      </c>
      <c r="AP1482" s="9">
        <v>3.5256181486027143</v>
      </c>
    </row>
    <row r="1483" spans="40:42" x14ac:dyDescent="0.3">
      <c r="AN1483">
        <v>1479</v>
      </c>
      <c r="AO1483" s="11">
        <v>25782.79</v>
      </c>
      <c r="AP1483" s="9">
        <v>2.8564389261861458</v>
      </c>
    </row>
    <row r="1484" spans="40:42" x14ac:dyDescent="0.3">
      <c r="AN1484">
        <v>1480</v>
      </c>
      <c r="AO1484" s="11">
        <v>28990.07</v>
      </c>
      <c r="AP1484" s="9">
        <v>3.5714815635164832</v>
      </c>
    </row>
    <row r="1485" spans="40:42" x14ac:dyDescent="0.3">
      <c r="AN1485">
        <v>1481</v>
      </c>
      <c r="AO1485" s="11">
        <v>31193.05</v>
      </c>
      <c r="AP1485" s="9">
        <v>3.2514347238431376</v>
      </c>
    </row>
    <row r="1486" spans="40:42" x14ac:dyDescent="0.3">
      <c r="AN1486">
        <v>1482</v>
      </c>
      <c r="AO1486" s="11">
        <v>25552.87</v>
      </c>
      <c r="AP1486" s="9">
        <v>3.2928384967041717</v>
      </c>
    </row>
    <row r="1487" spans="40:42" x14ac:dyDescent="0.3">
      <c r="AN1487">
        <v>1483</v>
      </c>
      <c r="AO1487" s="11">
        <v>44218.76</v>
      </c>
      <c r="AP1487" s="9">
        <v>4.5704220180004711</v>
      </c>
    </row>
    <row r="1488" spans="40:42" x14ac:dyDescent="0.3">
      <c r="AN1488">
        <v>1484</v>
      </c>
      <c r="AO1488" s="11">
        <v>34195.550000000003</v>
      </c>
      <c r="AP1488" s="9">
        <v>3.4037574064936322</v>
      </c>
    </row>
    <row r="1489" spans="40:42" x14ac:dyDescent="0.3">
      <c r="AN1489">
        <v>1485</v>
      </c>
      <c r="AO1489" s="11">
        <v>35032.699999999997</v>
      </c>
      <c r="AP1489" s="9">
        <v>4.1514344956943603</v>
      </c>
    </row>
    <row r="1490" spans="40:42" x14ac:dyDescent="0.3">
      <c r="AN1490">
        <v>1486</v>
      </c>
      <c r="AO1490" s="11">
        <v>24665.49</v>
      </c>
      <c r="AP1490" s="9">
        <v>3.5726796600285171</v>
      </c>
    </row>
    <row r="1491" spans="40:42" x14ac:dyDescent="0.3">
      <c r="AN1491">
        <v>1487</v>
      </c>
      <c r="AO1491" s="11">
        <v>26795.15</v>
      </c>
      <c r="AP1491" s="9">
        <v>3.6131864962773932</v>
      </c>
    </row>
    <row r="1492" spans="40:42" x14ac:dyDescent="0.3">
      <c r="AN1492">
        <v>1488</v>
      </c>
      <c r="AO1492" s="11">
        <v>30287.279999999999</v>
      </c>
      <c r="AP1492" s="9">
        <v>3.315262007531059</v>
      </c>
    </row>
    <row r="1493" spans="40:42" x14ac:dyDescent="0.3">
      <c r="AN1493">
        <v>1489</v>
      </c>
      <c r="AO1493" s="11">
        <v>43573.61</v>
      </c>
      <c r="AP1493" s="9">
        <v>3.7920642948586361</v>
      </c>
    </row>
    <row r="1494" spans="40:42" x14ac:dyDescent="0.3">
      <c r="AN1494">
        <v>1490</v>
      </c>
      <c r="AO1494" s="11">
        <v>50289.83</v>
      </c>
      <c r="AP1494" s="9">
        <v>4.4034656919045467</v>
      </c>
    </row>
    <row r="1495" spans="40:42" x14ac:dyDescent="0.3">
      <c r="AN1495">
        <v>1491</v>
      </c>
      <c r="AO1495" s="11">
        <v>31640.17</v>
      </c>
      <c r="AP1495" s="9">
        <v>3.6362715959975822</v>
      </c>
    </row>
    <row r="1496" spans="40:42" x14ac:dyDescent="0.3">
      <c r="AN1496">
        <v>1492</v>
      </c>
      <c r="AO1496" s="11">
        <v>19570.68</v>
      </c>
      <c r="AP1496" s="9">
        <v>2.9395298132308474</v>
      </c>
    </row>
    <row r="1497" spans="40:42" x14ac:dyDescent="0.3">
      <c r="AN1497">
        <v>1493</v>
      </c>
      <c r="AO1497" s="11">
        <v>23829.13</v>
      </c>
      <c r="AP1497" s="9">
        <v>3.4507395526036051</v>
      </c>
    </row>
    <row r="1498" spans="40:42" x14ac:dyDescent="0.3">
      <c r="AN1498">
        <v>1494</v>
      </c>
      <c r="AO1498" s="11">
        <v>18188.61</v>
      </c>
      <c r="AP1498" s="9">
        <v>3.3223359413968323</v>
      </c>
    </row>
    <row r="1499" spans="40:42" x14ac:dyDescent="0.3">
      <c r="AN1499">
        <v>1495</v>
      </c>
      <c r="AO1499" s="11">
        <v>23485.83</v>
      </c>
      <c r="AP1499" s="9">
        <v>3.2226085472434063</v>
      </c>
    </row>
    <row r="1500" spans="40:42" x14ac:dyDescent="0.3">
      <c r="AN1500">
        <v>1496</v>
      </c>
      <c r="AO1500" s="11">
        <v>23083.63</v>
      </c>
      <c r="AP1500" s="9">
        <v>3.0994546184072558</v>
      </c>
    </row>
    <row r="1501" spans="40:42" x14ac:dyDescent="0.3">
      <c r="AN1501">
        <v>1497</v>
      </c>
      <c r="AO1501" s="11">
        <v>22157.439999999999</v>
      </c>
      <c r="AP1501" s="9">
        <v>2.6452208166282682</v>
      </c>
    </row>
    <row r="1502" spans="40:42" x14ac:dyDescent="0.3">
      <c r="AN1502">
        <v>1498</v>
      </c>
      <c r="AO1502" s="11">
        <v>39861.199999999997</v>
      </c>
      <c r="AP1502" s="9">
        <v>4.0317957939751716</v>
      </c>
    </row>
    <row r="1503" spans="40:42" x14ac:dyDescent="0.3">
      <c r="AN1503">
        <v>1499</v>
      </c>
      <c r="AO1503" s="11">
        <v>29556.47</v>
      </c>
      <c r="AP1503" s="9">
        <v>3.864301706691875</v>
      </c>
    </row>
    <row r="1504" spans="40:42" x14ac:dyDescent="0.3">
      <c r="AN1504">
        <v>1500</v>
      </c>
      <c r="AO1504" s="11">
        <v>15766.64</v>
      </c>
      <c r="AP1504" s="9">
        <v>2.9821159771988857</v>
      </c>
    </row>
    <row r="1505" spans="40:42" x14ac:dyDescent="0.3">
      <c r="AN1505">
        <v>1501</v>
      </c>
      <c r="AO1505" s="11">
        <v>26219.49</v>
      </c>
      <c r="AP1505" s="9">
        <v>3.7897495039781495</v>
      </c>
    </row>
    <row r="1506" spans="40:42" x14ac:dyDescent="0.3">
      <c r="AN1506">
        <v>1502</v>
      </c>
      <c r="AO1506" s="11">
        <v>34015.54</v>
      </c>
      <c r="AP1506" s="9">
        <v>2.9304832398805831</v>
      </c>
    </row>
    <row r="1507" spans="40:42" x14ac:dyDescent="0.3">
      <c r="AN1507">
        <v>1503</v>
      </c>
      <c r="AO1507" s="11">
        <v>26307.57</v>
      </c>
      <c r="AP1507" s="9">
        <v>3.8175124596623609</v>
      </c>
    </row>
    <row r="1508" spans="40:42" x14ac:dyDescent="0.3">
      <c r="AN1508">
        <v>1504</v>
      </c>
      <c r="AO1508" s="11">
        <v>30262.12</v>
      </c>
      <c r="AP1508" s="9">
        <v>3.501873873507956</v>
      </c>
    </row>
    <row r="1509" spans="40:42" x14ac:dyDescent="0.3">
      <c r="AN1509">
        <v>1505</v>
      </c>
      <c r="AO1509" s="11">
        <v>20960.330000000002</v>
      </c>
      <c r="AP1509" s="9">
        <v>3.2347429317986554</v>
      </c>
    </row>
    <row r="1510" spans="40:42" x14ac:dyDescent="0.3">
      <c r="AN1510">
        <v>1506</v>
      </c>
      <c r="AO1510" s="11">
        <v>22317.78</v>
      </c>
      <c r="AP1510" s="9">
        <v>3.0619496384529894</v>
      </c>
    </row>
    <row r="1511" spans="40:42" x14ac:dyDescent="0.3">
      <c r="AN1511">
        <v>1507</v>
      </c>
      <c r="AO1511" s="11">
        <v>17167.55</v>
      </c>
      <c r="AP1511" s="9">
        <v>3.1237993267777275</v>
      </c>
    </row>
    <row r="1512" spans="40:42" x14ac:dyDescent="0.3">
      <c r="AN1512">
        <v>1508</v>
      </c>
      <c r="AO1512" s="11">
        <v>35943.61</v>
      </c>
      <c r="AP1512" s="9">
        <v>3.1770367290850636</v>
      </c>
    </row>
    <row r="1513" spans="40:42" x14ac:dyDescent="0.3">
      <c r="AN1513">
        <v>1509</v>
      </c>
      <c r="AO1513" s="11">
        <v>34654.71</v>
      </c>
      <c r="AP1513" s="9">
        <v>3.3645805509043818</v>
      </c>
    </row>
    <row r="1514" spans="40:42" x14ac:dyDescent="0.3">
      <c r="AN1514">
        <v>1510</v>
      </c>
      <c r="AO1514" s="11">
        <v>25246.09</v>
      </c>
      <c r="AP1514" s="9">
        <v>3.3356405862590961</v>
      </c>
    </row>
    <row r="1515" spans="40:42" x14ac:dyDescent="0.3">
      <c r="AN1515">
        <v>1511</v>
      </c>
      <c r="AO1515" s="11">
        <v>20412.91</v>
      </c>
      <c r="AP1515" s="9">
        <v>2.9644627535614494</v>
      </c>
    </row>
    <row r="1516" spans="40:42" x14ac:dyDescent="0.3">
      <c r="AN1516">
        <v>1512</v>
      </c>
      <c r="AO1516" s="11">
        <v>12379.04</v>
      </c>
      <c r="AP1516" s="9">
        <v>2.925048660554765</v>
      </c>
    </row>
    <row r="1517" spans="40:42" x14ac:dyDescent="0.3">
      <c r="AN1517">
        <v>1513</v>
      </c>
      <c r="AO1517" s="11">
        <v>28319.119999999999</v>
      </c>
      <c r="AP1517" s="9">
        <v>3.8711284091328513</v>
      </c>
    </row>
    <row r="1518" spans="40:42" x14ac:dyDescent="0.3">
      <c r="AN1518">
        <v>1514</v>
      </c>
      <c r="AO1518" s="11">
        <v>25887.69</v>
      </c>
      <c r="AP1518" s="9">
        <v>3.4809064292250818</v>
      </c>
    </row>
    <row r="1519" spans="40:42" x14ac:dyDescent="0.3">
      <c r="AN1519">
        <v>1515</v>
      </c>
      <c r="AO1519" s="11">
        <v>22599.54</v>
      </c>
      <c r="AP1519" s="9">
        <v>3.0297885865078373</v>
      </c>
    </row>
    <row r="1520" spans="40:42" x14ac:dyDescent="0.3">
      <c r="AN1520">
        <v>1516</v>
      </c>
      <c r="AO1520" s="11">
        <v>46820.62</v>
      </c>
      <c r="AP1520" s="9">
        <v>4.2757862296527334</v>
      </c>
    </row>
    <row r="1521" spans="40:42" x14ac:dyDescent="0.3">
      <c r="AN1521">
        <v>1517</v>
      </c>
      <c r="AO1521" s="11">
        <v>23885.88</v>
      </c>
      <c r="AP1521" s="9">
        <v>3.3800286601714382</v>
      </c>
    </row>
    <row r="1522" spans="40:42" x14ac:dyDescent="0.3">
      <c r="AN1522">
        <v>1518</v>
      </c>
      <c r="AO1522" s="11">
        <v>46046.81</v>
      </c>
      <c r="AP1522" s="9">
        <v>4.3989710269139231</v>
      </c>
    </row>
    <row r="1523" spans="40:42" x14ac:dyDescent="0.3">
      <c r="AN1523">
        <v>1519</v>
      </c>
      <c r="AO1523" s="11">
        <v>28073.23</v>
      </c>
      <c r="AP1523" s="9">
        <v>2.8508934481743902</v>
      </c>
    </row>
    <row r="1524" spans="40:42" x14ac:dyDescent="0.3">
      <c r="AN1524">
        <v>1520</v>
      </c>
      <c r="AO1524" s="11">
        <v>27105.7</v>
      </c>
      <c r="AP1524" s="9">
        <v>3.479189701267646</v>
      </c>
    </row>
    <row r="1525" spans="40:42" x14ac:dyDescent="0.3">
      <c r="AN1525">
        <v>1521</v>
      </c>
      <c r="AO1525" s="11">
        <v>22800.68</v>
      </c>
      <c r="AP1525" s="9">
        <v>3.7469992664500991</v>
      </c>
    </row>
    <row r="1526" spans="40:42" x14ac:dyDescent="0.3">
      <c r="AN1526">
        <v>1522</v>
      </c>
      <c r="AO1526" s="11">
        <v>33811.65</v>
      </c>
      <c r="AP1526" s="9">
        <v>3.6631773146335571</v>
      </c>
    </row>
    <row r="1527" spans="40:42" x14ac:dyDescent="0.3">
      <c r="AN1527">
        <v>1523</v>
      </c>
      <c r="AO1527" s="11">
        <v>22617.18</v>
      </c>
      <c r="AP1527" s="9">
        <v>3.3161111875031009</v>
      </c>
    </row>
    <row r="1528" spans="40:42" x14ac:dyDescent="0.3">
      <c r="AN1528">
        <v>1524</v>
      </c>
      <c r="AO1528" s="11">
        <v>21273.96</v>
      </c>
      <c r="AP1528" s="9">
        <v>2.8851758384025947</v>
      </c>
    </row>
    <row r="1529" spans="40:42" x14ac:dyDescent="0.3">
      <c r="AN1529">
        <v>1525</v>
      </c>
      <c r="AO1529" s="11">
        <v>27858.98</v>
      </c>
      <c r="AP1529" s="9">
        <v>3.7547413859998331</v>
      </c>
    </row>
    <row r="1530" spans="40:42" x14ac:dyDescent="0.3">
      <c r="AN1530">
        <v>1526</v>
      </c>
      <c r="AO1530" s="11">
        <v>26317.39</v>
      </c>
      <c r="AP1530" s="9">
        <v>3.5801094106214246</v>
      </c>
    </row>
    <row r="1531" spans="40:42" x14ac:dyDescent="0.3">
      <c r="AN1531">
        <v>1527</v>
      </c>
      <c r="AO1531" s="11">
        <v>19581.490000000002</v>
      </c>
      <c r="AP1531" s="9">
        <v>2.8954707820534371</v>
      </c>
    </row>
    <row r="1532" spans="40:42" x14ac:dyDescent="0.3">
      <c r="AN1532">
        <v>1528</v>
      </c>
      <c r="AO1532" s="11">
        <v>39447.18</v>
      </c>
      <c r="AP1532" s="9">
        <v>3.5316740425889344</v>
      </c>
    </row>
    <row r="1533" spans="40:42" x14ac:dyDescent="0.3">
      <c r="AN1533">
        <v>1529</v>
      </c>
      <c r="AO1533" s="11">
        <v>21223.85</v>
      </c>
      <c r="AP1533" s="9">
        <v>2.6061658835250365</v>
      </c>
    </row>
    <row r="1534" spans="40:42" x14ac:dyDescent="0.3">
      <c r="AN1534">
        <v>1530</v>
      </c>
      <c r="AO1534" s="11">
        <v>23953.49</v>
      </c>
      <c r="AP1534" s="9">
        <v>3.1970490844841053</v>
      </c>
    </row>
    <row r="1535" spans="40:42" x14ac:dyDescent="0.3">
      <c r="AN1535">
        <v>1531</v>
      </c>
      <c r="AO1535" s="11">
        <v>36293.93</v>
      </c>
      <c r="AP1535" s="9">
        <v>3.7355814418938635</v>
      </c>
    </row>
    <row r="1536" spans="40:42" x14ac:dyDescent="0.3">
      <c r="AN1536">
        <v>1532</v>
      </c>
      <c r="AO1536" s="11">
        <v>23091.34</v>
      </c>
      <c r="AP1536" s="9">
        <v>3.395849052489829</v>
      </c>
    </row>
    <row r="1537" spans="40:42" x14ac:dyDescent="0.3">
      <c r="AN1537">
        <v>1533</v>
      </c>
      <c r="AO1537" s="11">
        <v>36558.25</v>
      </c>
      <c r="AP1537" s="9">
        <v>3.3843466135612905</v>
      </c>
    </row>
    <row r="1538" spans="40:42" x14ac:dyDescent="0.3">
      <c r="AN1538">
        <v>1534</v>
      </c>
      <c r="AO1538" s="11">
        <v>42893.55</v>
      </c>
      <c r="AP1538" s="9">
        <v>3.3538523352855978</v>
      </c>
    </row>
    <row r="1539" spans="40:42" x14ac:dyDescent="0.3">
      <c r="AN1539">
        <v>1535</v>
      </c>
      <c r="AO1539" s="11">
        <v>36435.5</v>
      </c>
      <c r="AP1539" s="9">
        <v>3.7752447871734556</v>
      </c>
    </row>
    <row r="1540" spans="40:42" x14ac:dyDescent="0.3">
      <c r="AN1540">
        <v>1536</v>
      </c>
      <c r="AO1540" s="11">
        <v>19019.64</v>
      </c>
      <c r="AP1540" s="9">
        <v>2.6928826559219878</v>
      </c>
    </row>
    <row r="1541" spans="40:42" x14ac:dyDescent="0.3">
      <c r="AN1541">
        <v>1537</v>
      </c>
      <c r="AO1541" s="11">
        <v>27936.639999999999</v>
      </c>
      <c r="AP1541" s="9">
        <v>3.1359154907514246</v>
      </c>
    </row>
    <row r="1542" spans="40:42" x14ac:dyDescent="0.3">
      <c r="AN1542">
        <v>1538</v>
      </c>
      <c r="AO1542" s="11">
        <v>23298.34</v>
      </c>
      <c r="AP1542" s="9">
        <v>4.1404511572648772</v>
      </c>
    </row>
    <row r="1543" spans="40:42" x14ac:dyDescent="0.3">
      <c r="AN1543">
        <v>1539</v>
      </c>
      <c r="AO1543" s="11">
        <v>24576.560000000001</v>
      </c>
      <c r="AP1543" s="9">
        <v>3.9044220322723984</v>
      </c>
    </row>
    <row r="1544" spans="40:42" x14ac:dyDescent="0.3">
      <c r="AN1544">
        <v>1540</v>
      </c>
      <c r="AO1544" s="11">
        <v>23586.69</v>
      </c>
      <c r="AP1544" s="9">
        <v>3.0155357376886118</v>
      </c>
    </row>
    <row r="1545" spans="40:42" x14ac:dyDescent="0.3">
      <c r="AN1545">
        <v>1541</v>
      </c>
      <c r="AO1545" s="11">
        <v>27631.38</v>
      </c>
      <c r="AP1545" s="9">
        <v>2.9955703129518403</v>
      </c>
    </row>
    <row r="1546" spans="40:42" x14ac:dyDescent="0.3">
      <c r="AN1546">
        <v>1542</v>
      </c>
      <c r="AO1546" s="11">
        <v>22621.91</v>
      </c>
      <c r="AP1546" s="9">
        <v>3.5540957632988719</v>
      </c>
    </row>
    <row r="1547" spans="40:42" x14ac:dyDescent="0.3">
      <c r="AN1547">
        <v>1543</v>
      </c>
      <c r="AO1547" s="11">
        <v>25444.720000000001</v>
      </c>
      <c r="AP1547" s="9">
        <v>3.3312105424569793</v>
      </c>
    </row>
    <row r="1548" spans="40:42" x14ac:dyDescent="0.3">
      <c r="AN1548">
        <v>1544</v>
      </c>
      <c r="AO1548" s="11">
        <v>15074.16</v>
      </c>
      <c r="AP1548" s="9">
        <v>3.0785883131287686</v>
      </c>
    </row>
    <row r="1549" spans="40:42" x14ac:dyDescent="0.3">
      <c r="AN1549">
        <v>1545</v>
      </c>
      <c r="AO1549" s="11">
        <v>21778.26</v>
      </c>
      <c r="AP1549" s="9">
        <v>2.84066769372575</v>
      </c>
    </row>
    <row r="1550" spans="40:42" x14ac:dyDescent="0.3">
      <c r="AN1550">
        <v>1546</v>
      </c>
      <c r="AO1550" s="11">
        <v>24122.91</v>
      </c>
      <c r="AP1550" s="9">
        <v>3.5980478641796223</v>
      </c>
    </row>
    <row r="1551" spans="40:42" x14ac:dyDescent="0.3">
      <c r="AN1551">
        <v>1547</v>
      </c>
      <c r="AO1551" s="11">
        <v>34603.69</v>
      </c>
      <c r="AP1551" s="9">
        <v>3.4954705492260536</v>
      </c>
    </row>
    <row r="1552" spans="40:42" x14ac:dyDescent="0.3">
      <c r="AN1552">
        <v>1548</v>
      </c>
      <c r="AO1552" s="11">
        <v>29003.25</v>
      </c>
      <c r="AP1552" s="9">
        <v>3.234483255458783</v>
      </c>
    </row>
    <row r="1553" spans="40:42" x14ac:dyDescent="0.3">
      <c r="AN1553">
        <v>1549</v>
      </c>
      <c r="AO1553" s="11">
        <v>27084.11</v>
      </c>
      <c r="AP1553" s="9">
        <v>3.2062429358138465</v>
      </c>
    </row>
    <row r="1554" spans="40:42" x14ac:dyDescent="0.3">
      <c r="AN1554">
        <v>1550</v>
      </c>
      <c r="AO1554" s="11">
        <v>29077.73</v>
      </c>
      <c r="AP1554" s="9">
        <v>3.7889343524082673</v>
      </c>
    </row>
    <row r="1555" spans="40:42" x14ac:dyDescent="0.3">
      <c r="AN1555">
        <v>1551</v>
      </c>
      <c r="AO1555" s="11">
        <v>18705.63</v>
      </c>
      <c r="AP1555" s="9">
        <v>3.4411340518985551</v>
      </c>
    </row>
    <row r="1556" spans="40:42" x14ac:dyDescent="0.3">
      <c r="AN1556">
        <v>1552</v>
      </c>
      <c r="AO1556" s="11">
        <v>17533.12</v>
      </c>
      <c r="AP1556" s="9">
        <v>3.7943595655637132</v>
      </c>
    </row>
    <row r="1557" spans="40:42" x14ac:dyDescent="0.3">
      <c r="AN1557">
        <v>1553</v>
      </c>
      <c r="AO1557" s="11">
        <v>18755.45</v>
      </c>
      <c r="AP1557" s="9">
        <v>3.0555810631939266</v>
      </c>
    </row>
    <row r="1558" spans="40:42" x14ac:dyDescent="0.3">
      <c r="AN1558">
        <v>1554</v>
      </c>
      <c r="AO1558" s="11">
        <v>33266.230000000003</v>
      </c>
      <c r="AP1558" s="9">
        <v>3.1372513614952147</v>
      </c>
    </row>
    <row r="1559" spans="40:42" x14ac:dyDescent="0.3">
      <c r="AN1559">
        <v>1555</v>
      </c>
      <c r="AO1559" s="11">
        <v>39067.660000000003</v>
      </c>
      <c r="AP1559" s="9">
        <v>3.4388071507899935</v>
      </c>
    </row>
    <row r="1560" spans="40:42" x14ac:dyDescent="0.3">
      <c r="AN1560">
        <v>1556</v>
      </c>
      <c r="AO1560" s="11">
        <v>23215.95</v>
      </c>
      <c r="AP1560" s="9">
        <v>3.3350833240945135</v>
      </c>
    </row>
    <row r="1561" spans="40:42" x14ac:dyDescent="0.3">
      <c r="AN1561">
        <v>1557</v>
      </c>
      <c r="AO1561" s="11">
        <v>31341.59</v>
      </c>
      <c r="AP1561" s="9">
        <v>3.2398642048947517</v>
      </c>
    </row>
    <row r="1562" spans="40:42" x14ac:dyDescent="0.3">
      <c r="AN1562">
        <v>1558</v>
      </c>
      <c r="AO1562" s="11">
        <v>17836.009999999998</v>
      </c>
      <c r="AP1562" s="9">
        <v>2.7523906908676126</v>
      </c>
    </row>
    <row r="1563" spans="40:42" x14ac:dyDescent="0.3">
      <c r="AN1563">
        <v>1559</v>
      </c>
      <c r="AO1563" s="11">
        <v>41242.31</v>
      </c>
      <c r="AP1563" s="9">
        <v>3.7091272116101766</v>
      </c>
    </row>
    <row r="1564" spans="40:42" x14ac:dyDescent="0.3">
      <c r="AN1564">
        <v>1560</v>
      </c>
      <c r="AO1564" s="11">
        <v>22120.47</v>
      </c>
      <c r="AP1564" s="9">
        <v>3.5008605626583691</v>
      </c>
    </row>
    <row r="1565" spans="40:42" x14ac:dyDescent="0.3">
      <c r="AN1565">
        <v>1561</v>
      </c>
      <c r="AO1565" s="11">
        <v>21277.19</v>
      </c>
      <c r="AP1565" s="9">
        <v>3.7372522418438621</v>
      </c>
    </row>
    <row r="1566" spans="40:42" x14ac:dyDescent="0.3">
      <c r="AN1566">
        <v>1562</v>
      </c>
      <c r="AO1566" s="11">
        <v>35555.339999999997</v>
      </c>
      <c r="AP1566" s="9">
        <v>2.8110679073131664</v>
      </c>
    </row>
    <row r="1567" spans="40:42" x14ac:dyDescent="0.3">
      <c r="AN1567">
        <v>1563</v>
      </c>
      <c r="AO1567" s="11">
        <v>16490.810000000001</v>
      </c>
      <c r="AP1567" s="9">
        <v>3.9302540185077643</v>
      </c>
    </row>
    <row r="1568" spans="40:42" x14ac:dyDescent="0.3">
      <c r="AN1568">
        <v>1564</v>
      </c>
      <c r="AO1568" s="11">
        <v>41917.94</v>
      </c>
      <c r="AP1568" s="9">
        <v>3.2672179313864276</v>
      </c>
    </row>
    <row r="1569" spans="40:42" x14ac:dyDescent="0.3">
      <c r="AN1569">
        <v>1565</v>
      </c>
      <c r="AO1569" s="11">
        <v>23074.94</v>
      </c>
      <c r="AP1569" s="9">
        <v>3.0484468962890299</v>
      </c>
    </row>
    <row r="1570" spans="40:42" x14ac:dyDescent="0.3">
      <c r="AN1570">
        <v>1566</v>
      </c>
      <c r="AO1570" s="11">
        <v>50016.39</v>
      </c>
      <c r="AP1570" s="9">
        <v>5.0468758745361155</v>
      </c>
    </row>
    <row r="1571" spans="40:42" x14ac:dyDescent="0.3">
      <c r="AN1571">
        <v>1567</v>
      </c>
      <c r="AO1571" s="11">
        <v>22080.52</v>
      </c>
      <c r="AP1571" s="9">
        <v>3.2827997435770722</v>
      </c>
    </row>
    <row r="1572" spans="40:42" x14ac:dyDescent="0.3">
      <c r="AN1572">
        <v>1568</v>
      </c>
      <c r="AO1572" s="11">
        <v>17835.47</v>
      </c>
      <c r="AP1572" s="9">
        <v>2.8420822995923323</v>
      </c>
    </row>
    <row r="1573" spans="40:42" x14ac:dyDescent="0.3">
      <c r="AN1573">
        <v>1569</v>
      </c>
      <c r="AO1573" s="11">
        <v>22191.94</v>
      </c>
      <c r="AP1573" s="9">
        <v>2.7530726312501597</v>
      </c>
    </row>
    <row r="1574" spans="40:42" x14ac:dyDescent="0.3">
      <c r="AN1574">
        <v>1570</v>
      </c>
      <c r="AO1574" s="11">
        <v>23703.11</v>
      </c>
      <c r="AP1574" s="9">
        <v>3.281624786286625</v>
      </c>
    </row>
    <row r="1575" spans="40:42" x14ac:dyDescent="0.3">
      <c r="AN1575">
        <v>1571</v>
      </c>
      <c r="AO1575" s="11">
        <v>27712.17</v>
      </c>
      <c r="AP1575" s="9">
        <v>3.4951476430003789</v>
      </c>
    </row>
    <row r="1576" spans="40:42" x14ac:dyDescent="0.3">
      <c r="AN1576">
        <v>1572</v>
      </c>
      <c r="AO1576" s="11">
        <v>19860.400000000001</v>
      </c>
      <c r="AP1576" s="9">
        <v>3.5630050735967553</v>
      </c>
    </row>
    <row r="1577" spans="40:42" x14ac:dyDescent="0.3">
      <c r="AN1577">
        <v>1573</v>
      </c>
      <c r="AO1577" s="11">
        <v>30908.39</v>
      </c>
      <c r="AP1577" s="9">
        <v>4.0036895368827485</v>
      </c>
    </row>
    <row r="1578" spans="40:42" x14ac:dyDescent="0.3">
      <c r="AN1578">
        <v>1574</v>
      </c>
      <c r="AO1578" s="11">
        <v>19526.22</v>
      </c>
      <c r="AP1578" s="9">
        <v>2.6754915052989081</v>
      </c>
    </row>
    <row r="1579" spans="40:42" x14ac:dyDescent="0.3">
      <c r="AN1579">
        <v>1575</v>
      </c>
      <c r="AO1579" s="11">
        <v>31397.82</v>
      </c>
      <c r="AP1579" s="9">
        <v>3.8323361215407039</v>
      </c>
    </row>
    <row r="1580" spans="40:42" x14ac:dyDescent="0.3">
      <c r="AN1580">
        <v>1576</v>
      </c>
      <c r="AO1580" s="11">
        <v>24902.79</v>
      </c>
      <c r="AP1580" s="9">
        <v>3.3674873946450847</v>
      </c>
    </row>
    <row r="1581" spans="40:42" x14ac:dyDescent="0.3">
      <c r="AN1581">
        <v>1577</v>
      </c>
      <c r="AO1581" s="11">
        <v>30439.25</v>
      </c>
      <c r="AP1581" s="9">
        <v>3.4018023855814636</v>
      </c>
    </row>
    <row r="1582" spans="40:42" x14ac:dyDescent="0.3">
      <c r="AN1582">
        <v>1578</v>
      </c>
      <c r="AO1582" s="11">
        <v>22484.400000000001</v>
      </c>
      <c r="AP1582" s="9">
        <v>3.2256272433439461</v>
      </c>
    </row>
    <row r="1583" spans="40:42" x14ac:dyDescent="0.3">
      <c r="AN1583">
        <v>1579</v>
      </c>
      <c r="AO1583" s="11">
        <v>51481.7</v>
      </c>
      <c r="AP1583" s="9">
        <v>4.0130617910293989</v>
      </c>
    </row>
    <row r="1584" spans="40:42" x14ac:dyDescent="0.3">
      <c r="AN1584">
        <v>1580</v>
      </c>
      <c r="AO1584" s="11">
        <v>22731.17</v>
      </c>
      <c r="AP1584" s="9">
        <v>3.6100182458183796</v>
      </c>
    </row>
    <row r="1585" spans="40:42" x14ac:dyDescent="0.3">
      <c r="AN1585">
        <v>1581</v>
      </c>
      <c r="AO1585" s="11">
        <v>18800.400000000001</v>
      </c>
      <c r="AP1585" s="9">
        <v>2.7556427089136553</v>
      </c>
    </row>
    <row r="1586" spans="40:42" x14ac:dyDescent="0.3">
      <c r="AN1586">
        <v>1582</v>
      </c>
      <c r="AO1586" s="11">
        <v>38223.83</v>
      </c>
      <c r="AP1586" s="9">
        <v>3.7295218641341732</v>
      </c>
    </row>
    <row r="1587" spans="40:42" x14ac:dyDescent="0.3">
      <c r="AN1587">
        <v>1583</v>
      </c>
      <c r="AO1587" s="11">
        <v>28213.67</v>
      </c>
      <c r="AP1587" s="9">
        <v>3.3499109986212834</v>
      </c>
    </row>
    <row r="1588" spans="40:42" x14ac:dyDescent="0.3">
      <c r="AN1588">
        <v>1584</v>
      </c>
      <c r="AO1588" s="11">
        <v>22821.03</v>
      </c>
      <c r="AP1588" s="9">
        <v>3.4759839648639943</v>
      </c>
    </row>
    <row r="1589" spans="40:42" x14ac:dyDescent="0.3">
      <c r="AN1589">
        <v>1585</v>
      </c>
      <c r="AO1589" s="11">
        <v>22958.13</v>
      </c>
      <c r="AP1589" s="9">
        <v>4.106967747880204</v>
      </c>
    </row>
    <row r="1590" spans="40:42" x14ac:dyDescent="0.3">
      <c r="AN1590">
        <v>1586</v>
      </c>
      <c r="AO1590" s="11">
        <v>24235.1</v>
      </c>
      <c r="AP1590" s="9">
        <v>3.2221403657627095</v>
      </c>
    </row>
    <row r="1591" spans="40:42" x14ac:dyDescent="0.3">
      <c r="AN1591">
        <v>1587</v>
      </c>
      <c r="AO1591" s="11">
        <v>34316.03</v>
      </c>
      <c r="AP1591" s="9">
        <v>3.5727724884272249</v>
      </c>
    </row>
    <row r="1592" spans="40:42" x14ac:dyDescent="0.3">
      <c r="AN1592">
        <v>1588</v>
      </c>
      <c r="AO1592" s="11">
        <v>26203.1</v>
      </c>
      <c r="AP1592" s="9">
        <v>3.1383120068663795</v>
      </c>
    </row>
    <row r="1593" spans="40:42" x14ac:dyDescent="0.3">
      <c r="AN1593">
        <v>1589</v>
      </c>
      <c r="AO1593" s="11">
        <v>37214.57</v>
      </c>
      <c r="AP1593" s="9">
        <v>3.0890041855862376</v>
      </c>
    </row>
    <row r="1594" spans="40:42" x14ac:dyDescent="0.3">
      <c r="AN1594">
        <v>1590</v>
      </c>
      <c r="AO1594" s="11">
        <v>33592.699999999997</v>
      </c>
      <c r="AP1594" s="9">
        <v>3.3900603476498095</v>
      </c>
    </row>
    <row r="1595" spans="40:42" x14ac:dyDescent="0.3">
      <c r="AN1595">
        <v>1591</v>
      </c>
      <c r="AO1595" s="11">
        <v>24614.31</v>
      </c>
      <c r="AP1595" s="9">
        <v>3.4673812447263055</v>
      </c>
    </row>
    <row r="1596" spans="40:42" x14ac:dyDescent="0.3">
      <c r="AN1596">
        <v>1592</v>
      </c>
      <c r="AO1596" s="11">
        <v>21075.72</v>
      </c>
      <c r="AP1596" s="9">
        <v>2.9583537834553457</v>
      </c>
    </row>
    <row r="1597" spans="40:42" x14ac:dyDescent="0.3">
      <c r="AN1597">
        <v>1593</v>
      </c>
      <c r="AO1597" s="11">
        <v>32245.37</v>
      </c>
      <c r="AP1597" s="9">
        <v>3.706271384690921</v>
      </c>
    </row>
    <row r="1598" spans="40:42" x14ac:dyDescent="0.3">
      <c r="AN1598">
        <v>1594</v>
      </c>
      <c r="AO1598" s="11">
        <v>26721.360000000001</v>
      </c>
      <c r="AP1598" s="9">
        <v>3.9970731887045221</v>
      </c>
    </row>
    <row r="1599" spans="40:42" x14ac:dyDescent="0.3">
      <c r="AN1599">
        <v>1595</v>
      </c>
      <c r="AO1599" s="11">
        <v>24460.81</v>
      </c>
      <c r="AP1599" s="9">
        <v>2.980912657710149</v>
      </c>
    </row>
    <row r="1600" spans="40:42" x14ac:dyDescent="0.3">
      <c r="AN1600">
        <v>1596</v>
      </c>
      <c r="AO1600" s="11">
        <v>18971.240000000002</v>
      </c>
      <c r="AP1600" s="9">
        <v>3.1199944134400561</v>
      </c>
    </row>
    <row r="1601" spans="40:42" x14ac:dyDescent="0.3">
      <c r="AN1601">
        <v>1597</v>
      </c>
      <c r="AO1601" s="11">
        <v>22418.45</v>
      </c>
      <c r="AP1601" s="9">
        <v>3.2451921493970262</v>
      </c>
    </row>
    <row r="1602" spans="40:42" x14ac:dyDescent="0.3">
      <c r="AN1602">
        <v>1598</v>
      </c>
      <c r="AO1602" s="11">
        <v>25920.18</v>
      </c>
      <c r="AP1602" s="9">
        <v>3.7056868268588636</v>
      </c>
    </row>
    <row r="1603" spans="40:42" x14ac:dyDescent="0.3">
      <c r="AN1603">
        <v>1599</v>
      </c>
      <c r="AO1603" s="11">
        <v>19929.830000000002</v>
      </c>
      <c r="AP1603" s="9">
        <v>3.3046294165609562</v>
      </c>
    </row>
    <row r="1604" spans="40:42" x14ac:dyDescent="0.3">
      <c r="AN1604">
        <v>1600</v>
      </c>
      <c r="AO1604" s="11">
        <v>22408.63</v>
      </c>
      <c r="AP1604" s="9">
        <v>3.5167793211113643</v>
      </c>
    </row>
    <row r="1605" spans="40:42" x14ac:dyDescent="0.3">
      <c r="AN1605">
        <v>1601</v>
      </c>
      <c r="AO1605" s="11">
        <v>23423.439999999999</v>
      </c>
      <c r="AP1605" s="9">
        <v>3.5009193874489504</v>
      </c>
    </row>
    <row r="1606" spans="40:42" x14ac:dyDescent="0.3">
      <c r="AN1606">
        <v>1602</v>
      </c>
      <c r="AO1606" s="11">
        <v>57550.48</v>
      </c>
      <c r="AP1606" s="9">
        <v>3.3763692334020083</v>
      </c>
    </row>
    <row r="1607" spans="40:42" x14ac:dyDescent="0.3">
      <c r="AN1607">
        <v>1603</v>
      </c>
      <c r="AO1607" s="11">
        <v>33493.75</v>
      </c>
      <c r="AP1607" s="9">
        <v>3.2954177337171977</v>
      </c>
    </row>
    <row r="1608" spans="40:42" x14ac:dyDescent="0.3">
      <c r="AN1608">
        <v>1604</v>
      </c>
      <c r="AO1608" s="11">
        <v>25864.720000000001</v>
      </c>
      <c r="AP1608" s="9">
        <v>3.4175523962324545</v>
      </c>
    </row>
    <row r="1609" spans="40:42" x14ac:dyDescent="0.3">
      <c r="AN1609">
        <v>1605</v>
      </c>
      <c r="AO1609" s="11">
        <v>33320.370000000003</v>
      </c>
      <c r="AP1609" s="9">
        <v>3.979629797403879</v>
      </c>
    </row>
    <row r="1610" spans="40:42" x14ac:dyDescent="0.3">
      <c r="AN1610">
        <v>1606</v>
      </c>
      <c r="AO1610" s="11">
        <v>39271.83</v>
      </c>
      <c r="AP1610" s="9">
        <v>2.9900459464976481</v>
      </c>
    </row>
    <row r="1611" spans="40:42" x14ac:dyDescent="0.3">
      <c r="AN1611">
        <v>1607</v>
      </c>
      <c r="AO1611" s="11">
        <v>26690.34</v>
      </c>
      <c r="AP1611" s="9">
        <v>3.433901125288882</v>
      </c>
    </row>
    <row r="1612" spans="40:42" x14ac:dyDescent="0.3">
      <c r="AN1612">
        <v>1608</v>
      </c>
      <c r="AO1612" s="11">
        <v>26772.23</v>
      </c>
      <c r="AP1612" s="9">
        <v>2.803297005152765</v>
      </c>
    </row>
    <row r="1613" spans="40:42" x14ac:dyDescent="0.3">
      <c r="AN1613">
        <v>1609</v>
      </c>
      <c r="AO1613" s="11">
        <v>32372.47</v>
      </c>
      <c r="AP1613" s="9">
        <v>3.1521949613246969</v>
      </c>
    </row>
    <row r="1614" spans="40:42" x14ac:dyDescent="0.3">
      <c r="AN1614">
        <v>1610</v>
      </c>
      <c r="AO1614" s="11">
        <v>22106.89</v>
      </c>
      <c r="AP1614" s="9">
        <v>3.1991948819142908</v>
      </c>
    </row>
    <row r="1615" spans="40:42" x14ac:dyDescent="0.3">
      <c r="AN1615">
        <v>1611</v>
      </c>
      <c r="AO1615" s="11">
        <v>21228.12</v>
      </c>
      <c r="AP1615" s="9">
        <v>3.4324894623247277</v>
      </c>
    </row>
    <row r="1616" spans="40:42" x14ac:dyDescent="0.3">
      <c r="AN1616">
        <v>1612</v>
      </c>
      <c r="AO1616" s="11">
        <v>30546.27</v>
      </c>
      <c r="AP1616" s="9">
        <v>3.9874272892456237</v>
      </c>
    </row>
    <row r="1617" spans="40:42" x14ac:dyDescent="0.3">
      <c r="AN1617">
        <v>1613</v>
      </c>
      <c r="AO1617" s="11">
        <v>26620.19</v>
      </c>
      <c r="AP1617" s="9">
        <v>3.5444579055140211</v>
      </c>
    </row>
    <row r="1618" spans="40:42" x14ac:dyDescent="0.3">
      <c r="AN1618">
        <v>1614</v>
      </c>
      <c r="AO1618" s="11">
        <v>41694.129999999997</v>
      </c>
      <c r="AP1618" s="9">
        <v>3.7375662521402697</v>
      </c>
    </row>
    <row r="1619" spans="40:42" x14ac:dyDescent="0.3">
      <c r="AN1619">
        <v>1615</v>
      </c>
      <c r="AO1619" s="11">
        <v>25258.43</v>
      </c>
      <c r="AP1619" s="9">
        <v>3.2539959480996687</v>
      </c>
    </row>
    <row r="1620" spans="40:42" x14ac:dyDescent="0.3">
      <c r="AN1620">
        <v>1616</v>
      </c>
      <c r="AO1620" s="11">
        <v>26390.9</v>
      </c>
      <c r="AP1620" s="9">
        <v>3.3880009397997477</v>
      </c>
    </row>
    <row r="1621" spans="40:42" x14ac:dyDescent="0.3">
      <c r="AN1621">
        <v>1617</v>
      </c>
      <c r="AO1621" s="11">
        <v>22795.43</v>
      </c>
      <c r="AP1621" s="9">
        <v>3.6107101878214061</v>
      </c>
    </row>
    <row r="1622" spans="40:42" x14ac:dyDescent="0.3">
      <c r="AN1622">
        <v>1618</v>
      </c>
      <c r="AO1622" s="11">
        <v>21032.87</v>
      </c>
      <c r="AP1622" s="9">
        <v>3.2814626553552433</v>
      </c>
    </row>
    <row r="1623" spans="40:42" x14ac:dyDescent="0.3">
      <c r="AN1623">
        <v>1619</v>
      </c>
      <c r="AO1623" s="11">
        <v>29220.48</v>
      </c>
      <c r="AP1623" s="9">
        <v>4.2340321656730424</v>
      </c>
    </row>
    <row r="1624" spans="40:42" x14ac:dyDescent="0.3">
      <c r="AN1624">
        <v>1620</v>
      </c>
      <c r="AO1624" s="11">
        <v>34079.43</v>
      </c>
      <c r="AP1624" s="9">
        <v>3.7536344606026968</v>
      </c>
    </row>
    <row r="1625" spans="40:42" x14ac:dyDescent="0.3">
      <c r="AN1625">
        <v>1621</v>
      </c>
      <c r="AO1625" s="11">
        <v>24203.86</v>
      </c>
      <c r="AP1625" s="9">
        <v>3.2194996109064715</v>
      </c>
    </row>
    <row r="1626" spans="40:42" x14ac:dyDescent="0.3">
      <c r="AN1626">
        <v>1622</v>
      </c>
      <c r="AO1626" s="11">
        <v>14217.52</v>
      </c>
      <c r="AP1626" s="9">
        <v>3.1668043413420373</v>
      </c>
    </row>
    <row r="1627" spans="40:42" x14ac:dyDescent="0.3">
      <c r="AN1627">
        <v>1623</v>
      </c>
      <c r="AO1627" s="11">
        <v>16612.25</v>
      </c>
      <c r="AP1627" s="9">
        <v>3.2363451116372923</v>
      </c>
    </row>
    <row r="1628" spans="40:42" x14ac:dyDescent="0.3">
      <c r="AN1628">
        <v>1624</v>
      </c>
      <c r="AO1628" s="11">
        <v>30821.23</v>
      </c>
      <c r="AP1628" s="9">
        <v>4.081673587290644</v>
      </c>
    </row>
    <row r="1629" spans="40:42" x14ac:dyDescent="0.3">
      <c r="AN1629">
        <v>1625</v>
      </c>
      <c r="AO1629" s="11">
        <v>31051.41</v>
      </c>
      <c r="AP1629" s="9">
        <v>3.4245250431090177</v>
      </c>
    </row>
    <row r="1630" spans="40:42" x14ac:dyDescent="0.3">
      <c r="AN1630">
        <v>1626</v>
      </c>
      <c r="AO1630" s="11">
        <v>30234.03</v>
      </c>
      <c r="AP1630" s="9">
        <v>3.2050719962023324</v>
      </c>
    </row>
    <row r="1631" spans="40:42" x14ac:dyDescent="0.3">
      <c r="AN1631">
        <v>1627</v>
      </c>
      <c r="AO1631" s="11">
        <v>23725.54</v>
      </c>
      <c r="AP1631" s="9">
        <v>3.672722889835355</v>
      </c>
    </row>
    <row r="1632" spans="40:42" x14ac:dyDescent="0.3">
      <c r="AN1632">
        <v>1628</v>
      </c>
      <c r="AO1632" s="11">
        <v>20135.16</v>
      </c>
      <c r="AP1632" s="9">
        <v>2.6098280581130782</v>
      </c>
    </row>
    <row r="1633" spans="40:42" x14ac:dyDescent="0.3">
      <c r="AN1633">
        <v>1629</v>
      </c>
      <c r="AO1633" s="11">
        <v>27732.73</v>
      </c>
      <c r="AP1633" s="9">
        <v>3.8800624983548526</v>
      </c>
    </row>
    <row r="1634" spans="40:42" x14ac:dyDescent="0.3">
      <c r="AN1634">
        <v>1630</v>
      </c>
      <c r="AO1634" s="11">
        <v>35134.81</v>
      </c>
      <c r="AP1634" s="9">
        <v>3.0469690751071883</v>
      </c>
    </row>
    <row r="1635" spans="40:42" x14ac:dyDescent="0.3">
      <c r="AN1635">
        <v>1631</v>
      </c>
      <c r="AO1635" s="11">
        <v>39036.550000000003</v>
      </c>
      <c r="AP1635" s="9">
        <v>3.1761771806045251</v>
      </c>
    </row>
    <row r="1636" spans="40:42" x14ac:dyDescent="0.3">
      <c r="AN1636">
        <v>1632</v>
      </c>
      <c r="AO1636" s="11">
        <v>47379.4</v>
      </c>
      <c r="AP1636" s="9">
        <v>3.7908190361377248</v>
      </c>
    </row>
    <row r="1637" spans="40:42" x14ac:dyDescent="0.3">
      <c r="AN1637">
        <v>1633</v>
      </c>
      <c r="AO1637" s="11">
        <v>17957.52</v>
      </c>
      <c r="AP1637" s="9">
        <v>3.2900576499944094</v>
      </c>
    </row>
    <row r="1638" spans="40:42" x14ac:dyDescent="0.3">
      <c r="AN1638">
        <v>1634</v>
      </c>
      <c r="AO1638" s="11">
        <v>33740.519999999997</v>
      </c>
      <c r="AP1638" s="9">
        <v>3.6131004414494012</v>
      </c>
    </row>
    <row r="1639" spans="40:42" x14ac:dyDescent="0.3">
      <c r="AN1639">
        <v>1635</v>
      </c>
      <c r="AO1639" s="11">
        <v>18508.7</v>
      </c>
      <c r="AP1639" s="9">
        <v>3.2607311075092271</v>
      </c>
    </row>
    <row r="1640" spans="40:42" x14ac:dyDescent="0.3">
      <c r="AN1640">
        <v>1636</v>
      </c>
      <c r="AO1640" s="11">
        <v>35616.85</v>
      </c>
      <c r="AP1640" s="9">
        <v>3.5590014470632498</v>
      </c>
    </row>
    <row r="1641" spans="40:42" x14ac:dyDescent="0.3">
      <c r="AN1641">
        <v>1637</v>
      </c>
      <c r="AO1641" s="11">
        <v>19781.77</v>
      </c>
      <c r="AP1641" s="9">
        <v>3.2675146375807196</v>
      </c>
    </row>
    <row r="1642" spans="40:42" x14ac:dyDescent="0.3">
      <c r="AN1642">
        <v>1638</v>
      </c>
      <c r="AO1642" s="11">
        <v>28390.39</v>
      </c>
      <c r="AP1642" s="9">
        <v>3.2962118034563153</v>
      </c>
    </row>
    <row r="1643" spans="40:42" x14ac:dyDescent="0.3">
      <c r="AN1643">
        <v>1639</v>
      </c>
      <c r="AO1643" s="11">
        <v>34080.879999999997</v>
      </c>
      <c r="AP1643" s="9">
        <v>4.1477744470309714</v>
      </c>
    </row>
    <row r="1644" spans="40:42" x14ac:dyDescent="0.3">
      <c r="AN1644">
        <v>1640</v>
      </c>
      <c r="AO1644" s="11">
        <v>27022.77</v>
      </c>
      <c r="AP1644" s="9">
        <v>3.5864506382059926</v>
      </c>
    </row>
    <row r="1645" spans="40:42" x14ac:dyDescent="0.3">
      <c r="AN1645">
        <v>1641</v>
      </c>
      <c r="AO1645" s="11">
        <v>23204.86</v>
      </c>
      <c r="AP1645" s="9">
        <v>3.2928198874798915</v>
      </c>
    </row>
    <row r="1646" spans="40:42" x14ac:dyDescent="0.3">
      <c r="AN1646">
        <v>1642</v>
      </c>
      <c r="AO1646" s="11">
        <v>31150.69</v>
      </c>
      <c r="AP1646" s="9">
        <v>3.8605630251239136</v>
      </c>
    </row>
    <row r="1647" spans="40:42" x14ac:dyDescent="0.3">
      <c r="AN1647">
        <v>1643</v>
      </c>
      <c r="AO1647" s="11">
        <v>24481.06</v>
      </c>
      <c r="AP1647" s="9">
        <v>2.9310964752367918</v>
      </c>
    </row>
    <row r="1648" spans="40:42" x14ac:dyDescent="0.3">
      <c r="AN1648">
        <v>1644</v>
      </c>
      <c r="AO1648" s="11">
        <v>20454.68</v>
      </c>
      <c r="AP1648" s="9">
        <v>2.9380083987239023</v>
      </c>
    </row>
    <row r="1649" spans="40:42" x14ac:dyDescent="0.3">
      <c r="AN1649">
        <v>1645</v>
      </c>
      <c r="AO1649" s="11">
        <v>26254.33</v>
      </c>
      <c r="AP1649" s="9">
        <v>3.1712635376266713</v>
      </c>
    </row>
    <row r="1650" spans="40:42" x14ac:dyDescent="0.3">
      <c r="AN1650">
        <v>1646</v>
      </c>
      <c r="AO1650" s="11">
        <v>20611</v>
      </c>
      <c r="AP1650" s="9">
        <v>3.0569351185949833</v>
      </c>
    </row>
    <row r="1651" spans="40:42" x14ac:dyDescent="0.3">
      <c r="AN1651">
        <v>1647</v>
      </c>
      <c r="AO1651" s="11">
        <v>21758.11</v>
      </c>
      <c r="AP1651" s="9">
        <v>2.8817502295144912</v>
      </c>
    </row>
    <row r="1652" spans="40:42" x14ac:dyDescent="0.3">
      <c r="AN1652">
        <v>1648</v>
      </c>
      <c r="AO1652" s="11">
        <v>18021.310000000001</v>
      </c>
      <c r="AP1652" s="9">
        <v>3.1735354097534429</v>
      </c>
    </row>
    <row r="1653" spans="40:42" x14ac:dyDescent="0.3">
      <c r="AN1653">
        <v>1649</v>
      </c>
      <c r="AO1653" s="11">
        <v>26756.37</v>
      </c>
      <c r="AP1653" s="9">
        <v>3.69144485888439</v>
      </c>
    </row>
    <row r="1654" spans="40:42" x14ac:dyDescent="0.3">
      <c r="AN1654">
        <v>1650</v>
      </c>
      <c r="AO1654" s="11">
        <v>27946.94</v>
      </c>
      <c r="AP1654" s="9">
        <v>3.6093658860207722</v>
      </c>
    </row>
    <row r="1655" spans="40:42" x14ac:dyDescent="0.3">
      <c r="AN1655">
        <v>1651</v>
      </c>
      <c r="AO1655" s="11">
        <v>40776.230000000003</v>
      </c>
      <c r="AP1655" s="9">
        <v>4.0268250116333748</v>
      </c>
    </row>
    <row r="1656" spans="40:42" x14ac:dyDescent="0.3">
      <c r="AN1656">
        <v>1652</v>
      </c>
      <c r="AO1656" s="11">
        <v>29445.279999999999</v>
      </c>
      <c r="AP1656" s="9">
        <v>3.6687271387041913</v>
      </c>
    </row>
    <row r="1657" spans="40:42" x14ac:dyDescent="0.3">
      <c r="AN1657">
        <v>1653</v>
      </c>
      <c r="AO1657" s="11">
        <v>19674.54</v>
      </c>
      <c r="AP1657" s="9">
        <v>3.9460263224391885</v>
      </c>
    </row>
    <row r="1658" spans="40:42" x14ac:dyDescent="0.3">
      <c r="AN1658">
        <v>1654</v>
      </c>
      <c r="AO1658" s="11">
        <v>24506.42</v>
      </c>
      <c r="AP1658" s="9">
        <v>2.9345719345676491</v>
      </c>
    </row>
    <row r="1659" spans="40:42" x14ac:dyDescent="0.3">
      <c r="AN1659">
        <v>1655</v>
      </c>
      <c r="AO1659" s="11">
        <v>24553.32</v>
      </c>
      <c r="AP1659" s="9">
        <v>3.7186572782790051</v>
      </c>
    </row>
    <row r="1660" spans="40:42" x14ac:dyDescent="0.3">
      <c r="AN1660">
        <v>1656</v>
      </c>
      <c r="AO1660" s="11">
        <v>26089.58</v>
      </c>
      <c r="AP1660" s="9">
        <v>3.443974115823901</v>
      </c>
    </row>
    <row r="1661" spans="40:42" x14ac:dyDescent="0.3">
      <c r="AN1661">
        <v>1657</v>
      </c>
      <c r="AO1661" s="11">
        <v>30613.8</v>
      </c>
      <c r="AP1661" s="9">
        <v>3.2418350156676876</v>
      </c>
    </row>
    <row r="1662" spans="40:42" x14ac:dyDescent="0.3">
      <c r="AN1662">
        <v>1658</v>
      </c>
      <c r="AO1662" s="11">
        <v>18532.310000000001</v>
      </c>
      <c r="AP1662" s="9">
        <v>2.923318402397161</v>
      </c>
    </row>
    <row r="1663" spans="40:42" x14ac:dyDescent="0.3">
      <c r="AN1663">
        <v>1659</v>
      </c>
      <c r="AO1663" s="11">
        <v>31497.78</v>
      </c>
      <c r="AP1663" s="9">
        <v>3.3271262183992087</v>
      </c>
    </row>
    <row r="1664" spans="40:42" x14ac:dyDescent="0.3">
      <c r="AN1664">
        <v>1660</v>
      </c>
      <c r="AO1664" s="11">
        <v>42199.95</v>
      </c>
      <c r="AP1664" s="9">
        <v>3.044848003871377</v>
      </c>
    </row>
    <row r="1665" spans="40:42" x14ac:dyDescent="0.3">
      <c r="AN1665">
        <v>1661</v>
      </c>
      <c r="AO1665" s="11">
        <v>36559.82</v>
      </c>
      <c r="AP1665" s="9">
        <v>3.9093621911535243</v>
      </c>
    </row>
    <row r="1666" spans="40:42" x14ac:dyDescent="0.3">
      <c r="AN1666">
        <v>1662</v>
      </c>
      <c r="AO1666" s="11">
        <v>24906.9</v>
      </c>
      <c r="AP1666" s="9">
        <v>2.9373755564359589</v>
      </c>
    </row>
    <row r="1667" spans="40:42" x14ac:dyDescent="0.3">
      <c r="AN1667">
        <v>1663</v>
      </c>
      <c r="AO1667" s="11">
        <v>34717.040000000001</v>
      </c>
      <c r="AP1667" s="9">
        <v>3.8049360938716914</v>
      </c>
    </row>
    <row r="1668" spans="40:42" x14ac:dyDescent="0.3">
      <c r="AN1668">
        <v>1664</v>
      </c>
      <c r="AO1668" s="11">
        <v>33628.49</v>
      </c>
      <c r="AP1668" s="9">
        <v>3.7150333154431165</v>
      </c>
    </row>
    <row r="1669" spans="40:42" x14ac:dyDescent="0.3">
      <c r="AN1669">
        <v>1665</v>
      </c>
      <c r="AO1669" s="11">
        <v>16557.77</v>
      </c>
      <c r="AP1669" s="9">
        <v>3.3426608042532018</v>
      </c>
    </row>
    <row r="1670" spans="40:42" x14ac:dyDescent="0.3">
      <c r="AN1670">
        <v>1666</v>
      </c>
      <c r="AO1670" s="11">
        <v>34825.440000000002</v>
      </c>
      <c r="AP1670" s="9">
        <v>3.6475458319702012</v>
      </c>
    </row>
    <row r="1671" spans="40:42" x14ac:dyDescent="0.3">
      <c r="AN1671">
        <v>1667</v>
      </c>
      <c r="AO1671" s="11">
        <v>24058.799999999999</v>
      </c>
      <c r="AP1671" s="9">
        <v>3.0366756542375013</v>
      </c>
    </row>
    <row r="1672" spans="40:42" x14ac:dyDescent="0.3">
      <c r="AN1672">
        <v>1668</v>
      </c>
      <c r="AO1672" s="11">
        <v>25579.37</v>
      </c>
      <c r="AP1672" s="9">
        <v>3.6296529710987016</v>
      </c>
    </row>
    <row r="1673" spans="40:42" x14ac:dyDescent="0.3">
      <c r="AN1673">
        <v>1669</v>
      </c>
      <c r="AO1673" s="11">
        <v>20256.66</v>
      </c>
      <c r="AP1673" s="9">
        <v>3.0528115146687607</v>
      </c>
    </row>
    <row r="1674" spans="40:42" x14ac:dyDescent="0.3">
      <c r="AN1674">
        <v>1670</v>
      </c>
      <c r="AO1674" s="11">
        <v>19405.96</v>
      </c>
      <c r="AP1674" s="9">
        <v>3.5682715332747432</v>
      </c>
    </row>
    <row r="1675" spans="40:42" x14ac:dyDescent="0.3">
      <c r="AN1675">
        <v>1671</v>
      </c>
      <c r="AO1675" s="11">
        <v>46064.31</v>
      </c>
      <c r="AP1675" s="9">
        <v>3.6734914299497103</v>
      </c>
    </row>
    <row r="1676" spans="40:42" x14ac:dyDescent="0.3">
      <c r="AN1676">
        <v>1672</v>
      </c>
      <c r="AO1676" s="11">
        <v>23761.87</v>
      </c>
      <c r="AP1676" s="9">
        <v>3.3587421306041381</v>
      </c>
    </row>
    <row r="1677" spans="40:42" x14ac:dyDescent="0.3">
      <c r="AN1677">
        <v>1673</v>
      </c>
      <c r="AO1677" s="11">
        <v>19939.37</v>
      </c>
      <c r="AP1677" s="9">
        <v>2.7463614461401065</v>
      </c>
    </row>
    <row r="1678" spans="40:42" x14ac:dyDescent="0.3">
      <c r="AN1678">
        <v>1674</v>
      </c>
      <c r="AO1678" s="11">
        <v>36586.199999999997</v>
      </c>
      <c r="AP1678" s="9">
        <v>3.2703896033293516</v>
      </c>
    </row>
    <row r="1679" spans="40:42" x14ac:dyDescent="0.3">
      <c r="AN1679">
        <v>1675</v>
      </c>
      <c r="AO1679" s="11">
        <v>20563.439999999999</v>
      </c>
      <c r="AP1679" s="9">
        <v>3.0820410679922201</v>
      </c>
    </row>
    <row r="1680" spans="40:42" x14ac:dyDescent="0.3">
      <c r="AN1680">
        <v>1676</v>
      </c>
      <c r="AO1680" s="11">
        <v>24279.46</v>
      </c>
      <c r="AP1680" s="9">
        <v>3.443360938795951</v>
      </c>
    </row>
    <row r="1681" spans="40:42" x14ac:dyDescent="0.3">
      <c r="AN1681">
        <v>1677</v>
      </c>
      <c r="AO1681" s="11">
        <v>20254.490000000002</v>
      </c>
      <c r="AP1681" s="9">
        <v>3.1380645141962682</v>
      </c>
    </row>
    <row r="1682" spans="40:42" x14ac:dyDescent="0.3">
      <c r="AN1682">
        <v>1678</v>
      </c>
      <c r="AO1682" s="11">
        <v>27234.81</v>
      </c>
      <c r="AP1682" s="9">
        <v>3.9338527507669356</v>
      </c>
    </row>
    <row r="1683" spans="40:42" x14ac:dyDescent="0.3">
      <c r="AN1683">
        <v>1679</v>
      </c>
      <c r="AO1683" s="11">
        <v>30038</v>
      </c>
      <c r="AP1683" s="9">
        <v>3.4292402084748139</v>
      </c>
    </row>
    <row r="1684" spans="40:42" x14ac:dyDescent="0.3">
      <c r="AN1684">
        <v>1680</v>
      </c>
      <c r="AO1684" s="11">
        <v>22093.11</v>
      </c>
      <c r="AP1684" s="9">
        <v>3.5129297291859456</v>
      </c>
    </row>
    <row r="1685" spans="40:42" x14ac:dyDescent="0.3">
      <c r="AN1685">
        <v>1681</v>
      </c>
      <c r="AO1685" s="11">
        <v>36798.480000000003</v>
      </c>
      <c r="AP1685" s="9">
        <v>3.2052168774010519</v>
      </c>
    </row>
    <row r="1686" spans="40:42" x14ac:dyDescent="0.3">
      <c r="AN1686">
        <v>1682</v>
      </c>
      <c r="AO1686" s="11">
        <v>21771.54</v>
      </c>
      <c r="AP1686" s="9">
        <v>3.4680367970441202</v>
      </c>
    </row>
    <row r="1687" spans="40:42" x14ac:dyDescent="0.3">
      <c r="AN1687">
        <v>1683</v>
      </c>
      <c r="AO1687" s="11">
        <v>24970.84</v>
      </c>
      <c r="AP1687" s="9">
        <v>3.1403827500991763</v>
      </c>
    </row>
    <row r="1688" spans="40:42" x14ac:dyDescent="0.3">
      <c r="AN1688">
        <v>1684</v>
      </c>
      <c r="AO1688" s="11">
        <v>19019.22</v>
      </c>
      <c r="AP1688" s="9">
        <v>3.605636559977949</v>
      </c>
    </row>
    <row r="1689" spans="40:42" x14ac:dyDescent="0.3">
      <c r="AN1689">
        <v>1685</v>
      </c>
      <c r="AO1689" s="11">
        <v>34520.019999999997</v>
      </c>
      <c r="AP1689" s="9">
        <v>3.6201256011236889</v>
      </c>
    </row>
    <row r="1690" spans="40:42" x14ac:dyDescent="0.3">
      <c r="AN1690">
        <v>1686</v>
      </c>
      <c r="AO1690" s="11">
        <v>33947.64</v>
      </c>
      <c r="AP1690" s="9">
        <v>3.7308098818200786</v>
      </c>
    </row>
    <row r="1691" spans="40:42" x14ac:dyDescent="0.3">
      <c r="AN1691">
        <v>1687</v>
      </c>
      <c r="AO1691" s="11">
        <v>22192.34</v>
      </c>
      <c r="AP1691" s="9">
        <v>3.3905395265625766</v>
      </c>
    </row>
    <row r="1692" spans="40:42" x14ac:dyDescent="0.3">
      <c r="AN1692">
        <v>1688</v>
      </c>
      <c r="AO1692" s="11">
        <v>26877.200000000001</v>
      </c>
      <c r="AP1692" s="9">
        <v>3.5375374468620282</v>
      </c>
    </row>
    <row r="1693" spans="40:42" x14ac:dyDescent="0.3">
      <c r="AN1693">
        <v>1689</v>
      </c>
      <c r="AO1693" s="11">
        <v>23109.86</v>
      </c>
      <c r="AP1693" s="9">
        <v>2.752557375706548</v>
      </c>
    </row>
    <row r="1694" spans="40:42" x14ac:dyDescent="0.3">
      <c r="AN1694">
        <v>1690</v>
      </c>
      <c r="AO1694" s="11">
        <v>20906.57</v>
      </c>
      <c r="AP1694" s="9">
        <v>3.2354532175180055</v>
      </c>
    </row>
    <row r="1695" spans="40:42" x14ac:dyDescent="0.3">
      <c r="AN1695">
        <v>1691</v>
      </c>
      <c r="AO1695" s="11">
        <v>23903.919999999998</v>
      </c>
      <c r="AP1695" s="9">
        <v>3.3452761445023884</v>
      </c>
    </row>
    <row r="1696" spans="40:42" x14ac:dyDescent="0.3">
      <c r="AN1696">
        <v>1692</v>
      </c>
      <c r="AO1696" s="11">
        <v>33353.33</v>
      </c>
      <c r="AP1696" s="9">
        <v>3.3985454178284216</v>
      </c>
    </row>
    <row r="1697" spans="40:42" x14ac:dyDescent="0.3">
      <c r="AN1697">
        <v>1693</v>
      </c>
      <c r="AO1697" s="11">
        <v>26001.21</v>
      </c>
      <c r="AP1697" s="9">
        <v>3.0080476635425168</v>
      </c>
    </row>
    <row r="1698" spans="40:42" x14ac:dyDescent="0.3">
      <c r="AN1698">
        <v>1694</v>
      </c>
      <c r="AO1698" s="11">
        <v>22905.7</v>
      </c>
      <c r="AP1698" s="9">
        <v>3.4695486471905679</v>
      </c>
    </row>
    <row r="1699" spans="40:42" x14ac:dyDescent="0.3">
      <c r="AN1699">
        <v>1695</v>
      </c>
      <c r="AO1699" s="11">
        <v>21632.91</v>
      </c>
      <c r="AP1699" s="9">
        <v>3.374487094575914</v>
      </c>
    </row>
    <row r="1700" spans="40:42" x14ac:dyDescent="0.3">
      <c r="AN1700">
        <v>1696</v>
      </c>
      <c r="AO1700" s="11">
        <v>28870.59</v>
      </c>
      <c r="AP1700" s="9">
        <v>3.3525106915473293</v>
      </c>
    </row>
    <row r="1701" spans="40:42" x14ac:dyDescent="0.3">
      <c r="AN1701">
        <v>1697</v>
      </c>
      <c r="AO1701" s="11">
        <v>26572.44</v>
      </c>
      <c r="AP1701" s="9">
        <v>3.5030778713993382</v>
      </c>
    </row>
    <row r="1702" spans="40:42" x14ac:dyDescent="0.3">
      <c r="AN1702">
        <v>1698</v>
      </c>
      <c r="AO1702" s="11">
        <v>15252.24</v>
      </c>
      <c r="AP1702" s="9">
        <v>2.8965853743542156</v>
      </c>
    </row>
    <row r="1703" spans="40:42" x14ac:dyDescent="0.3">
      <c r="AN1703">
        <v>1699</v>
      </c>
      <c r="AO1703" s="11">
        <v>26611.96</v>
      </c>
      <c r="AP1703" s="9">
        <v>3.7162686829120841</v>
      </c>
    </row>
    <row r="1704" spans="40:42" x14ac:dyDescent="0.3">
      <c r="AN1704">
        <v>1700</v>
      </c>
      <c r="AO1704" s="11">
        <v>26043.5</v>
      </c>
      <c r="AP1704" s="9">
        <v>3.4472817988639943</v>
      </c>
    </row>
    <row r="1705" spans="40:42" x14ac:dyDescent="0.3">
      <c r="AN1705">
        <v>1701</v>
      </c>
      <c r="AO1705" s="11">
        <v>34381.03</v>
      </c>
      <c r="AP1705" s="9">
        <v>3.6034807652479088</v>
      </c>
    </row>
    <row r="1706" spans="40:42" x14ac:dyDescent="0.3">
      <c r="AN1706">
        <v>1702</v>
      </c>
      <c r="AO1706" s="11">
        <v>17838.52</v>
      </c>
      <c r="AP1706" s="9">
        <v>2.9279940296068085</v>
      </c>
    </row>
    <row r="1707" spans="40:42" x14ac:dyDescent="0.3">
      <c r="AN1707">
        <v>1703</v>
      </c>
      <c r="AO1707" s="11">
        <v>19982.57</v>
      </c>
      <c r="AP1707" s="9">
        <v>3.2382900307470712</v>
      </c>
    </row>
    <row r="1708" spans="40:42" x14ac:dyDescent="0.3">
      <c r="AN1708">
        <v>1704</v>
      </c>
      <c r="AO1708" s="11">
        <v>22362.67</v>
      </c>
      <c r="AP1708" s="9">
        <v>3.1541231977875661</v>
      </c>
    </row>
    <row r="1709" spans="40:42" x14ac:dyDescent="0.3">
      <c r="AN1709">
        <v>1705</v>
      </c>
      <c r="AO1709" s="11">
        <v>33580.65</v>
      </c>
      <c r="AP1709" s="9">
        <v>3.1084330382019476</v>
      </c>
    </row>
    <row r="1710" spans="40:42" x14ac:dyDescent="0.3">
      <c r="AN1710">
        <v>1706</v>
      </c>
      <c r="AO1710" s="11">
        <v>22641.46</v>
      </c>
      <c r="AP1710" s="9">
        <v>4.102157632498459</v>
      </c>
    </row>
    <row r="1711" spans="40:42" x14ac:dyDescent="0.3">
      <c r="AN1711">
        <v>1707</v>
      </c>
      <c r="AO1711" s="11">
        <v>34012.730000000003</v>
      </c>
      <c r="AP1711" s="9">
        <v>3.8091552462374243</v>
      </c>
    </row>
    <row r="1712" spans="40:42" x14ac:dyDescent="0.3">
      <c r="AN1712">
        <v>1708</v>
      </c>
      <c r="AO1712" s="11">
        <v>41484.129999999997</v>
      </c>
      <c r="AP1712" s="9">
        <v>4.1057870591219512</v>
      </c>
    </row>
    <row r="1713" spans="40:42" x14ac:dyDescent="0.3">
      <c r="AN1713">
        <v>1709</v>
      </c>
      <c r="AO1713" s="11">
        <v>28714.01</v>
      </c>
      <c r="AP1713" s="9">
        <v>3.8755088008443046</v>
      </c>
    </row>
    <row r="1714" spans="40:42" x14ac:dyDescent="0.3">
      <c r="AN1714">
        <v>1710</v>
      </c>
      <c r="AO1714" s="11">
        <v>29933.119999999999</v>
      </c>
      <c r="AP1714" s="9">
        <v>3.1767217765703619</v>
      </c>
    </row>
    <row r="1715" spans="40:42" x14ac:dyDescent="0.3">
      <c r="AN1715">
        <v>1711</v>
      </c>
      <c r="AO1715" s="11">
        <v>15352.75</v>
      </c>
      <c r="AP1715" s="9">
        <v>3.0568034929189589</v>
      </c>
    </row>
    <row r="1716" spans="40:42" x14ac:dyDescent="0.3">
      <c r="AN1716">
        <v>1712</v>
      </c>
      <c r="AO1716" s="11">
        <v>47947.74</v>
      </c>
      <c r="AP1716" s="9">
        <v>3.9505485879542555</v>
      </c>
    </row>
    <row r="1717" spans="40:42" x14ac:dyDescent="0.3">
      <c r="AN1717">
        <v>1713</v>
      </c>
      <c r="AO1717" s="11">
        <v>18360.79</v>
      </c>
      <c r="AP1717" s="9">
        <v>3.5958306614356608</v>
      </c>
    </row>
    <row r="1718" spans="40:42" x14ac:dyDescent="0.3">
      <c r="AN1718">
        <v>1714</v>
      </c>
      <c r="AO1718" s="11">
        <v>31531.759999999998</v>
      </c>
      <c r="AP1718" s="9">
        <v>3.4946470425331215</v>
      </c>
    </row>
    <row r="1719" spans="40:42" x14ac:dyDescent="0.3">
      <c r="AN1719">
        <v>1715</v>
      </c>
      <c r="AO1719" s="11">
        <v>30809.08</v>
      </c>
      <c r="AP1719" s="9">
        <v>3.3797647333493845</v>
      </c>
    </row>
    <row r="1720" spans="40:42" x14ac:dyDescent="0.3">
      <c r="AN1720">
        <v>1716</v>
      </c>
      <c r="AO1720" s="11">
        <v>31604.02</v>
      </c>
      <c r="AP1720" s="9">
        <v>3.3633886811995137</v>
      </c>
    </row>
    <row r="1721" spans="40:42" x14ac:dyDescent="0.3">
      <c r="AN1721">
        <v>1717</v>
      </c>
      <c r="AO1721" s="11">
        <v>18300.080000000002</v>
      </c>
      <c r="AP1721" s="9">
        <v>3.4138536128227619</v>
      </c>
    </row>
    <row r="1722" spans="40:42" x14ac:dyDescent="0.3">
      <c r="AN1722">
        <v>1718</v>
      </c>
      <c r="AO1722" s="11">
        <v>39887.32</v>
      </c>
      <c r="AP1722" s="9">
        <v>3.7019221890433127</v>
      </c>
    </row>
    <row r="1723" spans="40:42" x14ac:dyDescent="0.3">
      <c r="AN1723">
        <v>1719</v>
      </c>
      <c r="AO1723" s="11">
        <v>20611.86</v>
      </c>
      <c r="AP1723" s="9">
        <v>2.907403960901334</v>
      </c>
    </row>
    <row r="1724" spans="40:42" x14ac:dyDescent="0.3">
      <c r="AN1724">
        <v>1720</v>
      </c>
      <c r="AO1724" s="11">
        <v>21297.86</v>
      </c>
      <c r="AP1724" s="9">
        <v>3.4663482237290637</v>
      </c>
    </row>
    <row r="1725" spans="40:42" x14ac:dyDescent="0.3">
      <c r="AN1725">
        <v>1721</v>
      </c>
      <c r="AO1725" s="11">
        <v>26162.799999999999</v>
      </c>
      <c r="AP1725" s="9">
        <v>3.1157032033804466</v>
      </c>
    </row>
    <row r="1726" spans="40:42" x14ac:dyDescent="0.3">
      <c r="AN1726">
        <v>1722</v>
      </c>
      <c r="AO1726" s="11">
        <v>26052.51</v>
      </c>
      <c r="AP1726" s="9">
        <v>3.7052922324935307</v>
      </c>
    </row>
    <row r="1727" spans="40:42" x14ac:dyDescent="0.3">
      <c r="AN1727">
        <v>1723</v>
      </c>
      <c r="AO1727" s="11">
        <v>22166.87</v>
      </c>
      <c r="AP1727" s="9">
        <v>3.1020603666709778</v>
      </c>
    </row>
    <row r="1728" spans="40:42" x14ac:dyDescent="0.3">
      <c r="AN1728">
        <v>1724</v>
      </c>
      <c r="AO1728" s="11">
        <v>23243.45</v>
      </c>
      <c r="AP1728" s="9">
        <v>3.6493313018955003</v>
      </c>
    </row>
    <row r="1729" spans="40:42" x14ac:dyDescent="0.3">
      <c r="AN1729">
        <v>1725</v>
      </c>
      <c r="AO1729" s="11">
        <v>32073.74</v>
      </c>
      <c r="AP1729" s="9">
        <v>3.2265894252893408</v>
      </c>
    </row>
    <row r="1730" spans="40:42" x14ac:dyDescent="0.3">
      <c r="AN1730">
        <v>1726</v>
      </c>
      <c r="AO1730" s="11">
        <v>25398.17</v>
      </c>
      <c r="AP1730" s="9">
        <v>3.1159987603770309</v>
      </c>
    </row>
    <row r="1731" spans="40:42" x14ac:dyDescent="0.3">
      <c r="AN1731">
        <v>1727</v>
      </c>
      <c r="AO1731" s="11">
        <v>13822.29</v>
      </c>
      <c r="AP1731" s="9">
        <v>3.5314057314505911</v>
      </c>
    </row>
    <row r="1732" spans="40:42" x14ac:dyDescent="0.3">
      <c r="AN1732">
        <v>1728</v>
      </c>
      <c r="AO1732" s="11">
        <v>35964.1</v>
      </c>
      <c r="AP1732" s="9">
        <v>3.7578271124924219</v>
      </c>
    </row>
    <row r="1733" spans="40:42" x14ac:dyDescent="0.3">
      <c r="AN1733">
        <v>1729</v>
      </c>
      <c r="AO1733" s="11">
        <v>29120.87</v>
      </c>
      <c r="AP1733" s="9">
        <v>3.2729520226604549</v>
      </c>
    </row>
    <row r="1734" spans="40:42" x14ac:dyDescent="0.3">
      <c r="AN1734">
        <v>1730</v>
      </c>
      <c r="AO1734" s="11">
        <v>23645.25</v>
      </c>
      <c r="AP1734" s="9">
        <v>3.9772440337342676</v>
      </c>
    </row>
    <row r="1735" spans="40:42" x14ac:dyDescent="0.3">
      <c r="AN1735">
        <v>1731</v>
      </c>
      <c r="AO1735" s="11">
        <v>16843.86</v>
      </c>
      <c r="AP1735" s="9">
        <v>2.8439350483370887</v>
      </c>
    </row>
    <row r="1736" spans="40:42" x14ac:dyDescent="0.3">
      <c r="AN1736">
        <v>1732</v>
      </c>
      <c r="AO1736" s="11">
        <v>24226.31</v>
      </c>
      <c r="AP1736" s="9">
        <v>3.0514396785893432</v>
      </c>
    </row>
    <row r="1737" spans="40:42" x14ac:dyDescent="0.3">
      <c r="AN1737">
        <v>1733</v>
      </c>
      <c r="AO1737" s="11">
        <v>31347.35</v>
      </c>
      <c r="AP1737" s="9">
        <v>3.5083425492215392</v>
      </c>
    </row>
    <row r="1738" spans="40:42" x14ac:dyDescent="0.3">
      <c r="AN1738">
        <v>1734</v>
      </c>
      <c r="AO1738" s="11">
        <v>25294.03</v>
      </c>
      <c r="AP1738" s="9">
        <v>2.9620896228639357</v>
      </c>
    </row>
    <row r="1739" spans="40:42" x14ac:dyDescent="0.3">
      <c r="AN1739">
        <v>1735</v>
      </c>
      <c r="AO1739" s="11">
        <v>23615.41</v>
      </c>
      <c r="AP1739" s="9">
        <v>3.4529815203899124</v>
      </c>
    </row>
    <row r="1740" spans="40:42" x14ac:dyDescent="0.3">
      <c r="AN1740">
        <v>1736</v>
      </c>
      <c r="AO1740" s="11">
        <v>42654.95</v>
      </c>
      <c r="AP1740" s="9">
        <v>3.4195052017086627</v>
      </c>
    </row>
    <row r="1741" spans="40:42" x14ac:dyDescent="0.3">
      <c r="AN1741">
        <v>1737</v>
      </c>
      <c r="AO1741" s="11">
        <v>31811.8</v>
      </c>
      <c r="AP1741" s="9">
        <v>3.3807111465010005</v>
      </c>
    </row>
    <row r="1742" spans="40:42" x14ac:dyDescent="0.3">
      <c r="AN1742">
        <v>1738</v>
      </c>
      <c r="AO1742" s="11">
        <v>28712.32</v>
      </c>
      <c r="AP1742" s="9">
        <v>3.5792157040748118</v>
      </c>
    </row>
    <row r="1743" spans="40:42" x14ac:dyDescent="0.3">
      <c r="AN1743">
        <v>1739</v>
      </c>
      <c r="AO1743" s="11">
        <v>17348.25</v>
      </c>
      <c r="AP1743" s="9">
        <v>3.0502781599787054</v>
      </c>
    </row>
    <row r="1744" spans="40:42" x14ac:dyDescent="0.3">
      <c r="AN1744">
        <v>1740</v>
      </c>
      <c r="AO1744" s="11">
        <v>23513.01</v>
      </c>
      <c r="AP1744" s="9">
        <v>3.4124781564196205</v>
      </c>
    </row>
    <row r="1745" spans="40:42" x14ac:dyDescent="0.3">
      <c r="AN1745">
        <v>1741</v>
      </c>
      <c r="AO1745" s="11">
        <v>23674.7</v>
      </c>
      <c r="AP1745" s="9">
        <v>3.5462184760458344</v>
      </c>
    </row>
    <row r="1746" spans="40:42" x14ac:dyDescent="0.3">
      <c r="AN1746">
        <v>1742</v>
      </c>
      <c r="AO1746" s="11">
        <v>24286.07</v>
      </c>
      <c r="AP1746" s="9">
        <v>3.3060617295040333</v>
      </c>
    </row>
    <row r="1747" spans="40:42" x14ac:dyDescent="0.3">
      <c r="AN1747">
        <v>1743</v>
      </c>
      <c r="AO1747" s="11">
        <v>34148.629999999997</v>
      </c>
      <c r="AP1747" s="9">
        <v>3.3475169475268407</v>
      </c>
    </row>
    <row r="1748" spans="40:42" x14ac:dyDescent="0.3">
      <c r="AN1748">
        <v>1744</v>
      </c>
      <c r="AO1748" s="11">
        <v>30895.4</v>
      </c>
      <c r="AP1748" s="9">
        <v>3.2292265261005655</v>
      </c>
    </row>
    <row r="1749" spans="40:42" x14ac:dyDescent="0.3">
      <c r="AN1749">
        <v>1745</v>
      </c>
      <c r="AO1749" s="11">
        <v>28851.34</v>
      </c>
      <c r="AP1749" s="9">
        <v>2.9883962617847009</v>
      </c>
    </row>
    <row r="1750" spans="40:42" x14ac:dyDescent="0.3">
      <c r="AN1750">
        <v>1746</v>
      </c>
      <c r="AO1750" s="11">
        <v>25642.06</v>
      </c>
      <c r="AP1750" s="9">
        <v>3.4303171044039784</v>
      </c>
    </row>
    <row r="1751" spans="40:42" x14ac:dyDescent="0.3">
      <c r="AN1751">
        <v>1747</v>
      </c>
      <c r="AO1751" s="11">
        <v>17419.55</v>
      </c>
      <c r="AP1751" s="9">
        <v>2.9874991212567177</v>
      </c>
    </row>
    <row r="1752" spans="40:42" x14ac:dyDescent="0.3">
      <c r="AN1752">
        <v>1748</v>
      </c>
      <c r="AO1752" s="11">
        <v>27698.59</v>
      </c>
      <c r="AP1752" s="9">
        <v>3.1743783324667199</v>
      </c>
    </row>
    <row r="1753" spans="40:42" x14ac:dyDescent="0.3">
      <c r="AN1753">
        <v>1749</v>
      </c>
      <c r="AO1753" s="11">
        <v>58334.36</v>
      </c>
      <c r="AP1753" s="9">
        <v>3.9572623010181203</v>
      </c>
    </row>
    <row r="1754" spans="40:42" x14ac:dyDescent="0.3">
      <c r="AN1754">
        <v>1750</v>
      </c>
      <c r="AO1754" s="11">
        <v>23833.64</v>
      </c>
      <c r="AP1754" s="9">
        <v>3.320754407983241</v>
      </c>
    </row>
    <row r="1755" spans="40:42" x14ac:dyDescent="0.3">
      <c r="AN1755">
        <v>1751</v>
      </c>
      <c r="AO1755" s="11">
        <v>31801.25</v>
      </c>
      <c r="AP1755" s="9">
        <v>3.3192588012536501</v>
      </c>
    </row>
    <row r="1756" spans="40:42" x14ac:dyDescent="0.3">
      <c r="AN1756">
        <v>1752</v>
      </c>
      <c r="AO1756" s="11">
        <v>33128.33</v>
      </c>
      <c r="AP1756" s="9">
        <v>3.7062600875175744</v>
      </c>
    </row>
    <row r="1757" spans="40:42" x14ac:dyDescent="0.3">
      <c r="AN1757">
        <v>1753</v>
      </c>
      <c r="AO1757" s="11">
        <v>33177.51</v>
      </c>
      <c r="AP1757" s="9">
        <v>3.5176321631012546</v>
      </c>
    </row>
    <row r="1758" spans="40:42" x14ac:dyDescent="0.3">
      <c r="AN1758">
        <v>1754</v>
      </c>
      <c r="AO1758" s="11">
        <v>29724.87</v>
      </c>
      <c r="AP1758" s="9">
        <v>3.1491175112032019</v>
      </c>
    </row>
    <row r="1759" spans="40:42" x14ac:dyDescent="0.3">
      <c r="AN1759">
        <v>1755</v>
      </c>
      <c r="AO1759" s="11">
        <v>22635.94</v>
      </c>
      <c r="AP1759" s="9">
        <v>3.2809827549159052</v>
      </c>
    </row>
    <row r="1760" spans="40:42" x14ac:dyDescent="0.3">
      <c r="AN1760">
        <v>1756</v>
      </c>
      <c r="AO1760" s="11">
        <v>30139.43</v>
      </c>
      <c r="AP1760" s="9">
        <v>3.8073220137310582</v>
      </c>
    </row>
    <row r="1761" spans="40:42" x14ac:dyDescent="0.3">
      <c r="AN1761">
        <v>1757</v>
      </c>
      <c r="AO1761" s="11">
        <v>23748.95</v>
      </c>
      <c r="AP1761" s="9">
        <v>3.2948278690182744</v>
      </c>
    </row>
    <row r="1762" spans="40:42" x14ac:dyDescent="0.3">
      <c r="AN1762">
        <v>1758</v>
      </c>
      <c r="AO1762" s="11">
        <v>32661.37</v>
      </c>
      <c r="AP1762" s="9">
        <v>3.4533944161453225</v>
      </c>
    </row>
    <row r="1763" spans="40:42" x14ac:dyDescent="0.3">
      <c r="AN1763">
        <v>1759</v>
      </c>
      <c r="AO1763" s="11">
        <v>19478.759999999998</v>
      </c>
      <c r="AP1763" s="9">
        <v>2.6973586690747875</v>
      </c>
    </row>
    <row r="1764" spans="40:42" x14ac:dyDescent="0.3">
      <c r="AN1764">
        <v>1760</v>
      </c>
      <c r="AO1764" s="11">
        <v>21794.35</v>
      </c>
      <c r="AP1764" s="9">
        <v>3.0317040182145183</v>
      </c>
    </row>
    <row r="1765" spans="40:42" x14ac:dyDescent="0.3">
      <c r="AN1765">
        <v>1761</v>
      </c>
      <c r="AO1765" s="11">
        <v>29321.84</v>
      </c>
      <c r="AP1765" s="9">
        <v>3.3018638685607358</v>
      </c>
    </row>
    <row r="1766" spans="40:42" x14ac:dyDescent="0.3">
      <c r="AN1766">
        <v>1762</v>
      </c>
      <c r="AO1766" s="11">
        <v>24186.06</v>
      </c>
      <c r="AP1766" s="9">
        <v>3.5658144985671951</v>
      </c>
    </row>
    <row r="1767" spans="40:42" x14ac:dyDescent="0.3">
      <c r="AN1767">
        <v>1763</v>
      </c>
      <c r="AO1767" s="11">
        <v>22285.8</v>
      </c>
      <c r="AP1767" s="9">
        <v>2.672998718659211</v>
      </c>
    </row>
    <row r="1768" spans="40:42" x14ac:dyDescent="0.3">
      <c r="AN1768">
        <v>1764</v>
      </c>
      <c r="AO1768" s="11">
        <v>28469.05</v>
      </c>
      <c r="AP1768" s="9">
        <v>3.7626359470936932</v>
      </c>
    </row>
    <row r="1769" spans="40:42" x14ac:dyDescent="0.3">
      <c r="AN1769">
        <v>1765</v>
      </c>
      <c r="AO1769" s="11">
        <v>21571.18</v>
      </c>
      <c r="AP1769" s="9">
        <v>3.8801932702008322</v>
      </c>
    </row>
    <row r="1770" spans="40:42" x14ac:dyDescent="0.3">
      <c r="AN1770">
        <v>1766</v>
      </c>
      <c r="AO1770" s="11">
        <v>24360.080000000002</v>
      </c>
      <c r="AP1770" s="9">
        <v>2.960138856635719</v>
      </c>
    </row>
    <row r="1771" spans="40:42" x14ac:dyDescent="0.3">
      <c r="AN1771">
        <v>1767</v>
      </c>
      <c r="AO1771" s="11">
        <v>32444.240000000002</v>
      </c>
      <c r="AP1771" s="9">
        <v>4.3722750258416072</v>
      </c>
    </row>
    <row r="1772" spans="40:42" x14ac:dyDescent="0.3">
      <c r="AN1772">
        <v>1768</v>
      </c>
      <c r="AO1772" s="11">
        <v>21033.78</v>
      </c>
      <c r="AP1772" s="9">
        <v>3.1028850988193426</v>
      </c>
    </row>
    <row r="1773" spans="40:42" x14ac:dyDescent="0.3">
      <c r="AN1773">
        <v>1769</v>
      </c>
      <c r="AO1773" s="11">
        <v>21598.65</v>
      </c>
      <c r="AP1773" s="9">
        <v>3.1410250920665077</v>
      </c>
    </row>
    <row r="1774" spans="40:42" x14ac:dyDescent="0.3">
      <c r="AN1774">
        <v>1770</v>
      </c>
      <c r="AO1774" s="11">
        <v>24799.29</v>
      </c>
      <c r="AP1774" s="9">
        <v>3.2435432561582092</v>
      </c>
    </row>
    <row r="1775" spans="40:42" x14ac:dyDescent="0.3">
      <c r="AN1775">
        <v>1771</v>
      </c>
      <c r="AO1775" s="11">
        <v>14140.58</v>
      </c>
      <c r="AP1775" s="9">
        <v>2.9981537580180637</v>
      </c>
    </row>
    <row r="1776" spans="40:42" x14ac:dyDescent="0.3">
      <c r="AN1776">
        <v>1772</v>
      </c>
      <c r="AO1776" s="11">
        <v>32482.28</v>
      </c>
      <c r="AP1776" s="9">
        <v>3.3921196646013985</v>
      </c>
    </row>
    <row r="1777" spans="40:42" x14ac:dyDescent="0.3">
      <c r="AN1777">
        <v>1773</v>
      </c>
      <c r="AO1777" s="11">
        <v>42475.41</v>
      </c>
      <c r="AP1777" s="9">
        <v>4.0686951251922139</v>
      </c>
    </row>
    <row r="1778" spans="40:42" x14ac:dyDescent="0.3">
      <c r="AN1778">
        <v>1774</v>
      </c>
      <c r="AO1778" s="11">
        <v>23028.09</v>
      </c>
      <c r="AP1778" s="9">
        <v>3.4438226277887432</v>
      </c>
    </row>
    <row r="1779" spans="40:42" x14ac:dyDescent="0.3">
      <c r="AN1779">
        <v>1775</v>
      </c>
      <c r="AO1779" s="11">
        <v>25462.799999999999</v>
      </c>
      <c r="AP1779" s="9">
        <v>3.0353657070399263</v>
      </c>
    </row>
    <row r="1780" spans="40:42" x14ac:dyDescent="0.3">
      <c r="AN1780">
        <v>1776</v>
      </c>
      <c r="AO1780" s="11">
        <v>28466.18</v>
      </c>
      <c r="AP1780" s="9">
        <v>3.7248590999166846</v>
      </c>
    </row>
    <row r="1781" spans="40:42" x14ac:dyDescent="0.3">
      <c r="AN1781">
        <v>1777</v>
      </c>
      <c r="AO1781" s="11">
        <v>21057.69</v>
      </c>
      <c r="AP1781" s="9">
        <v>3.4392297347246168</v>
      </c>
    </row>
    <row r="1782" spans="40:42" x14ac:dyDescent="0.3">
      <c r="AN1782">
        <v>1778</v>
      </c>
      <c r="AO1782" s="11">
        <v>28176.14</v>
      </c>
      <c r="AP1782" s="9">
        <v>3.6708899900334004</v>
      </c>
    </row>
    <row r="1783" spans="40:42" x14ac:dyDescent="0.3">
      <c r="AN1783">
        <v>1779</v>
      </c>
      <c r="AO1783" s="11">
        <v>20439.86</v>
      </c>
      <c r="AP1783" s="9">
        <v>3.3730520429237645</v>
      </c>
    </row>
    <row r="1784" spans="40:42" x14ac:dyDescent="0.3">
      <c r="AN1784">
        <v>1780</v>
      </c>
      <c r="AO1784" s="11">
        <v>27079.599999999999</v>
      </c>
      <c r="AP1784" s="9">
        <v>3.4988395023591088</v>
      </c>
    </row>
    <row r="1785" spans="40:42" x14ac:dyDescent="0.3">
      <c r="AN1785">
        <v>1781</v>
      </c>
      <c r="AO1785" s="11">
        <v>28741.78</v>
      </c>
      <c r="AP1785" s="9">
        <v>3.4650937260371717</v>
      </c>
    </row>
    <row r="1786" spans="40:42" x14ac:dyDescent="0.3">
      <c r="AN1786">
        <v>1782</v>
      </c>
      <c r="AO1786" s="11">
        <v>21281.040000000001</v>
      </c>
      <c r="AP1786" s="9">
        <v>3.449696819892726</v>
      </c>
    </row>
    <row r="1787" spans="40:42" x14ac:dyDescent="0.3">
      <c r="AN1787">
        <v>1783</v>
      </c>
      <c r="AO1787" s="11">
        <v>32109.69</v>
      </c>
      <c r="AP1787" s="9">
        <v>3.4113886478564104</v>
      </c>
    </row>
    <row r="1788" spans="40:42" x14ac:dyDescent="0.3">
      <c r="AN1788">
        <v>1784</v>
      </c>
      <c r="AO1788" s="11">
        <v>30766.07</v>
      </c>
      <c r="AP1788" s="9">
        <v>2.8624405511606041</v>
      </c>
    </row>
    <row r="1789" spans="40:42" x14ac:dyDescent="0.3">
      <c r="AN1789">
        <v>1785</v>
      </c>
      <c r="AO1789" s="11">
        <v>38164.050000000003</v>
      </c>
      <c r="AP1789" s="9">
        <v>3.2255894087455377</v>
      </c>
    </row>
    <row r="1790" spans="40:42" x14ac:dyDescent="0.3">
      <c r="AN1790">
        <v>1786</v>
      </c>
      <c r="AO1790" s="11">
        <v>37249.160000000003</v>
      </c>
      <c r="AP1790" s="9">
        <v>4.3171899587518361</v>
      </c>
    </row>
    <row r="1791" spans="40:42" x14ac:dyDescent="0.3">
      <c r="AN1791">
        <v>1787</v>
      </c>
      <c r="AO1791" s="11">
        <v>23902.26</v>
      </c>
      <c r="AP1791" s="9">
        <v>3.0176247550495288</v>
      </c>
    </row>
    <row r="1792" spans="40:42" x14ac:dyDescent="0.3">
      <c r="AN1792">
        <v>1788</v>
      </c>
      <c r="AO1792" s="11">
        <v>20456.48</v>
      </c>
      <c r="AP1792" s="9">
        <v>3.1480251242271402</v>
      </c>
    </row>
    <row r="1793" spans="40:42" x14ac:dyDescent="0.3">
      <c r="AN1793">
        <v>1789</v>
      </c>
      <c r="AO1793" s="11">
        <v>32570.21</v>
      </c>
      <c r="AP1793" s="9">
        <v>3.2674132521508747</v>
      </c>
    </row>
    <row r="1794" spans="40:42" x14ac:dyDescent="0.3">
      <c r="AN1794">
        <v>1790</v>
      </c>
      <c r="AO1794" s="11">
        <v>27889.15</v>
      </c>
      <c r="AP1794" s="9">
        <v>3.651994378130246</v>
      </c>
    </row>
    <row r="1795" spans="40:42" x14ac:dyDescent="0.3">
      <c r="AN1795">
        <v>1791</v>
      </c>
      <c r="AO1795" s="11">
        <v>17359.66</v>
      </c>
      <c r="AP1795" s="9">
        <v>3.0545664939413535</v>
      </c>
    </row>
    <row r="1796" spans="40:42" x14ac:dyDescent="0.3">
      <c r="AN1796">
        <v>1792</v>
      </c>
      <c r="AO1796" s="11">
        <v>19815.91</v>
      </c>
      <c r="AP1796" s="9">
        <v>3.3417091498244385</v>
      </c>
    </row>
    <row r="1797" spans="40:42" x14ac:dyDescent="0.3">
      <c r="AN1797">
        <v>1793</v>
      </c>
      <c r="AO1797" s="11">
        <v>24597.74</v>
      </c>
      <c r="AP1797" s="9">
        <v>3.462273941195094</v>
      </c>
    </row>
    <row r="1798" spans="40:42" x14ac:dyDescent="0.3">
      <c r="AN1798">
        <v>1794</v>
      </c>
      <c r="AO1798" s="11">
        <v>34372.69</v>
      </c>
      <c r="AP1798" s="9">
        <v>3.1175664558104277</v>
      </c>
    </row>
    <row r="1799" spans="40:42" x14ac:dyDescent="0.3">
      <c r="AN1799">
        <v>1795</v>
      </c>
      <c r="AO1799" s="11">
        <v>25949.77</v>
      </c>
      <c r="AP1799" s="9">
        <v>3.7568673044673861</v>
      </c>
    </row>
    <row r="1800" spans="40:42" x14ac:dyDescent="0.3">
      <c r="AN1800">
        <v>1796</v>
      </c>
      <c r="AO1800" s="11">
        <v>38603.339999999997</v>
      </c>
      <c r="AP1800" s="9">
        <v>4.1164074580480303</v>
      </c>
    </row>
    <row r="1801" spans="40:42" x14ac:dyDescent="0.3">
      <c r="AN1801">
        <v>1797</v>
      </c>
      <c r="AO1801" s="11">
        <v>27939.11</v>
      </c>
      <c r="AP1801" s="9">
        <v>3.7509565591127236</v>
      </c>
    </row>
    <row r="1802" spans="40:42" x14ac:dyDescent="0.3">
      <c r="AN1802">
        <v>1798</v>
      </c>
      <c r="AO1802" s="11">
        <v>29516.52</v>
      </c>
      <c r="AP1802" s="9">
        <v>3.246701296337271</v>
      </c>
    </row>
    <row r="1803" spans="40:42" x14ac:dyDescent="0.3">
      <c r="AN1803">
        <v>1799</v>
      </c>
      <c r="AO1803" s="11">
        <v>27191.85</v>
      </c>
      <c r="AP1803" s="9">
        <v>3.1598312063024916</v>
      </c>
    </row>
    <row r="1804" spans="40:42" x14ac:dyDescent="0.3">
      <c r="AN1804">
        <v>1800</v>
      </c>
      <c r="AO1804" s="11">
        <v>39382.1</v>
      </c>
      <c r="AP1804" s="9">
        <v>3.9792149201904086</v>
      </c>
    </row>
    <row r="1805" spans="40:42" x14ac:dyDescent="0.3">
      <c r="AN1805">
        <v>1801</v>
      </c>
      <c r="AO1805" s="11">
        <v>28483.8</v>
      </c>
      <c r="AP1805" s="9">
        <v>3.0740822862219961</v>
      </c>
    </row>
    <row r="1806" spans="40:42" x14ac:dyDescent="0.3">
      <c r="AN1806">
        <v>1802</v>
      </c>
      <c r="AO1806" s="11">
        <v>29550.59</v>
      </c>
      <c r="AP1806" s="9">
        <v>4.2115927247366871</v>
      </c>
    </row>
    <row r="1807" spans="40:42" x14ac:dyDescent="0.3">
      <c r="AN1807">
        <v>1803</v>
      </c>
      <c r="AO1807" s="11">
        <v>31284.46</v>
      </c>
      <c r="AP1807" s="9">
        <v>3.6608007372082811</v>
      </c>
    </row>
    <row r="1808" spans="40:42" x14ac:dyDescent="0.3">
      <c r="AN1808">
        <v>1804</v>
      </c>
      <c r="AO1808" s="11">
        <v>36314.589999999997</v>
      </c>
      <c r="AP1808" s="9">
        <v>3.3691518776295193</v>
      </c>
    </row>
    <row r="1809" spans="40:42" x14ac:dyDescent="0.3">
      <c r="AN1809">
        <v>1805</v>
      </c>
      <c r="AO1809" s="11">
        <v>28857.61</v>
      </c>
      <c r="AP1809" s="9">
        <v>3.5783156119327462</v>
      </c>
    </row>
    <row r="1810" spans="40:42" x14ac:dyDescent="0.3">
      <c r="AN1810">
        <v>1806</v>
      </c>
      <c r="AO1810" s="11">
        <v>26647.33</v>
      </c>
      <c r="AP1810" s="9">
        <v>3.2047848898195368</v>
      </c>
    </row>
    <row r="1811" spans="40:42" x14ac:dyDescent="0.3">
      <c r="AN1811">
        <v>1807</v>
      </c>
      <c r="AO1811" s="11">
        <v>22228.9</v>
      </c>
      <c r="AP1811" s="9">
        <v>3.2268797081155896</v>
      </c>
    </row>
    <row r="1812" spans="40:42" x14ac:dyDescent="0.3">
      <c r="AN1812">
        <v>1808</v>
      </c>
      <c r="AO1812" s="11">
        <v>18639.349999999999</v>
      </c>
      <c r="AP1812" s="9">
        <v>3.1475706568686843</v>
      </c>
    </row>
    <row r="1813" spans="40:42" x14ac:dyDescent="0.3">
      <c r="AN1813">
        <v>1809</v>
      </c>
      <c r="AO1813" s="11">
        <v>22073.42</v>
      </c>
      <c r="AP1813" s="9">
        <v>3.4909053508463308</v>
      </c>
    </row>
    <row r="1814" spans="40:42" x14ac:dyDescent="0.3">
      <c r="AN1814">
        <v>1810</v>
      </c>
      <c r="AO1814" s="11">
        <v>18694.62</v>
      </c>
      <c r="AP1814" s="9">
        <v>2.4852807319366059</v>
      </c>
    </row>
    <row r="1815" spans="40:42" x14ac:dyDescent="0.3">
      <c r="AN1815">
        <v>1811</v>
      </c>
      <c r="AO1815" s="11">
        <v>23253.72</v>
      </c>
      <c r="AP1815" s="9">
        <v>2.66014264608194</v>
      </c>
    </row>
    <row r="1816" spans="40:42" x14ac:dyDescent="0.3">
      <c r="AN1816">
        <v>1812</v>
      </c>
      <c r="AO1816" s="11">
        <v>24843.86</v>
      </c>
      <c r="AP1816" s="9">
        <v>3.2390875831637658</v>
      </c>
    </row>
    <row r="1817" spans="40:42" x14ac:dyDescent="0.3">
      <c r="AN1817">
        <v>1813</v>
      </c>
      <c r="AO1817" s="11">
        <v>25469.66</v>
      </c>
      <c r="AP1817" s="9">
        <v>3.5606988523602192</v>
      </c>
    </row>
    <row r="1818" spans="40:42" x14ac:dyDescent="0.3">
      <c r="AN1818">
        <v>1814</v>
      </c>
      <c r="AO1818" s="11">
        <v>36840.51</v>
      </c>
      <c r="AP1818" s="9">
        <v>4.221732568987024</v>
      </c>
    </row>
    <row r="1819" spans="40:42" x14ac:dyDescent="0.3">
      <c r="AN1819">
        <v>1815</v>
      </c>
      <c r="AO1819" s="11">
        <v>37751.519999999997</v>
      </c>
      <c r="AP1819" s="9">
        <v>3.7093399121179713</v>
      </c>
    </row>
    <row r="1820" spans="40:42" x14ac:dyDescent="0.3">
      <c r="AN1820">
        <v>1816</v>
      </c>
      <c r="AO1820" s="11">
        <v>35765.03</v>
      </c>
      <c r="AP1820" s="9">
        <v>3.936756171872025</v>
      </c>
    </row>
    <row r="1821" spans="40:42" x14ac:dyDescent="0.3">
      <c r="AN1821">
        <v>1817</v>
      </c>
      <c r="AO1821" s="11">
        <v>28031.65</v>
      </c>
      <c r="AP1821" s="9">
        <v>3.3425280207118164</v>
      </c>
    </row>
    <row r="1822" spans="40:42" x14ac:dyDescent="0.3">
      <c r="AN1822">
        <v>1818</v>
      </c>
      <c r="AO1822" s="11">
        <v>31323.94</v>
      </c>
      <c r="AP1822" s="9">
        <v>3.5386723795169113</v>
      </c>
    </row>
    <row r="1823" spans="40:42" x14ac:dyDescent="0.3">
      <c r="AN1823">
        <v>1819</v>
      </c>
      <c r="AO1823" s="11">
        <v>28908.93</v>
      </c>
      <c r="AP1823" s="9">
        <v>3.5925100025123808</v>
      </c>
    </row>
    <row r="1824" spans="40:42" x14ac:dyDescent="0.3">
      <c r="AN1824">
        <v>1820</v>
      </c>
      <c r="AO1824" s="11">
        <v>22755.79</v>
      </c>
      <c r="AP1824" s="9">
        <v>2.928197110140411</v>
      </c>
    </row>
    <row r="1825" spans="40:42" x14ac:dyDescent="0.3">
      <c r="AN1825">
        <v>1821</v>
      </c>
      <c r="AO1825" s="11">
        <v>36058.870000000003</v>
      </c>
      <c r="AP1825" s="9">
        <v>4.2690458882081268</v>
      </c>
    </row>
    <row r="1826" spans="40:42" x14ac:dyDescent="0.3">
      <c r="AN1826">
        <v>1822</v>
      </c>
      <c r="AO1826" s="11">
        <v>36586.06</v>
      </c>
      <c r="AP1826" s="9">
        <v>3.5451631690507988</v>
      </c>
    </row>
    <row r="1827" spans="40:42" x14ac:dyDescent="0.3">
      <c r="AN1827">
        <v>1823</v>
      </c>
      <c r="AO1827" s="11">
        <v>27416.48</v>
      </c>
      <c r="AP1827" s="9">
        <v>4.0612306854041647</v>
      </c>
    </row>
    <row r="1828" spans="40:42" x14ac:dyDescent="0.3">
      <c r="AN1828">
        <v>1824</v>
      </c>
      <c r="AO1828" s="11">
        <v>15798.12</v>
      </c>
      <c r="AP1828" s="9">
        <v>2.9778129582910067</v>
      </c>
    </row>
    <row r="1829" spans="40:42" x14ac:dyDescent="0.3">
      <c r="AN1829">
        <v>1825</v>
      </c>
      <c r="AO1829" s="11">
        <v>26320.97</v>
      </c>
      <c r="AP1829" s="9">
        <v>3.5658665512538126</v>
      </c>
    </row>
    <row r="1830" spans="40:42" x14ac:dyDescent="0.3">
      <c r="AN1830">
        <v>1826</v>
      </c>
      <c r="AO1830" s="11">
        <v>22431.57</v>
      </c>
      <c r="AP1830" s="9">
        <v>3.4028159779713238</v>
      </c>
    </row>
    <row r="1831" spans="40:42" x14ac:dyDescent="0.3">
      <c r="AN1831">
        <v>1827</v>
      </c>
      <c r="AO1831" s="11">
        <v>32654.05</v>
      </c>
      <c r="AP1831" s="9">
        <v>3.7280532284332257</v>
      </c>
    </row>
    <row r="1832" spans="40:42" x14ac:dyDescent="0.3">
      <c r="AN1832">
        <v>1828</v>
      </c>
      <c r="AO1832" s="11">
        <v>18058.46</v>
      </c>
      <c r="AP1832" s="9">
        <v>3.3072251635953807</v>
      </c>
    </row>
    <row r="1833" spans="40:42" x14ac:dyDescent="0.3">
      <c r="AN1833">
        <v>1829</v>
      </c>
      <c r="AO1833" s="11">
        <v>20173.23</v>
      </c>
      <c r="AP1833" s="9">
        <v>2.7543403690336459</v>
      </c>
    </row>
    <row r="1834" spans="40:42" x14ac:dyDescent="0.3">
      <c r="AN1834">
        <v>1830</v>
      </c>
      <c r="AO1834" s="11">
        <v>27770.14</v>
      </c>
      <c r="AP1834" s="9">
        <v>3.9966625329272585</v>
      </c>
    </row>
    <row r="1835" spans="40:42" x14ac:dyDescent="0.3">
      <c r="AN1835">
        <v>1831</v>
      </c>
      <c r="AO1835" s="11">
        <v>37848.22</v>
      </c>
      <c r="AP1835" s="9">
        <v>3.3921904394407605</v>
      </c>
    </row>
    <row r="1836" spans="40:42" x14ac:dyDescent="0.3">
      <c r="AN1836">
        <v>1832</v>
      </c>
      <c r="AO1836" s="11">
        <v>15217.72</v>
      </c>
      <c r="AP1836" s="9">
        <v>3.0351410337442357</v>
      </c>
    </row>
    <row r="1837" spans="40:42" x14ac:dyDescent="0.3">
      <c r="AN1837">
        <v>1833</v>
      </c>
      <c r="AO1837" s="11">
        <v>17513.59</v>
      </c>
      <c r="AP1837" s="9">
        <v>2.8753211077093286</v>
      </c>
    </row>
    <row r="1838" spans="40:42" x14ac:dyDescent="0.3">
      <c r="AN1838">
        <v>1834</v>
      </c>
      <c r="AO1838" s="11">
        <v>34380.080000000002</v>
      </c>
      <c r="AP1838" s="9">
        <v>3.171424154018442</v>
      </c>
    </row>
    <row r="1839" spans="40:42" x14ac:dyDescent="0.3">
      <c r="AN1839">
        <v>1835</v>
      </c>
      <c r="AO1839" s="11">
        <v>36245.81</v>
      </c>
      <c r="AP1839" s="9">
        <v>3.4151565034288667</v>
      </c>
    </row>
    <row r="1840" spans="40:42" x14ac:dyDescent="0.3">
      <c r="AN1840">
        <v>1836</v>
      </c>
      <c r="AO1840" s="11">
        <v>27608.07</v>
      </c>
      <c r="AP1840" s="9">
        <v>3.5270073654792733</v>
      </c>
    </row>
    <row r="1841" spans="40:42" x14ac:dyDescent="0.3">
      <c r="AN1841">
        <v>1837</v>
      </c>
      <c r="AO1841" s="11">
        <v>25677.53</v>
      </c>
      <c r="AP1841" s="9">
        <v>3.4109548989923444</v>
      </c>
    </row>
    <row r="1842" spans="40:42" x14ac:dyDescent="0.3">
      <c r="AN1842">
        <v>1838</v>
      </c>
      <c r="AO1842" s="11">
        <v>29821.24</v>
      </c>
      <c r="AP1842" s="9">
        <v>3.1204218596674167</v>
      </c>
    </row>
    <row r="1843" spans="40:42" x14ac:dyDescent="0.3">
      <c r="AN1843">
        <v>1839</v>
      </c>
      <c r="AO1843" s="11">
        <v>25568.560000000001</v>
      </c>
      <c r="AP1843" s="9">
        <v>2.7670494742017127</v>
      </c>
    </row>
    <row r="1844" spans="40:42" x14ac:dyDescent="0.3">
      <c r="AN1844">
        <v>1840</v>
      </c>
      <c r="AO1844" s="11">
        <v>26097.87</v>
      </c>
      <c r="AP1844" s="9">
        <v>3.4921284978354716</v>
      </c>
    </row>
    <row r="1845" spans="40:42" x14ac:dyDescent="0.3">
      <c r="AN1845">
        <v>1841</v>
      </c>
      <c r="AO1845" s="11">
        <v>19461.75</v>
      </c>
      <c r="AP1845" s="9">
        <v>2.8709581788876877</v>
      </c>
    </row>
    <row r="1846" spans="40:42" x14ac:dyDescent="0.3">
      <c r="AN1846">
        <v>1842</v>
      </c>
      <c r="AO1846" s="11">
        <v>38576.300000000003</v>
      </c>
      <c r="AP1846" s="9">
        <v>3.5879778761931389</v>
      </c>
    </row>
    <row r="1847" spans="40:42" x14ac:dyDescent="0.3">
      <c r="AN1847">
        <v>1843</v>
      </c>
      <c r="AO1847" s="11">
        <v>22245.26</v>
      </c>
      <c r="AP1847" s="9">
        <v>3.6168406007958769</v>
      </c>
    </row>
    <row r="1848" spans="40:42" x14ac:dyDescent="0.3">
      <c r="AN1848">
        <v>1844</v>
      </c>
      <c r="AO1848" s="11">
        <v>35475.440000000002</v>
      </c>
      <c r="AP1848" s="9">
        <v>3.7432848607267157</v>
      </c>
    </row>
    <row r="1849" spans="40:42" x14ac:dyDescent="0.3">
      <c r="AN1849">
        <v>1845</v>
      </c>
      <c r="AO1849" s="11">
        <v>29375.15</v>
      </c>
      <c r="AP1849" s="9">
        <v>3.6452154611316852</v>
      </c>
    </row>
    <row r="1850" spans="40:42" x14ac:dyDescent="0.3">
      <c r="AN1850">
        <v>1846</v>
      </c>
      <c r="AO1850" s="11">
        <v>27786.21</v>
      </c>
      <c r="AP1850" s="9">
        <v>3.7716036468538654</v>
      </c>
    </row>
    <row r="1851" spans="40:42" x14ac:dyDescent="0.3">
      <c r="AN1851">
        <v>1847</v>
      </c>
      <c r="AO1851" s="11">
        <v>28834.84</v>
      </c>
      <c r="AP1851" s="9">
        <v>2.9736506881199443</v>
      </c>
    </row>
    <row r="1852" spans="40:42" x14ac:dyDescent="0.3">
      <c r="AN1852">
        <v>1848</v>
      </c>
      <c r="AO1852" s="11">
        <v>19584.25</v>
      </c>
      <c r="AP1852" s="9">
        <v>2.8921565439664572</v>
      </c>
    </row>
    <row r="1853" spans="40:42" x14ac:dyDescent="0.3">
      <c r="AN1853">
        <v>1849</v>
      </c>
      <c r="AO1853" s="11">
        <v>25840.23</v>
      </c>
      <c r="AP1853" s="9">
        <v>3.238152841777715</v>
      </c>
    </row>
    <row r="1854" spans="40:42" x14ac:dyDescent="0.3">
      <c r="AN1854">
        <v>1850</v>
      </c>
      <c r="AO1854" s="11">
        <v>27573.1</v>
      </c>
      <c r="AP1854" s="9">
        <v>3.4849870745399616</v>
      </c>
    </row>
    <row r="1855" spans="40:42" x14ac:dyDescent="0.3">
      <c r="AN1855">
        <v>1851</v>
      </c>
      <c r="AO1855" s="11">
        <v>32383.06</v>
      </c>
      <c r="AP1855" s="9">
        <v>2.992348244836704</v>
      </c>
    </row>
    <row r="1856" spans="40:42" x14ac:dyDescent="0.3">
      <c r="AN1856">
        <v>1852</v>
      </c>
      <c r="AO1856" s="11">
        <v>28329.32</v>
      </c>
      <c r="AP1856" s="9">
        <v>3.6264979974061955</v>
      </c>
    </row>
    <row r="1857" spans="40:42" x14ac:dyDescent="0.3">
      <c r="AN1857">
        <v>1853</v>
      </c>
      <c r="AO1857" s="11">
        <v>17730.53</v>
      </c>
      <c r="AP1857" s="9">
        <v>3.2407040021980058</v>
      </c>
    </row>
    <row r="1858" spans="40:42" x14ac:dyDescent="0.3">
      <c r="AN1858">
        <v>1854</v>
      </c>
      <c r="AO1858" s="11">
        <v>23191.7</v>
      </c>
      <c r="AP1858" s="9">
        <v>2.8794196600882134</v>
      </c>
    </row>
    <row r="1859" spans="40:42" x14ac:dyDescent="0.3">
      <c r="AN1859">
        <v>1855</v>
      </c>
      <c r="AO1859" s="11">
        <v>26641.15</v>
      </c>
      <c r="AP1859" s="9">
        <v>3.0168964607575757</v>
      </c>
    </row>
    <row r="1860" spans="40:42" x14ac:dyDescent="0.3">
      <c r="AN1860">
        <v>1856</v>
      </c>
      <c r="AO1860" s="11">
        <v>45071.14</v>
      </c>
      <c r="AP1860" s="9">
        <v>3.7271244260820802</v>
      </c>
    </row>
    <row r="1861" spans="40:42" x14ac:dyDescent="0.3">
      <c r="AN1861">
        <v>1857</v>
      </c>
      <c r="AO1861" s="11">
        <v>16641.55</v>
      </c>
      <c r="AP1861" s="9">
        <v>2.8378431332088945</v>
      </c>
    </row>
    <row r="1862" spans="40:42" x14ac:dyDescent="0.3">
      <c r="AN1862">
        <v>1858</v>
      </c>
      <c r="AO1862" s="11">
        <v>31382.61</v>
      </c>
      <c r="AP1862" s="9">
        <v>3.5241270297648248</v>
      </c>
    </row>
    <row r="1863" spans="40:42" x14ac:dyDescent="0.3">
      <c r="AN1863">
        <v>1859</v>
      </c>
      <c r="AO1863" s="11">
        <v>26375.52</v>
      </c>
      <c r="AP1863" s="9">
        <v>3.4067266621802901</v>
      </c>
    </row>
    <row r="1864" spans="40:42" x14ac:dyDescent="0.3">
      <c r="AN1864">
        <v>1860</v>
      </c>
      <c r="AO1864" s="11">
        <v>31003.4</v>
      </c>
      <c r="AP1864" s="9">
        <v>4.6178868842934042</v>
      </c>
    </row>
    <row r="1865" spans="40:42" x14ac:dyDescent="0.3">
      <c r="AN1865">
        <v>1861</v>
      </c>
      <c r="AO1865" s="11">
        <v>26736.91</v>
      </c>
      <c r="AP1865" s="9">
        <v>3.6541730234296885</v>
      </c>
    </row>
    <row r="1866" spans="40:42" x14ac:dyDescent="0.3">
      <c r="AN1866">
        <v>1862</v>
      </c>
      <c r="AO1866" s="11">
        <v>30847.3</v>
      </c>
      <c r="AP1866" s="9">
        <v>3.4853819928094594</v>
      </c>
    </row>
    <row r="1867" spans="40:42" x14ac:dyDescent="0.3">
      <c r="AN1867">
        <v>1863</v>
      </c>
      <c r="AO1867" s="11">
        <v>23103.22</v>
      </c>
      <c r="AP1867" s="9">
        <v>2.9990424590048783</v>
      </c>
    </row>
    <row r="1868" spans="40:42" x14ac:dyDescent="0.3">
      <c r="AN1868">
        <v>1864</v>
      </c>
      <c r="AO1868" s="11">
        <v>16713.13</v>
      </c>
      <c r="AP1868" s="9">
        <v>2.7598247951801453</v>
      </c>
    </row>
    <row r="1869" spans="40:42" x14ac:dyDescent="0.3">
      <c r="AN1869">
        <v>1865</v>
      </c>
      <c r="AO1869" s="11">
        <v>31837.03</v>
      </c>
      <c r="AP1869" s="9">
        <v>3.6703658292480359</v>
      </c>
    </row>
    <row r="1870" spans="40:42" x14ac:dyDescent="0.3">
      <c r="AN1870">
        <v>1866</v>
      </c>
      <c r="AO1870" s="11">
        <v>20442.099999999999</v>
      </c>
      <c r="AP1870" s="9">
        <v>3.6300881126397546</v>
      </c>
    </row>
    <row r="1871" spans="40:42" x14ac:dyDescent="0.3">
      <c r="AN1871">
        <v>1867</v>
      </c>
      <c r="AO1871" s="11">
        <v>35201.550000000003</v>
      </c>
      <c r="AP1871" s="9">
        <v>3.5972722108035247</v>
      </c>
    </row>
    <row r="1872" spans="40:42" x14ac:dyDescent="0.3">
      <c r="AN1872">
        <v>1868</v>
      </c>
      <c r="AO1872" s="11">
        <v>21081.43</v>
      </c>
      <c r="AP1872" s="9">
        <v>3.2744207638601481</v>
      </c>
    </row>
    <row r="1873" spans="40:42" x14ac:dyDescent="0.3">
      <c r="AN1873">
        <v>1869</v>
      </c>
      <c r="AO1873" s="11">
        <v>24246.1</v>
      </c>
      <c r="AP1873" s="9">
        <v>2.686966759182325</v>
      </c>
    </row>
    <row r="1874" spans="40:42" x14ac:dyDescent="0.3">
      <c r="AN1874">
        <v>1870</v>
      </c>
      <c r="AO1874" s="11">
        <v>36823.78</v>
      </c>
      <c r="AP1874" s="9">
        <v>4.0515224502901956</v>
      </c>
    </row>
    <row r="1875" spans="40:42" x14ac:dyDescent="0.3">
      <c r="AN1875">
        <v>1871</v>
      </c>
      <c r="AO1875" s="11">
        <v>32182.32</v>
      </c>
      <c r="AP1875" s="9">
        <v>3.6512583786782358</v>
      </c>
    </row>
    <row r="1876" spans="40:42" x14ac:dyDescent="0.3">
      <c r="AN1876">
        <v>1872</v>
      </c>
      <c r="AO1876" s="11">
        <v>51006.13</v>
      </c>
      <c r="AP1876" s="9">
        <v>3.6083799430163102</v>
      </c>
    </row>
    <row r="1877" spans="40:42" x14ac:dyDescent="0.3">
      <c r="AN1877">
        <v>1873</v>
      </c>
      <c r="AO1877" s="11">
        <v>31221.13</v>
      </c>
      <c r="AP1877" s="9">
        <v>4.0086550613547827</v>
      </c>
    </row>
    <row r="1878" spans="40:42" x14ac:dyDescent="0.3">
      <c r="AN1878">
        <v>1874</v>
      </c>
      <c r="AO1878" s="11">
        <v>31054.69</v>
      </c>
      <c r="AP1878" s="9">
        <v>4.1163690749142487</v>
      </c>
    </row>
    <row r="1879" spans="40:42" x14ac:dyDescent="0.3">
      <c r="AN1879">
        <v>1875</v>
      </c>
      <c r="AO1879" s="11">
        <v>37705.089999999997</v>
      </c>
      <c r="AP1879" s="9">
        <v>3.9156364937994468</v>
      </c>
    </row>
    <row r="1880" spans="40:42" x14ac:dyDescent="0.3">
      <c r="AN1880">
        <v>1876</v>
      </c>
      <c r="AO1880" s="11">
        <v>25248.42</v>
      </c>
      <c r="AP1880" s="9">
        <v>3.1776103705696594</v>
      </c>
    </row>
    <row r="1881" spans="40:42" x14ac:dyDescent="0.3">
      <c r="AN1881">
        <v>1877</v>
      </c>
      <c r="AO1881" s="11">
        <v>22614.560000000001</v>
      </c>
      <c r="AP1881" s="9">
        <v>3.0839596350730649</v>
      </c>
    </row>
    <row r="1882" spans="40:42" x14ac:dyDescent="0.3">
      <c r="AN1882">
        <v>1878</v>
      </c>
      <c r="AO1882" s="11">
        <v>25439.21</v>
      </c>
      <c r="AP1882" s="9">
        <v>3.1210891016993427</v>
      </c>
    </row>
    <row r="1883" spans="40:42" x14ac:dyDescent="0.3">
      <c r="AN1883">
        <v>1879</v>
      </c>
      <c r="AO1883" s="11">
        <v>27375.53</v>
      </c>
      <c r="AP1883" s="9">
        <v>3.5473897044643303</v>
      </c>
    </row>
    <row r="1884" spans="40:42" x14ac:dyDescent="0.3">
      <c r="AN1884">
        <v>1880</v>
      </c>
      <c r="AO1884" s="11">
        <v>41069.46</v>
      </c>
      <c r="AP1884" s="9">
        <v>3.4262276772235287</v>
      </c>
    </row>
    <row r="1885" spans="40:42" x14ac:dyDescent="0.3">
      <c r="AN1885">
        <v>1881</v>
      </c>
      <c r="AO1885" s="11">
        <v>26552.26</v>
      </c>
      <c r="AP1885" s="9">
        <v>3.2916746941437118</v>
      </c>
    </row>
    <row r="1886" spans="40:42" x14ac:dyDescent="0.3">
      <c r="AN1886">
        <v>1882</v>
      </c>
      <c r="AO1886" s="11">
        <v>20170.89</v>
      </c>
      <c r="AP1886" s="9">
        <v>3.1202720547389133</v>
      </c>
    </row>
    <row r="1887" spans="40:42" x14ac:dyDescent="0.3">
      <c r="AN1887">
        <v>1883</v>
      </c>
      <c r="AO1887" s="11">
        <v>22241.1</v>
      </c>
      <c r="AP1887" s="9">
        <v>3.0329824303513826</v>
      </c>
    </row>
    <row r="1888" spans="40:42" x14ac:dyDescent="0.3">
      <c r="AN1888">
        <v>1884</v>
      </c>
      <c r="AO1888" s="11">
        <v>33329.370000000003</v>
      </c>
      <c r="AP1888" s="9">
        <v>4.0277959039959166</v>
      </c>
    </row>
    <row r="1889" spans="40:42" x14ac:dyDescent="0.3">
      <c r="AN1889">
        <v>1885</v>
      </c>
      <c r="AO1889" s="11">
        <v>23133.360000000001</v>
      </c>
      <c r="AP1889" s="9">
        <v>3.1534699917954727</v>
      </c>
    </row>
    <row r="1890" spans="40:42" x14ac:dyDescent="0.3">
      <c r="AN1890">
        <v>1886</v>
      </c>
      <c r="AO1890" s="11">
        <v>25885.64</v>
      </c>
      <c r="AP1890" s="9">
        <v>2.993617404668683</v>
      </c>
    </row>
    <row r="1891" spans="40:42" x14ac:dyDescent="0.3">
      <c r="AN1891">
        <v>1887</v>
      </c>
      <c r="AO1891" s="11">
        <v>22145.72</v>
      </c>
      <c r="AP1891" s="9">
        <v>3.4486055308309456</v>
      </c>
    </row>
    <row r="1892" spans="40:42" x14ac:dyDescent="0.3">
      <c r="AN1892">
        <v>1888</v>
      </c>
      <c r="AO1892" s="11">
        <v>17176.48</v>
      </c>
      <c r="AP1892" s="9">
        <v>3.6142982681580262</v>
      </c>
    </row>
    <row r="1893" spans="40:42" x14ac:dyDescent="0.3">
      <c r="AN1893">
        <v>1889</v>
      </c>
      <c r="AO1893" s="11">
        <v>19133.78</v>
      </c>
      <c r="AP1893" s="9">
        <v>2.9559606566670293</v>
      </c>
    </row>
    <row r="1894" spans="40:42" x14ac:dyDescent="0.3">
      <c r="AN1894">
        <v>1890</v>
      </c>
      <c r="AO1894" s="11">
        <v>43542.34</v>
      </c>
      <c r="AP1894" s="9">
        <v>2.9291957599701997</v>
      </c>
    </row>
    <row r="1895" spans="40:42" x14ac:dyDescent="0.3">
      <c r="AN1895">
        <v>1891</v>
      </c>
      <c r="AO1895" s="11">
        <v>33666.81</v>
      </c>
      <c r="AP1895" s="9">
        <v>3.380967505682114</v>
      </c>
    </row>
    <row r="1896" spans="40:42" x14ac:dyDescent="0.3">
      <c r="AN1896">
        <v>1892</v>
      </c>
      <c r="AO1896" s="11">
        <v>17033.310000000001</v>
      </c>
      <c r="AP1896" s="9">
        <v>2.5940398967431277</v>
      </c>
    </row>
    <row r="1897" spans="40:42" x14ac:dyDescent="0.3">
      <c r="AN1897">
        <v>1893</v>
      </c>
      <c r="AO1897" s="11">
        <v>27445.27</v>
      </c>
      <c r="AP1897" s="9">
        <v>3.8098539111990926</v>
      </c>
    </row>
    <row r="1898" spans="40:42" x14ac:dyDescent="0.3">
      <c r="AN1898">
        <v>1894</v>
      </c>
      <c r="AO1898" s="11">
        <v>17749.07</v>
      </c>
      <c r="AP1898" s="9">
        <v>3.1522270931639231</v>
      </c>
    </row>
    <row r="1899" spans="40:42" x14ac:dyDescent="0.3">
      <c r="AN1899">
        <v>1895</v>
      </c>
      <c r="AO1899" s="11">
        <v>30663.89</v>
      </c>
      <c r="AP1899" s="9">
        <v>3.1463008459567376</v>
      </c>
    </row>
    <row r="1900" spans="40:42" x14ac:dyDescent="0.3">
      <c r="AN1900">
        <v>1896</v>
      </c>
      <c r="AO1900" s="11">
        <v>21273.87</v>
      </c>
      <c r="AP1900" s="9">
        <v>2.7372966862780159</v>
      </c>
    </row>
    <row r="1901" spans="40:42" x14ac:dyDescent="0.3">
      <c r="AN1901">
        <v>1897</v>
      </c>
      <c r="AO1901" s="11">
        <v>17581.48</v>
      </c>
      <c r="AP1901" s="9">
        <v>2.9027635236980824</v>
      </c>
    </row>
    <row r="1902" spans="40:42" x14ac:dyDescent="0.3">
      <c r="AN1902">
        <v>1898</v>
      </c>
      <c r="AO1902" s="11">
        <v>24979.19</v>
      </c>
      <c r="AP1902" s="9">
        <v>3.4089225904346772</v>
      </c>
    </row>
    <row r="1903" spans="40:42" x14ac:dyDescent="0.3">
      <c r="AN1903">
        <v>1899</v>
      </c>
      <c r="AO1903" s="11">
        <v>16494.689999999999</v>
      </c>
      <c r="AP1903" s="9">
        <v>2.8870828115823168</v>
      </c>
    </row>
    <row r="1904" spans="40:42" x14ac:dyDescent="0.3">
      <c r="AN1904">
        <v>1900</v>
      </c>
      <c r="AO1904" s="11">
        <v>30202.19</v>
      </c>
      <c r="AP1904" s="9">
        <v>3.4060706938693457</v>
      </c>
    </row>
    <row r="1905" spans="40:42" x14ac:dyDescent="0.3">
      <c r="AN1905">
        <v>1901</v>
      </c>
      <c r="AO1905" s="11">
        <v>15702.97</v>
      </c>
      <c r="AP1905" s="9">
        <v>3.203728732026133</v>
      </c>
    </row>
    <row r="1906" spans="40:42" x14ac:dyDescent="0.3">
      <c r="AN1906">
        <v>1902</v>
      </c>
      <c r="AO1906" s="11">
        <v>19175.68</v>
      </c>
      <c r="AP1906" s="9">
        <v>2.8900657952055653</v>
      </c>
    </row>
    <row r="1907" spans="40:42" x14ac:dyDescent="0.3">
      <c r="AN1907">
        <v>1903</v>
      </c>
      <c r="AO1907" s="11">
        <v>28984.080000000002</v>
      </c>
      <c r="AP1907" s="9">
        <v>3.2968680139004833</v>
      </c>
    </row>
    <row r="1908" spans="40:42" x14ac:dyDescent="0.3">
      <c r="AN1908">
        <v>1904</v>
      </c>
      <c r="AO1908" s="11">
        <v>19347.55</v>
      </c>
      <c r="AP1908" s="9">
        <v>3.6324252497511087</v>
      </c>
    </row>
    <row r="1909" spans="40:42" x14ac:dyDescent="0.3">
      <c r="AN1909">
        <v>1905</v>
      </c>
      <c r="AO1909" s="11">
        <v>43320.73</v>
      </c>
      <c r="AP1909" s="9">
        <v>3.8288802927089618</v>
      </c>
    </row>
    <row r="1910" spans="40:42" x14ac:dyDescent="0.3">
      <c r="AN1910">
        <v>1906</v>
      </c>
      <c r="AO1910" s="11">
        <v>20362.189999999999</v>
      </c>
      <c r="AP1910" s="9">
        <v>3.0158533101016598</v>
      </c>
    </row>
    <row r="1911" spans="40:42" x14ac:dyDescent="0.3">
      <c r="AN1911">
        <v>1907</v>
      </c>
      <c r="AO1911" s="11">
        <v>23690.29</v>
      </c>
      <c r="AP1911" s="9">
        <v>3.2224624166292095</v>
      </c>
    </row>
    <row r="1912" spans="40:42" x14ac:dyDescent="0.3">
      <c r="AN1912">
        <v>1908</v>
      </c>
      <c r="AO1912" s="11">
        <v>25506.240000000002</v>
      </c>
      <c r="AP1912" s="9">
        <v>3.4922841178954482</v>
      </c>
    </row>
    <row r="1913" spans="40:42" x14ac:dyDescent="0.3">
      <c r="AN1913">
        <v>1909</v>
      </c>
      <c r="AO1913" s="11">
        <v>27654.5</v>
      </c>
      <c r="AP1913" s="9">
        <v>3.5730475813394014</v>
      </c>
    </row>
    <row r="1914" spans="40:42" x14ac:dyDescent="0.3">
      <c r="AN1914">
        <v>1910</v>
      </c>
      <c r="AO1914" s="11">
        <v>32139.759999999998</v>
      </c>
      <c r="AP1914" s="9">
        <v>3.8117742592343911</v>
      </c>
    </row>
    <row r="1915" spans="40:42" x14ac:dyDescent="0.3">
      <c r="AN1915">
        <v>1911</v>
      </c>
      <c r="AO1915" s="11">
        <v>28348.78</v>
      </c>
      <c r="AP1915" s="9">
        <v>3.0322272886308985</v>
      </c>
    </row>
    <row r="1916" spans="40:42" x14ac:dyDescent="0.3">
      <c r="AN1916">
        <v>1912</v>
      </c>
      <c r="AO1916" s="11">
        <v>22633.72</v>
      </c>
      <c r="AP1916" s="9">
        <v>3.6441190890954172</v>
      </c>
    </row>
    <row r="1917" spans="40:42" x14ac:dyDescent="0.3">
      <c r="AN1917">
        <v>1913</v>
      </c>
      <c r="AO1917" s="11">
        <v>24028.45</v>
      </c>
      <c r="AP1917" s="9">
        <v>3.1015268023077613</v>
      </c>
    </row>
    <row r="1918" spans="40:42" x14ac:dyDescent="0.3">
      <c r="AN1918">
        <v>1914</v>
      </c>
      <c r="AO1918" s="11">
        <v>30674.83</v>
      </c>
      <c r="AP1918" s="9">
        <v>3.0944216874670252</v>
      </c>
    </row>
    <row r="1919" spans="40:42" x14ac:dyDescent="0.3">
      <c r="AN1919">
        <v>1915</v>
      </c>
      <c r="AO1919" s="11">
        <v>27953.81</v>
      </c>
      <c r="AP1919" s="9">
        <v>3.172206825342176</v>
      </c>
    </row>
    <row r="1920" spans="40:42" x14ac:dyDescent="0.3">
      <c r="AN1920">
        <v>1916</v>
      </c>
      <c r="AO1920" s="11">
        <v>17657.32</v>
      </c>
      <c r="AP1920" s="9">
        <v>2.8602156332762738</v>
      </c>
    </row>
    <row r="1921" spans="40:42" x14ac:dyDescent="0.3">
      <c r="AN1921">
        <v>1917</v>
      </c>
      <c r="AO1921" s="11">
        <v>21483.75</v>
      </c>
      <c r="AP1921" s="9">
        <v>3.148943466034035</v>
      </c>
    </row>
    <row r="1922" spans="40:42" x14ac:dyDescent="0.3">
      <c r="AN1922">
        <v>1918</v>
      </c>
      <c r="AO1922" s="11">
        <v>28986.17</v>
      </c>
      <c r="AP1922" s="9">
        <v>3.2664811882345131</v>
      </c>
    </row>
    <row r="1923" spans="40:42" x14ac:dyDescent="0.3">
      <c r="AN1923">
        <v>1919</v>
      </c>
      <c r="AO1923" s="11">
        <v>27762.16</v>
      </c>
      <c r="AP1923" s="9">
        <v>3.3981330281158741</v>
      </c>
    </row>
    <row r="1924" spans="40:42" x14ac:dyDescent="0.3">
      <c r="AN1924">
        <v>1920</v>
      </c>
      <c r="AO1924" s="11">
        <v>15748.26</v>
      </c>
      <c r="AP1924" s="9">
        <v>2.7299185305557097</v>
      </c>
    </row>
    <row r="1925" spans="40:42" x14ac:dyDescent="0.3">
      <c r="AN1925">
        <v>1921</v>
      </c>
      <c r="AO1925" s="11">
        <v>36683.620000000003</v>
      </c>
      <c r="AP1925" s="9">
        <v>3.5172827515014551</v>
      </c>
    </row>
    <row r="1926" spans="40:42" x14ac:dyDescent="0.3">
      <c r="AN1926">
        <v>1922</v>
      </c>
      <c r="AO1926" s="11">
        <v>20877.439999999999</v>
      </c>
      <c r="AP1926" s="9">
        <v>2.9875814906369316</v>
      </c>
    </row>
    <row r="1927" spans="40:42" x14ac:dyDescent="0.3">
      <c r="AN1927">
        <v>1923</v>
      </c>
      <c r="AO1927" s="11">
        <v>24902.68</v>
      </c>
      <c r="AP1927" s="9">
        <v>3.4630714288895939</v>
      </c>
    </row>
    <row r="1928" spans="40:42" x14ac:dyDescent="0.3">
      <c r="AN1928">
        <v>1924</v>
      </c>
      <c r="AO1928" s="11">
        <v>22284.75</v>
      </c>
      <c r="AP1928" s="9">
        <v>2.8424136037050545</v>
      </c>
    </row>
    <row r="1929" spans="40:42" x14ac:dyDescent="0.3">
      <c r="AN1929">
        <v>1925</v>
      </c>
      <c r="AO1929" s="11">
        <v>36953.75</v>
      </c>
      <c r="AP1929" s="9">
        <v>3.7145225909083188</v>
      </c>
    </row>
    <row r="1930" spans="40:42" x14ac:dyDescent="0.3">
      <c r="AN1930">
        <v>1926</v>
      </c>
      <c r="AO1930" s="11">
        <v>28884.69</v>
      </c>
      <c r="AP1930" s="9">
        <v>3.4842502559852133</v>
      </c>
    </row>
    <row r="1931" spans="40:42" x14ac:dyDescent="0.3">
      <c r="AN1931">
        <v>1927</v>
      </c>
      <c r="AO1931" s="11">
        <v>23659.64</v>
      </c>
      <c r="AP1931" s="9">
        <v>3.5204583391159248</v>
      </c>
    </row>
    <row r="1932" spans="40:42" x14ac:dyDescent="0.3">
      <c r="AN1932">
        <v>1928</v>
      </c>
      <c r="AO1932" s="11">
        <v>20533.189999999999</v>
      </c>
      <c r="AP1932" s="9">
        <v>2.9752686115254905</v>
      </c>
    </row>
    <row r="1933" spans="40:42" x14ac:dyDescent="0.3">
      <c r="AN1933">
        <v>1929</v>
      </c>
      <c r="AO1933" s="11">
        <v>36665.51</v>
      </c>
      <c r="AP1933" s="9">
        <v>3.4635810918444738</v>
      </c>
    </row>
    <row r="1934" spans="40:42" x14ac:dyDescent="0.3">
      <c r="AN1934">
        <v>1930</v>
      </c>
      <c r="AO1934" s="11">
        <v>26069.72</v>
      </c>
      <c r="AP1934" s="9">
        <v>3.1465966731413264</v>
      </c>
    </row>
    <row r="1935" spans="40:42" x14ac:dyDescent="0.3">
      <c r="AN1935">
        <v>1931</v>
      </c>
      <c r="AO1935" s="11">
        <v>32911.85</v>
      </c>
      <c r="AP1935" s="9">
        <v>3.4228354422956859</v>
      </c>
    </row>
    <row r="1936" spans="40:42" x14ac:dyDescent="0.3">
      <c r="AN1936">
        <v>1932</v>
      </c>
      <c r="AO1936" s="11">
        <v>20071.57</v>
      </c>
      <c r="AP1936" s="9">
        <v>3.052371736221136</v>
      </c>
    </row>
    <row r="1937" spans="40:42" x14ac:dyDescent="0.3">
      <c r="AN1937">
        <v>1933</v>
      </c>
      <c r="AO1937" s="11">
        <v>34006.83</v>
      </c>
      <c r="AP1937" s="9">
        <v>3.716045216301735</v>
      </c>
    </row>
    <row r="1938" spans="40:42" x14ac:dyDescent="0.3">
      <c r="AN1938">
        <v>1934</v>
      </c>
      <c r="AO1938" s="11">
        <v>26746.73</v>
      </c>
      <c r="AP1938" s="9">
        <v>3.5899716598374636</v>
      </c>
    </row>
    <row r="1939" spans="40:42" x14ac:dyDescent="0.3">
      <c r="AN1939">
        <v>1935</v>
      </c>
      <c r="AO1939" s="11">
        <v>32362.42</v>
      </c>
      <c r="AP1939" s="9">
        <v>3.7983370969321215</v>
      </c>
    </row>
    <row r="1940" spans="40:42" x14ac:dyDescent="0.3">
      <c r="AN1940">
        <v>1936</v>
      </c>
      <c r="AO1940" s="11">
        <v>33918.92</v>
      </c>
      <c r="AP1940" s="9">
        <v>3.7171236890874044</v>
      </c>
    </row>
    <row r="1941" spans="40:42" x14ac:dyDescent="0.3">
      <c r="AN1941">
        <v>1937</v>
      </c>
      <c r="AO1941" s="11">
        <v>26214.959999999999</v>
      </c>
      <c r="AP1941" s="9">
        <v>3.3815238958331943</v>
      </c>
    </row>
    <row r="1942" spans="40:42" x14ac:dyDescent="0.3">
      <c r="AN1942">
        <v>1938</v>
      </c>
      <c r="AO1942" s="11">
        <v>30028.59</v>
      </c>
      <c r="AP1942" s="9">
        <v>3.9064625240055095</v>
      </c>
    </row>
    <row r="1943" spans="40:42" x14ac:dyDescent="0.3">
      <c r="AN1943">
        <v>1939</v>
      </c>
      <c r="AO1943" s="11">
        <v>25114.06</v>
      </c>
      <c r="AP1943" s="9">
        <v>3.2428590135648698</v>
      </c>
    </row>
    <row r="1944" spans="40:42" x14ac:dyDescent="0.3">
      <c r="AN1944">
        <v>1940</v>
      </c>
      <c r="AO1944" s="11">
        <v>30514.98</v>
      </c>
      <c r="AP1944" s="9">
        <v>3.0414548503602581</v>
      </c>
    </row>
    <row r="1945" spans="40:42" x14ac:dyDescent="0.3">
      <c r="AN1945">
        <v>1941</v>
      </c>
      <c r="AO1945" s="11">
        <v>25465.18</v>
      </c>
      <c r="AP1945" s="9">
        <v>3.6612087772638837</v>
      </c>
    </row>
    <row r="1946" spans="40:42" x14ac:dyDescent="0.3">
      <c r="AN1946">
        <v>1942</v>
      </c>
      <c r="AO1946" s="11">
        <v>19402.580000000002</v>
      </c>
      <c r="AP1946" s="9">
        <v>2.9544011087304969</v>
      </c>
    </row>
    <row r="1947" spans="40:42" x14ac:dyDescent="0.3">
      <c r="AN1947">
        <v>1943</v>
      </c>
      <c r="AO1947" s="11">
        <v>40059.449999999997</v>
      </c>
      <c r="AP1947" s="9">
        <v>3.8249914429380181</v>
      </c>
    </row>
    <row r="1948" spans="40:42" x14ac:dyDescent="0.3">
      <c r="AN1948">
        <v>1944</v>
      </c>
      <c r="AO1948" s="11">
        <v>16653.560000000001</v>
      </c>
      <c r="AP1948" s="9">
        <v>3.0741177778168671</v>
      </c>
    </row>
    <row r="1949" spans="40:42" x14ac:dyDescent="0.3">
      <c r="AN1949">
        <v>1945</v>
      </c>
      <c r="AO1949" s="11">
        <v>31802.6</v>
      </c>
      <c r="AP1949" s="9">
        <v>3.1371207601805544</v>
      </c>
    </row>
    <row r="1950" spans="40:42" x14ac:dyDescent="0.3">
      <c r="AN1950">
        <v>1946</v>
      </c>
      <c r="AO1950" s="11">
        <v>25206.43</v>
      </c>
      <c r="AP1950" s="9">
        <v>3.4742449792207886</v>
      </c>
    </row>
    <row r="1951" spans="40:42" x14ac:dyDescent="0.3">
      <c r="AN1951">
        <v>1947</v>
      </c>
      <c r="AO1951" s="11">
        <v>24728.25</v>
      </c>
      <c r="AP1951" s="9">
        <v>3.7336613073461509</v>
      </c>
    </row>
    <row r="1952" spans="40:42" x14ac:dyDescent="0.3">
      <c r="AN1952">
        <v>1948</v>
      </c>
      <c r="AO1952" s="11">
        <v>30618.05</v>
      </c>
      <c r="AP1952" s="9">
        <v>3.2382217560517752</v>
      </c>
    </row>
    <row r="1953" spans="40:42" x14ac:dyDescent="0.3">
      <c r="AN1953">
        <v>1949</v>
      </c>
      <c r="AO1953" s="11">
        <v>23893.31</v>
      </c>
      <c r="AP1953" s="9">
        <v>2.9101297143358997</v>
      </c>
    </row>
    <row r="1954" spans="40:42" x14ac:dyDescent="0.3">
      <c r="AN1954">
        <v>1950</v>
      </c>
      <c r="AO1954" s="11">
        <v>31261.52</v>
      </c>
      <c r="AP1954" s="9">
        <v>3.8234419756214915</v>
      </c>
    </row>
    <row r="1955" spans="40:42" x14ac:dyDescent="0.3">
      <c r="AN1955">
        <v>1951</v>
      </c>
      <c r="AO1955" s="11">
        <v>20903.8</v>
      </c>
      <c r="AP1955" s="9">
        <v>3.3647512379221358</v>
      </c>
    </row>
    <row r="1956" spans="40:42" x14ac:dyDescent="0.3">
      <c r="AN1956">
        <v>1952</v>
      </c>
      <c r="AO1956" s="11">
        <v>32621.66</v>
      </c>
      <c r="AP1956" s="9">
        <v>4.0038164289681957</v>
      </c>
    </row>
    <row r="1957" spans="40:42" x14ac:dyDescent="0.3">
      <c r="AN1957">
        <v>1953</v>
      </c>
      <c r="AO1957" s="11">
        <v>32385.43</v>
      </c>
      <c r="AP1957" s="9">
        <v>3.4059078117589685</v>
      </c>
    </row>
    <row r="1958" spans="40:42" x14ac:dyDescent="0.3">
      <c r="AN1958">
        <v>1954</v>
      </c>
      <c r="AO1958" s="11">
        <v>30908.28</v>
      </c>
      <c r="AP1958" s="9">
        <v>3.0871553690933435</v>
      </c>
    </row>
    <row r="1959" spans="40:42" x14ac:dyDescent="0.3">
      <c r="AN1959">
        <v>1955</v>
      </c>
      <c r="AO1959" s="11">
        <v>21554.44</v>
      </c>
      <c r="AP1959" s="9">
        <v>3.6029789924971376</v>
      </c>
    </row>
    <row r="1960" spans="40:42" x14ac:dyDescent="0.3">
      <c r="AN1960">
        <v>1956</v>
      </c>
      <c r="AO1960" s="11">
        <v>32560.38</v>
      </c>
      <c r="AP1960" s="9">
        <v>3.5008038822080558</v>
      </c>
    </row>
    <row r="1961" spans="40:42" x14ac:dyDescent="0.3">
      <c r="AN1961">
        <v>1957</v>
      </c>
      <c r="AO1961" s="11">
        <v>32632.080000000002</v>
      </c>
      <c r="AP1961" s="9">
        <v>3.531044616698241</v>
      </c>
    </row>
    <row r="1962" spans="40:42" x14ac:dyDescent="0.3">
      <c r="AN1962">
        <v>1958</v>
      </c>
      <c r="AO1962" s="11">
        <v>16987.150000000001</v>
      </c>
      <c r="AP1962" s="9">
        <v>3.0940699284063382</v>
      </c>
    </row>
    <row r="1963" spans="40:42" x14ac:dyDescent="0.3">
      <c r="AN1963">
        <v>1959</v>
      </c>
      <c r="AO1963" s="11">
        <v>20941.32</v>
      </c>
      <c r="AP1963" s="9">
        <v>3.0855191595404468</v>
      </c>
    </row>
    <row r="1964" spans="40:42" x14ac:dyDescent="0.3">
      <c r="AN1964">
        <v>1960</v>
      </c>
      <c r="AO1964" s="11">
        <v>28343.22</v>
      </c>
      <c r="AP1964" s="9">
        <v>2.9149975776773855</v>
      </c>
    </row>
    <row r="1965" spans="40:42" x14ac:dyDescent="0.3">
      <c r="AN1965">
        <v>1961</v>
      </c>
      <c r="AO1965" s="11">
        <v>17331.240000000002</v>
      </c>
      <c r="AP1965" s="9">
        <v>3.2516660803040263</v>
      </c>
    </row>
    <row r="1966" spans="40:42" x14ac:dyDescent="0.3">
      <c r="AN1966">
        <v>1962</v>
      </c>
      <c r="AO1966" s="11">
        <v>30726.04</v>
      </c>
      <c r="AP1966" s="9">
        <v>2.8198967179706309</v>
      </c>
    </row>
    <row r="1967" spans="40:42" x14ac:dyDescent="0.3">
      <c r="AN1967">
        <v>1963</v>
      </c>
      <c r="AO1967" s="11">
        <v>22402.73</v>
      </c>
      <c r="AP1967" s="9">
        <v>2.9054524998464415</v>
      </c>
    </row>
    <row r="1968" spans="40:42" x14ac:dyDescent="0.3">
      <c r="AN1968">
        <v>1964</v>
      </c>
      <c r="AO1968" s="11">
        <v>19687.580000000002</v>
      </c>
      <c r="AP1968" s="9">
        <v>3.4021162659390942</v>
      </c>
    </row>
    <row r="1969" spans="40:42" x14ac:dyDescent="0.3">
      <c r="AN1969">
        <v>1965</v>
      </c>
      <c r="AO1969" s="11">
        <v>13925.01</v>
      </c>
      <c r="AP1969" s="9">
        <v>3.320666505972127</v>
      </c>
    </row>
    <row r="1970" spans="40:42" x14ac:dyDescent="0.3">
      <c r="AN1970">
        <v>1966</v>
      </c>
      <c r="AO1970" s="11">
        <v>20854.84</v>
      </c>
      <c r="AP1970" s="9">
        <v>3.3581177211768773</v>
      </c>
    </row>
    <row r="1971" spans="40:42" x14ac:dyDescent="0.3">
      <c r="AN1971">
        <v>1967</v>
      </c>
      <c r="AO1971" s="11">
        <v>21182.25</v>
      </c>
      <c r="AP1971" s="9">
        <v>3.1013225224636152</v>
      </c>
    </row>
    <row r="1972" spans="40:42" x14ac:dyDescent="0.3">
      <c r="AN1972">
        <v>1968</v>
      </c>
      <c r="AO1972" s="11">
        <v>23661.42</v>
      </c>
      <c r="AP1972" s="9">
        <v>3.2976391361789128</v>
      </c>
    </row>
    <row r="1973" spans="40:42" x14ac:dyDescent="0.3">
      <c r="AN1973">
        <v>1969</v>
      </c>
      <c r="AO1973" s="11">
        <v>32104.55</v>
      </c>
      <c r="AP1973" s="9">
        <v>3.8920498447230534</v>
      </c>
    </row>
    <row r="1974" spans="40:42" x14ac:dyDescent="0.3">
      <c r="AN1974">
        <v>1970</v>
      </c>
      <c r="AO1974" s="11">
        <v>28819.95</v>
      </c>
      <c r="AP1974" s="9">
        <v>3.6908277515752892</v>
      </c>
    </row>
    <row r="1975" spans="40:42" x14ac:dyDescent="0.3">
      <c r="AN1975">
        <v>1971</v>
      </c>
      <c r="AO1975" s="11">
        <v>20636.87</v>
      </c>
      <c r="AP1975" s="9">
        <v>2.8363907729350264</v>
      </c>
    </row>
    <row r="1976" spans="40:42" x14ac:dyDescent="0.3">
      <c r="AN1976">
        <v>1972</v>
      </c>
      <c r="AO1976" s="11">
        <v>22751.83</v>
      </c>
      <c r="AP1976" s="9">
        <v>2.9538700281219263</v>
      </c>
    </row>
    <row r="1977" spans="40:42" x14ac:dyDescent="0.3">
      <c r="AN1977">
        <v>1973</v>
      </c>
      <c r="AO1977" s="11">
        <v>21570.52</v>
      </c>
      <c r="AP1977" s="9">
        <v>2.8548252512510808</v>
      </c>
    </row>
    <row r="1978" spans="40:42" x14ac:dyDescent="0.3">
      <c r="AN1978">
        <v>1974</v>
      </c>
      <c r="AO1978" s="11">
        <v>29359.34</v>
      </c>
      <c r="AP1978" s="9">
        <v>3.1643224125604714</v>
      </c>
    </row>
    <row r="1979" spans="40:42" x14ac:dyDescent="0.3">
      <c r="AN1979">
        <v>1975</v>
      </c>
      <c r="AO1979" s="11">
        <v>39736.800000000003</v>
      </c>
      <c r="AP1979" s="9">
        <v>3.3925141788349706</v>
      </c>
    </row>
    <row r="1980" spans="40:42" x14ac:dyDescent="0.3">
      <c r="AN1980">
        <v>1976</v>
      </c>
      <c r="AO1980" s="11">
        <v>33893.980000000003</v>
      </c>
      <c r="AP1980" s="9">
        <v>3.2445788779725437</v>
      </c>
    </row>
    <row r="1981" spans="40:42" x14ac:dyDescent="0.3">
      <c r="AN1981">
        <v>1977</v>
      </c>
      <c r="AO1981" s="11">
        <v>26265.9</v>
      </c>
      <c r="AP1981" s="9">
        <v>2.7484691092639846</v>
      </c>
    </row>
    <row r="1982" spans="40:42" x14ac:dyDescent="0.3">
      <c r="AN1982">
        <v>1978</v>
      </c>
      <c r="AO1982" s="11">
        <v>20968.189999999999</v>
      </c>
      <c r="AP1982" s="9">
        <v>3.0991333129589931</v>
      </c>
    </row>
    <row r="1983" spans="40:42" x14ac:dyDescent="0.3">
      <c r="AN1983">
        <v>1979</v>
      </c>
      <c r="AO1983" s="11">
        <v>31699.96</v>
      </c>
      <c r="AP1983" s="9">
        <v>3.8223561919474962</v>
      </c>
    </row>
    <row r="1984" spans="40:42" x14ac:dyDescent="0.3">
      <c r="AN1984">
        <v>1980</v>
      </c>
      <c r="AO1984" s="11">
        <v>13077.69</v>
      </c>
      <c r="AP1984" s="9">
        <v>2.7192522681539644</v>
      </c>
    </row>
    <row r="1985" spans="40:42" x14ac:dyDescent="0.3">
      <c r="AN1985">
        <v>1981</v>
      </c>
      <c r="AO1985" s="11">
        <v>41790.35</v>
      </c>
      <c r="AP1985" s="9">
        <v>4.1881497462035409</v>
      </c>
    </row>
    <row r="1986" spans="40:42" x14ac:dyDescent="0.3">
      <c r="AN1986">
        <v>1982</v>
      </c>
      <c r="AO1986" s="11">
        <v>20460.169999999998</v>
      </c>
      <c r="AP1986" s="9">
        <v>3.6181709415486978</v>
      </c>
    </row>
    <row r="1987" spans="40:42" x14ac:dyDescent="0.3">
      <c r="AN1987">
        <v>1983</v>
      </c>
      <c r="AO1987" s="11">
        <v>22517.07</v>
      </c>
      <c r="AP1987" s="9">
        <v>3.2688699810817261</v>
      </c>
    </row>
    <row r="1988" spans="40:42" x14ac:dyDescent="0.3">
      <c r="AN1988">
        <v>1984</v>
      </c>
      <c r="AO1988" s="11">
        <v>22875.03</v>
      </c>
      <c r="AP1988" s="9">
        <v>3.526906185904219</v>
      </c>
    </row>
    <row r="1989" spans="40:42" x14ac:dyDescent="0.3">
      <c r="AN1989">
        <v>1985</v>
      </c>
      <c r="AO1989" s="11">
        <v>15893.04</v>
      </c>
      <c r="AP1989" s="9">
        <v>3.0193193622257763</v>
      </c>
    </row>
    <row r="1990" spans="40:42" x14ac:dyDescent="0.3">
      <c r="AN1990">
        <v>1986</v>
      </c>
      <c r="AO1990" s="11">
        <v>34295.760000000002</v>
      </c>
      <c r="AP1990" s="9">
        <v>3.9857267365316216</v>
      </c>
    </row>
    <row r="1991" spans="40:42" x14ac:dyDescent="0.3">
      <c r="AN1991">
        <v>1987</v>
      </c>
      <c r="AO1991" s="11">
        <v>22606.83</v>
      </c>
      <c r="AP1991" s="9">
        <v>2.9821518035102565</v>
      </c>
    </row>
    <row r="1992" spans="40:42" x14ac:dyDescent="0.3">
      <c r="AN1992">
        <v>1988</v>
      </c>
      <c r="AO1992" s="11">
        <v>41740.11</v>
      </c>
      <c r="AP1992" s="9">
        <v>3.948075627734692</v>
      </c>
    </row>
    <row r="1993" spans="40:42" x14ac:dyDescent="0.3">
      <c r="AN1993">
        <v>1989</v>
      </c>
      <c r="AO1993" s="11">
        <v>23004.21</v>
      </c>
      <c r="AP1993" s="9">
        <v>2.9329456832661371</v>
      </c>
    </row>
    <row r="1994" spans="40:42" x14ac:dyDescent="0.3">
      <c r="AN1994">
        <v>1990</v>
      </c>
      <c r="AO1994" s="11">
        <v>19708.28</v>
      </c>
      <c r="AP1994" s="9">
        <v>2.6117519917688985</v>
      </c>
    </row>
    <row r="1995" spans="40:42" x14ac:dyDescent="0.3">
      <c r="AN1995">
        <v>1991</v>
      </c>
      <c r="AO1995" s="11">
        <v>36599.870000000003</v>
      </c>
      <c r="AP1995" s="9">
        <v>3.5210767922444157</v>
      </c>
    </row>
    <row r="1996" spans="40:42" x14ac:dyDescent="0.3">
      <c r="AN1996">
        <v>1992</v>
      </c>
      <c r="AO1996" s="11">
        <v>33331.14</v>
      </c>
      <c r="AP1996" s="9">
        <v>4.3127873716450962</v>
      </c>
    </row>
    <row r="1997" spans="40:42" x14ac:dyDescent="0.3">
      <c r="AN1997">
        <v>1993</v>
      </c>
      <c r="AO1997" s="11">
        <v>22390.75</v>
      </c>
      <c r="AP1997" s="9">
        <v>3.0106583437228682</v>
      </c>
    </row>
    <row r="1998" spans="40:42" x14ac:dyDescent="0.3">
      <c r="AN1998">
        <v>1994</v>
      </c>
      <c r="AO1998" s="11">
        <v>25605.52</v>
      </c>
      <c r="AP1998" s="9">
        <v>3.017936319178284</v>
      </c>
    </row>
    <row r="1999" spans="40:42" x14ac:dyDescent="0.3">
      <c r="AN1999">
        <v>1995</v>
      </c>
      <c r="AO1999" s="11">
        <v>25097.13</v>
      </c>
      <c r="AP1999" s="9">
        <v>2.8780693374949053</v>
      </c>
    </row>
    <row r="2000" spans="40:42" x14ac:dyDescent="0.3">
      <c r="AN2000">
        <v>1996</v>
      </c>
      <c r="AO2000" s="11">
        <v>29057.63</v>
      </c>
      <c r="AP2000" s="9">
        <v>3.6620755885306182</v>
      </c>
    </row>
    <row r="2001" spans="40:42" x14ac:dyDescent="0.3">
      <c r="AN2001">
        <v>1997</v>
      </c>
      <c r="AO2001" s="11">
        <v>46666.64</v>
      </c>
      <c r="AP2001" s="9">
        <v>4.6405944162323989</v>
      </c>
    </row>
    <row r="2002" spans="40:42" x14ac:dyDescent="0.3">
      <c r="AN2002">
        <v>1998</v>
      </c>
      <c r="AO2002" s="11">
        <v>25274.11</v>
      </c>
      <c r="AP2002" s="9">
        <v>4.0443017821198914</v>
      </c>
    </row>
    <row r="2003" spans="40:42" x14ac:dyDescent="0.3">
      <c r="AN2003">
        <v>1999</v>
      </c>
      <c r="AO2003" s="11">
        <v>38243.53</v>
      </c>
      <c r="AP2003" s="9">
        <v>3.7177291272539721</v>
      </c>
    </row>
    <row r="2004" spans="40:42" x14ac:dyDescent="0.3">
      <c r="AN2004">
        <v>2000</v>
      </c>
      <c r="AO2004" s="11">
        <v>34631.47</v>
      </c>
      <c r="AP2004" s="9">
        <v>3.4417038906630428</v>
      </c>
    </row>
    <row r="2005" spans="40:42" x14ac:dyDescent="0.3">
      <c r="AN2005">
        <v>2001</v>
      </c>
      <c r="AO2005" s="11">
        <v>19917.64</v>
      </c>
      <c r="AP2005" s="9">
        <v>3.1846381553936753</v>
      </c>
    </row>
    <row r="2006" spans="40:42" x14ac:dyDescent="0.3">
      <c r="AN2006">
        <v>2002</v>
      </c>
      <c r="AO2006" s="11">
        <v>51661.19</v>
      </c>
      <c r="AP2006" s="9">
        <v>4.3710314787269127</v>
      </c>
    </row>
    <row r="2007" spans="40:42" x14ac:dyDescent="0.3">
      <c r="AN2007">
        <v>2003</v>
      </c>
      <c r="AO2007" s="11">
        <v>21437.439999999999</v>
      </c>
      <c r="AP2007" s="9">
        <v>3.6757088199443317</v>
      </c>
    </row>
    <row r="2008" spans="40:42" x14ac:dyDescent="0.3">
      <c r="AN2008">
        <v>2004</v>
      </c>
      <c r="AO2008" s="11">
        <v>33323.33</v>
      </c>
      <c r="AP2008" s="9">
        <v>3.4813056959499069</v>
      </c>
    </row>
    <row r="2009" spans="40:42" x14ac:dyDescent="0.3">
      <c r="AN2009">
        <v>2005</v>
      </c>
      <c r="AO2009" s="11">
        <v>20579.34</v>
      </c>
      <c r="AP2009" s="9">
        <v>3.5817383825208999</v>
      </c>
    </row>
    <row r="2010" spans="40:42" x14ac:dyDescent="0.3">
      <c r="AN2010">
        <v>2006</v>
      </c>
      <c r="AO2010" s="11">
        <v>29003.11</v>
      </c>
      <c r="AP2010" s="9">
        <v>3.1559413416206832</v>
      </c>
    </row>
    <row r="2011" spans="40:42" x14ac:dyDescent="0.3">
      <c r="AN2011">
        <v>2007</v>
      </c>
      <c r="AO2011" s="11">
        <v>18710.990000000002</v>
      </c>
      <c r="AP2011" s="9">
        <v>3.2515106214712186</v>
      </c>
    </row>
    <row r="2012" spans="40:42" x14ac:dyDescent="0.3">
      <c r="AN2012">
        <v>2008</v>
      </c>
      <c r="AO2012" s="11">
        <v>16178.64</v>
      </c>
      <c r="AP2012" s="9">
        <v>2.8494389316383271</v>
      </c>
    </row>
    <row r="2013" spans="40:42" x14ac:dyDescent="0.3">
      <c r="AN2013">
        <v>2009</v>
      </c>
      <c r="AO2013" s="11">
        <v>26201.98</v>
      </c>
      <c r="AP2013" s="9">
        <v>2.9403871464535039</v>
      </c>
    </row>
    <row r="2014" spans="40:42" x14ac:dyDescent="0.3">
      <c r="AN2014">
        <v>2010</v>
      </c>
      <c r="AO2014" s="11">
        <v>18911.52</v>
      </c>
      <c r="AP2014" s="9">
        <v>2.8863302776535815</v>
      </c>
    </row>
    <row r="2015" spans="40:42" x14ac:dyDescent="0.3">
      <c r="AN2015">
        <v>2011</v>
      </c>
      <c r="AO2015" s="11">
        <v>21055.86</v>
      </c>
      <c r="AP2015" s="9">
        <v>3.2206217900973386</v>
      </c>
    </row>
    <row r="2016" spans="40:42" x14ac:dyDescent="0.3">
      <c r="AN2016">
        <v>2012</v>
      </c>
      <c r="AO2016" s="11">
        <v>22402.87</v>
      </c>
      <c r="AP2016" s="9">
        <v>2.9063067002692984</v>
      </c>
    </row>
    <row r="2017" spans="40:42" x14ac:dyDescent="0.3">
      <c r="AN2017">
        <v>2013</v>
      </c>
      <c r="AO2017" s="11">
        <v>24668.400000000001</v>
      </c>
      <c r="AP2017" s="9">
        <v>3.3468656067877718</v>
      </c>
    </row>
    <row r="2018" spans="40:42" x14ac:dyDescent="0.3">
      <c r="AN2018">
        <v>2014</v>
      </c>
      <c r="AO2018" s="11">
        <v>38809.29</v>
      </c>
      <c r="AP2018" s="9">
        <v>2.9965256133473623</v>
      </c>
    </row>
    <row r="2019" spans="40:42" x14ac:dyDescent="0.3">
      <c r="AN2019">
        <v>2015</v>
      </c>
      <c r="AO2019" s="11">
        <v>38283.85</v>
      </c>
      <c r="AP2019" s="9">
        <v>3.7701354735461732</v>
      </c>
    </row>
    <row r="2020" spans="40:42" x14ac:dyDescent="0.3">
      <c r="AN2020">
        <v>2016</v>
      </c>
      <c r="AO2020" s="11">
        <v>21250.12</v>
      </c>
      <c r="AP2020" s="9">
        <v>3.4100651786489293</v>
      </c>
    </row>
    <row r="2021" spans="40:42" x14ac:dyDescent="0.3">
      <c r="AN2021">
        <v>2017</v>
      </c>
      <c r="AO2021" s="11">
        <v>17514.32</v>
      </c>
      <c r="AP2021" s="9">
        <v>3.3523809034784002</v>
      </c>
    </row>
    <row r="2022" spans="40:42" x14ac:dyDescent="0.3">
      <c r="AN2022">
        <v>2018</v>
      </c>
      <c r="AO2022" s="11">
        <v>28116.68</v>
      </c>
      <c r="AP2022" s="9">
        <v>3.1068502238443614</v>
      </c>
    </row>
    <row r="2023" spans="40:42" x14ac:dyDescent="0.3">
      <c r="AN2023">
        <v>2019</v>
      </c>
      <c r="AO2023" s="11">
        <v>37241.83</v>
      </c>
      <c r="AP2023" s="9">
        <v>4.1946146472857579</v>
      </c>
    </row>
    <row r="2024" spans="40:42" x14ac:dyDescent="0.3">
      <c r="AN2024">
        <v>2020</v>
      </c>
      <c r="AO2024" s="11">
        <v>43158.02</v>
      </c>
      <c r="AP2024" s="9">
        <v>3.4180137536833453</v>
      </c>
    </row>
    <row r="2025" spans="40:42" x14ac:dyDescent="0.3">
      <c r="AN2025">
        <v>2021</v>
      </c>
      <c r="AO2025" s="11">
        <v>28091.71</v>
      </c>
      <c r="AP2025" s="9">
        <v>3.6486919925745291</v>
      </c>
    </row>
    <row r="2026" spans="40:42" x14ac:dyDescent="0.3">
      <c r="AN2026">
        <v>2022</v>
      </c>
      <c r="AO2026" s="11">
        <v>35327.65</v>
      </c>
      <c r="AP2026" s="9">
        <v>3.3128283027977767</v>
      </c>
    </row>
    <row r="2027" spans="40:42" x14ac:dyDescent="0.3">
      <c r="AN2027">
        <v>2023</v>
      </c>
      <c r="AO2027" s="11">
        <v>43123.18</v>
      </c>
      <c r="AP2027" s="9">
        <v>3.9429809271508893</v>
      </c>
    </row>
    <row r="2028" spans="40:42" x14ac:dyDescent="0.3">
      <c r="AN2028">
        <v>2024</v>
      </c>
      <c r="AO2028" s="11">
        <v>28850.27</v>
      </c>
      <c r="AP2028" s="9">
        <v>3.3544871863572281</v>
      </c>
    </row>
    <row r="2029" spans="40:42" x14ac:dyDescent="0.3">
      <c r="AN2029">
        <v>2025</v>
      </c>
      <c r="AO2029" s="11">
        <v>22892.86</v>
      </c>
      <c r="AP2029" s="9">
        <v>3.5372604112538886</v>
      </c>
    </row>
    <row r="2030" spans="40:42" x14ac:dyDescent="0.3">
      <c r="AN2030">
        <v>2026</v>
      </c>
      <c r="AO2030" s="11">
        <v>24115.08</v>
      </c>
      <c r="AP2030" s="9">
        <v>2.9814164614753476</v>
      </c>
    </row>
    <row r="2031" spans="40:42" x14ac:dyDescent="0.3">
      <c r="AN2031">
        <v>2027</v>
      </c>
      <c r="AO2031" s="11">
        <v>40158.53</v>
      </c>
      <c r="AP2031" s="9">
        <v>3.9578127832745973</v>
      </c>
    </row>
    <row r="2032" spans="40:42" x14ac:dyDescent="0.3">
      <c r="AN2032">
        <v>2028</v>
      </c>
      <c r="AO2032" s="11">
        <v>29549.91</v>
      </c>
      <c r="AP2032" s="9">
        <v>3.8942932292672006</v>
      </c>
    </row>
    <row r="2033" spans="40:42" x14ac:dyDescent="0.3">
      <c r="AN2033">
        <v>2029</v>
      </c>
      <c r="AO2033" s="11">
        <v>24934.16</v>
      </c>
      <c r="AP2033" s="9">
        <v>3.132983889252698</v>
      </c>
    </row>
    <row r="2034" spans="40:42" x14ac:dyDescent="0.3">
      <c r="AN2034">
        <v>2030</v>
      </c>
      <c r="AO2034" s="11">
        <v>17987.59</v>
      </c>
      <c r="AP2034" s="9">
        <v>3.5683765081262404</v>
      </c>
    </row>
    <row r="2035" spans="40:42" x14ac:dyDescent="0.3">
      <c r="AN2035">
        <v>2031</v>
      </c>
      <c r="AO2035" s="11">
        <v>20260.87</v>
      </c>
      <c r="AP2035" s="9">
        <v>3.0434874249465498</v>
      </c>
    </row>
    <row r="2036" spans="40:42" x14ac:dyDescent="0.3">
      <c r="AN2036">
        <v>2032</v>
      </c>
      <c r="AO2036" s="11">
        <v>21492.57</v>
      </c>
      <c r="AP2036" s="9">
        <v>3.6526496202548659</v>
      </c>
    </row>
    <row r="2037" spans="40:42" x14ac:dyDescent="0.3">
      <c r="AN2037">
        <v>2033</v>
      </c>
      <c r="AO2037" s="11">
        <v>41460.68</v>
      </c>
      <c r="AP2037" s="9">
        <v>3.7115025750886441</v>
      </c>
    </row>
    <row r="2038" spans="40:42" x14ac:dyDescent="0.3">
      <c r="AN2038">
        <v>2034</v>
      </c>
      <c r="AO2038" s="11">
        <v>28161.03</v>
      </c>
      <c r="AP2038" s="9">
        <v>3.2713497255659689</v>
      </c>
    </row>
    <row r="2039" spans="40:42" x14ac:dyDescent="0.3">
      <c r="AN2039">
        <v>2035</v>
      </c>
      <c r="AO2039" s="11">
        <v>31325.5</v>
      </c>
      <c r="AP2039" s="9">
        <v>3.6565976737017767</v>
      </c>
    </row>
    <row r="2040" spans="40:42" x14ac:dyDescent="0.3">
      <c r="AN2040">
        <v>2036</v>
      </c>
      <c r="AO2040" s="11">
        <v>26680.34</v>
      </c>
      <c r="AP2040" s="9">
        <v>3.040341331535009</v>
      </c>
    </row>
    <row r="2041" spans="40:42" x14ac:dyDescent="0.3">
      <c r="AN2041">
        <v>2037</v>
      </c>
      <c r="AO2041" s="11">
        <v>24683.47</v>
      </c>
      <c r="AP2041" s="9">
        <v>2.8898704318165445</v>
      </c>
    </row>
    <row r="2042" spans="40:42" x14ac:dyDescent="0.3">
      <c r="AN2042">
        <v>2038</v>
      </c>
      <c r="AO2042" s="11">
        <v>32590.07</v>
      </c>
      <c r="AP2042" s="9">
        <v>3.4078650083022985</v>
      </c>
    </row>
    <row r="2043" spans="40:42" x14ac:dyDescent="0.3">
      <c r="AN2043">
        <v>2039</v>
      </c>
      <c r="AO2043" s="11">
        <v>22911.02</v>
      </c>
      <c r="AP2043" s="9">
        <v>3.363336975538898</v>
      </c>
    </row>
    <row r="2044" spans="40:42" x14ac:dyDescent="0.3">
      <c r="AN2044">
        <v>2040</v>
      </c>
      <c r="AO2044" s="11">
        <v>28474.86</v>
      </c>
      <c r="AP2044" s="9">
        <v>3.3347350227336943</v>
      </c>
    </row>
    <row r="2045" spans="40:42" x14ac:dyDescent="0.3">
      <c r="AN2045">
        <v>2041</v>
      </c>
      <c r="AO2045" s="11">
        <v>40218.97</v>
      </c>
      <c r="AP2045" s="9">
        <v>3.8622023647103347</v>
      </c>
    </row>
    <row r="2046" spans="40:42" x14ac:dyDescent="0.3">
      <c r="AN2046">
        <v>2042</v>
      </c>
      <c r="AO2046" s="11">
        <v>30099.119999999999</v>
      </c>
      <c r="AP2046" s="9">
        <v>3.3336544266670121</v>
      </c>
    </row>
    <row r="2047" spans="40:42" x14ac:dyDescent="0.3">
      <c r="AN2047">
        <v>2043</v>
      </c>
      <c r="AO2047" s="11">
        <v>35550.57</v>
      </c>
      <c r="AP2047" s="9">
        <v>3.5915068511041999</v>
      </c>
    </row>
    <row r="2048" spans="40:42" x14ac:dyDescent="0.3">
      <c r="AN2048">
        <v>2044</v>
      </c>
      <c r="AO2048" s="11">
        <v>23199.599999999999</v>
      </c>
      <c r="AP2048" s="9">
        <v>3.5394499390024263</v>
      </c>
    </row>
    <row r="2049" spans="40:42" x14ac:dyDescent="0.3">
      <c r="AN2049">
        <v>2045</v>
      </c>
      <c r="AO2049" s="11">
        <v>36824.14</v>
      </c>
      <c r="AP2049" s="9">
        <v>3.3274664693653642</v>
      </c>
    </row>
    <row r="2050" spans="40:42" x14ac:dyDescent="0.3">
      <c r="AN2050">
        <v>2046</v>
      </c>
      <c r="AO2050" s="11">
        <v>18525.87</v>
      </c>
      <c r="AP2050" s="9">
        <v>3.5605162641546544</v>
      </c>
    </row>
    <row r="2051" spans="40:42" x14ac:dyDescent="0.3">
      <c r="AN2051">
        <v>2047</v>
      </c>
      <c r="AO2051" s="11">
        <v>23264.080000000002</v>
      </c>
      <c r="AP2051" s="9">
        <v>2.8862120117443975</v>
      </c>
    </row>
    <row r="2052" spans="40:42" x14ac:dyDescent="0.3">
      <c r="AN2052">
        <v>2048</v>
      </c>
      <c r="AO2052" s="11">
        <v>23661.1</v>
      </c>
      <c r="AP2052" s="9">
        <v>3.3606687151228636</v>
      </c>
    </row>
    <row r="2053" spans="40:42" x14ac:dyDescent="0.3">
      <c r="AN2053">
        <v>2049</v>
      </c>
      <c r="AO2053" s="11">
        <v>30096.07</v>
      </c>
      <c r="AP2053" s="9">
        <v>3.843546687507073</v>
      </c>
    </row>
    <row r="2054" spans="40:42" x14ac:dyDescent="0.3">
      <c r="AN2054">
        <v>2050</v>
      </c>
      <c r="AO2054" s="11">
        <v>25688.95</v>
      </c>
      <c r="AP2054" s="9">
        <v>3.0982813310136401</v>
      </c>
    </row>
    <row r="2055" spans="40:42" x14ac:dyDescent="0.3">
      <c r="AN2055">
        <v>2051</v>
      </c>
      <c r="AO2055" s="11">
        <v>22978.3</v>
      </c>
      <c r="AP2055" s="9">
        <v>2.9922008246654839</v>
      </c>
    </row>
    <row r="2056" spans="40:42" x14ac:dyDescent="0.3">
      <c r="AN2056">
        <v>2052</v>
      </c>
      <c r="AO2056" s="11">
        <v>26303.19</v>
      </c>
      <c r="AP2056" s="9">
        <v>3.4380741335270706</v>
      </c>
    </row>
    <row r="2057" spans="40:42" x14ac:dyDescent="0.3">
      <c r="AN2057">
        <v>2053</v>
      </c>
      <c r="AO2057" s="11">
        <v>21031.87</v>
      </c>
      <c r="AP2057" s="9">
        <v>3.5479024351918294</v>
      </c>
    </row>
    <row r="2058" spans="40:42" x14ac:dyDescent="0.3">
      <c r="AN2058">
        <v>2054</v>
      </c>
      <c r="AO2058" s="11">
        <v>32754.71</v>
      </c>
      <c r="AP2058" s="9">
        <v>3.7867768509310733</v>
      </c>
    </row>
    <row r="2059" spans="40:42" x14ac:dyDescent="0.3">
      <c r="AN2059">
        <v>2055</v>
      </c>
      <c r="AO2059" s="11">
        <v>30851.99</v>
      </c>
      <c r="AP2059" s="9">
        <v>2.9279021285334426</v>
      </c>
    </row>
    <row r="2060" spans="40:42" x14ac:dyDescent="0.3">
      <c r="AN2060">
        <v>2056</v>
      </c>
      <c r="AO2060" s="11">
        <v>26597.35</v>
      </c>
      <c r="AP2060" s="9">
        <v>3.0304956861450076</v>
      </c>
    </row>
    <row r="2061" spans="40:42" x14ac:dyDescent="0.3">
      <c r="AN2061">
        <v>2057</v>
      </c>
      <c r="AO2061" s="11">
        <v>28818.29</v>
      </c>
      <c r="AP2061" s="9">
        <v>3.2559596749218254</v>
      </c>
    </row>
    <row r="2062" spans="40:42" x14ac:dyDescent="0.3">
      <c r="AN2062">
        <v>2058</v>
      </c>
      <c r="AO2062" s="11">
        <v>26222.62</v>
      </c>
      <c r="AP2062" s="9">
        <v>2.7473418704159069</v>
      </c>
    </row>
    <row r="2063" spans="40:42" x14ac:dyDescent="0.3">
      <c r="AN2063">
        <v>2059</v>
      </c>
      <c r="AO2063" s="11">
        <v>33650.22</v>
      </c>
      <c r="AP2063" s="9">
        <v>3.9717192991794459</v>
      </c>
    </row>
    <row r="2064" spans="40:42" x14ac:dyDescent="0.3">
      <c r="AN2064">
        <v>2060</v>
      </c>
      <c r="AO2064" s="11">
        <v>39065.33</v>
      </c>
      <c r="AP2064" s="9">
        <v>3.5858557341734336</v>
      </c>
    </row>
    <row r="2065" spans="40:42" x14ac:dyDescent="0.3">
      <c r="AN2065">
        <v>2061</v>
      </c>
      <c r="AO2065" s="11">
        <v>26199.05</v>
      </c>
      <c r="AP2065" s="9">
        <v>3.5068588124586459</v>
      </c>
    </row>
    <row r="2066" spans="40:42" x14ac:dyDescent="0.3">
      <c r="AN2066">
        <v>2062</v>
      </c>
      <c r="AO2066" s="11">
        <v>24304.76</v>
      </c>
      <c r="AP2066" s="9">
        <v>3.3487962441325316</v>
      </c>
    </row>
    <row r="2067" spans="40:42" x14ac:dyDescent="0.3">
      <c r="AN2067">
        <v>2063</v>
      </c>
      <c r="AO2067" s="11">
        <v>27182.880000000001</v>
      </c>
      <c r="AP2067" s="9">
        <v>3.4298887797085484</v>
      </c>
    </row>
    <row r="2068" spans="40:42" x14ac:dyDescent="0.3">
      <c r="AN2068">
        <v>2064</v>
      </c>
      <c r="AO2068" s="11">
        <v>32924.230000000003</v>
      </c>
      <c r="AP2068" s="9">
        <v>3.4029751392276637</v>
      </c>
    </row>
    <row r="2069" spans="40:42" x14ac:dyDescent="0.3">
      <c r="AN2069">
        <v>2065</v>
      </c>
      <c r="AO2069" s="11">
        <v>23322.85</v>
      </c>
      <c r="AP2069" s="9">
        <v>3.2939495519863593</v>
      </c>
    </row>
    <row r="2070" spans="40:42" x14ac:dyDescent="0.3">
      <c r="AN2070">
        <v>2066</v>
      </c>
      <c r="AO2070" s="11">
        <v>17185.89</v>
      </c>
      <c r="AP2070" s="9">
        <v>3.0289022818173699</v>
      </c>
    </row>
    <row r="2071" spans="40:42" x14ac:dyDescent="0.3">
      <c r="AN2071">
        <v>2067</v>
      </c>
      <c r="AO2071" s="11">
        <v>24812.94</v>
      </c>
      <c r="AP2071" s="9">
        <v>2.9943959314609354</v>
      </c>
    </row>
    <row r="2072" spans="40:42" x14ac:dyDescent="0.3">
      <c r="AN2072">
        <v>2068</v>
      </c>
      <c r="AO2072" s="11">
        <v>20330.11</v>
      </c>
      <c r="AP2072" s="9">
        <v>3.1884497495645627</v>
      </c>
    </row>
    <row r="2073" spans="40:42" x14ac:dyDescent="0.3">
      <c r="AN2073">
        <v>2069</v>
      </c>
      <c r="AO2073" s="11">
        <v>40251.96</v>
      </c>
      <c r="AP2073" s="9">
        <v>4.1050140675448024</v>
      </c>
    </row>
    <row r="2074" spans="40:42" x14ac:dyDescent="0.3">
      <c r="AN2074">
        <v>2070</v>
      </c>
      <c r="AO2074" s="11">
        <v>28776.79</v>
      </c>
      <c r="AP2074" s="9">
        <v>3.4644143247308965</v>
      </c>
    </row>
    <row r="2075" spans="40:42" x14ac:dyDescent="0.3">
      <c r="AN2075">
        <v>2071</v>
      </c>
      <c r="AO2075" s="11">
        <v>25061.61</v>
      </c>
      <c r="AP2075" s="9">
        <v>3.0852612922777647</v>
      </c>
    </row>
    <row r="2076" spans="40:42" x14ac:dyDescent="0.3">
      <c r="AN2076">
        <v>2072</v>
      </c>
      <c r="AO2076" s="11">
        <v>25496.37</v>
      </c>
      <c r="AP2076" s="9">
        <v>3.6300559862540349</v>
      </c>
    </row>
    <row r="2077" spans="40:42" x14ac:dyDescent="0.3">
      <c r="AN2077">
        <v>2073</v>
      </c>
      <c r="AO2077" s="11">
        <v>31243.71</v>
      </c>
      <c r="AP2077" s="9">
        <v>3.7538579295871015</v>
      </c>
    </row>
    <row r="2078" spans="40:42" x14ac:dyDescent="0.3">
      <c r="AN2078">
        <v>2074</v>
      </c>
      <c r="AO2078" s="11">
        <v>26357.94</v>
      </c>
      <c r="AP2078" s="9">
        <v>3.1192113497645817</v>
      </c>
    </row>
    <row r="2079" spans="40:42" x14ac:dyDescent="0.3">
      <c r="AN2079">
        <v>2075</v>
      </c>
      <c r="AO2079" s="11">
        <v>31812.73</v>
      </c>
      <c r="AP2079" s="9">
        <v>3.6612041059489648</v>
      </c>
    </row>
    <row r="2080" spans="40:42" x14ac:dyDescent="0.3">
      <c r="AN2080">
        <v>2076</v>
      </c>
      <c r="AO2080" s="11">
        <v>19755.41</v>
      </c>
      <c r="AP2080" s="9">
        <v>2.9425620490542248</v>
      </c>
    </row>
    <row r="2081" spans="40:42" x14ac:dyDescent="0.3">
      <c r="AN2081">
        <v>2077</v>
      </c>
      <c r="AO2081" s="11">
        <v>20998.639999999999</v>
      </c>
      <c r="AP2081" s="9">
        <v>3.6336832645123391</v>
      </c>
    </row>
    <row r="2082" spans="40:42" x14ac:dyDescent="0.3">
      <c r="AN2082">
        <v>2078</v>
      </c>
      <c r="AO2082" s="11">
        <v>25920.53</v>
      </c>
      <c r="AP2082" s="9">
        <v>3.2439263473922937</v>
      </c>
    </row>
    <row r="2083" spans="40:42" x14ac:dyDescent="0.3">
      <c r="AN2083">
        <v>2079</v>
      </c>
      <c r="AO2083" s="11">
        <v>28523.03</v>
      </c>
      <c r="AP2083" s="9">
        <v>3.1538851935707264</v>
      </c>
    </row>
    <row r="2084" spans="40:42" x14ac:dyDescent="0.3">
      <c r="AN2084">
        <v>2080</v>
      </c>
      <c r="AO2084" s="11">
        <v>25291.08</v>
      </c>
      <c r="AP2084" s="9">
        <v>3.6132910793222011</v>
      </c>
    </row>
    <row r="2085" spans="40:42" x14ac:dyDescent="0.3">
      <c r="AN2085">
        <v>2081</v>
      </c>
      <c r="AO2085" s="11">
        <v>34763.72</v>
      </c>
      <c r="AP2085" s="9">
        <v>2.9673859427467528</v>
      </c>
    </row>
    <row r="2086" spans="40:42" x14ac:dyDescent="0.3">
      <c r="AN2086">
        <v>2082</v>
      </c>
      <c r="AO2086" s="11">
        <v>28788.33</v>
      </c>
      <c r="AP2086" s="9">
        <v>3.628168852060774</v>
      </c>
    </row>
    <row r="2087" spans="40:42" x14ac:dyDescent="0.3">
      <c r="AN2087">
        <v>2083</v>
      </c>
      <c r="AO2087" s="11">
        <v>32725.89</v>
      </c>
      <c r="AP2087" s="9">
        <v>4.0358220883791258</v>
      </c>
    </row>
    <row r="2088" spans="40:42" x14ac:dyDescent="0.3">
      <c r="AN2088">
        <v>2084</v>
      </c>
      <c r="AO2088" s="11">
        <v>23760.26</v>
      </c>
      <c r="AP2088" s="9">
        <v>2.801456151932177</v>
      </c>
    </row>
    <row r="2089" spans="40:42" x14ac:dyDescent="0.3">
      <c r="AN2089">
        <v>2085</v>
      </c>
      <c r="AO2089" s="11">
        <v>33603.47</v>
      </c>
      <c r="AP2089" s="9">
        <v>3.1943728138991854</v>
      </c>
    </row>
    <row r="2090" spans="40:42" x14ac:dyDescent="0.3">
      <c r="AN2090">
        <v>2086</v>
      </c>
      <c r="AO2090" s="11">
        <v>30040.46</v>
      </c>
      <c r="AP2090" s="9">
        <v>3.6128758234044742</v>
      </c>
    </row>
    <row r="2091" spans="40:42" x14ac:dyDescent="0.3">
      <c r="AN2091">
        <v>2087</v>
      </c>
      <c r="AO2091" s="11">
        <v>24560.86</v>
      </c>
      <c r="AP2091" s="9">
        <v>3.3678933965946736</v>
      </c>
    </row>
    <row r="2092" spans="40:42" x14ac:dyDescent="0.3">
      <c r="AN2092">
        <v>2088</v>
      </c>
      <c r="AO2092" s="11">
        <v>24709.79</v>
      </c>
      <c r="AP2092" s="9">
        <v>3.2315610880152188</v>
      </c>
    </row>
    <row r="2093" spans="40:42" x14ac:dyDescent="0.3">
      <c r="AN2093">
        <v>2089</v>
      </c>
      <c r="AO2093" s="11">
        <v>29929.62</v>
      </c>
      <c r="AP2093" s="9">
        <v>3.1432953730311977</v>
      </c>
    </row>
    <row r="2094" spans="40:42" x14ac:dyDescent="0.3">
      <c r="AN2094">
        <v>2090</v>
      </c>
      <c r="AO2094" s="11">
        <v>21646.92</v>
      </c>
      <c r="AP2094" s="9">
        <v>3.3510836369468935</v>
      </c>
    </row>
    <row r="2095" spans="40:42" x14ac:dyDescent="0.3">
      <c r="AN2095">
        <v>2091</v>
      </c>
      <c r="AO2095" s="11">
        <v>24629.87</v>
      </c>
      <c r="AP2095" s="9">
        <v>3.2931587444597969</v>
      </c>
    </row>
    <row r="2096" spans="40:42" x14ac:dyDescent="0.3">
      <c r="AN2096">
        <v>2092</v>
      </c>
      <c r="AO2096" s="11">
        <v>34874</v>
      </c>
      <c r="AP2096" s="9">
        <v>3.7793516949488288</v>
      </c>
    </row>
    <row r="2097" spans="40:42" x14ac:dyDescent="0.3">
      <c r="AN2097">
        <v>2093</v>
      </c>
      <c r="AO2097" s="11">
        <v>21567.96</v>
      </c>
      <c r="AP2097" s="9">
        <v>3.9253320446507622</v>
      </c>
    </row>
    <row r="2098" spans="40:42" x14ac:dyDescent="0.3">
      <c r="AN2098">
        <v>2094</v>
      </c>
      <c r="AO2098" s="11">
        <v>28679.05</v>
      </c>
      <c r="AP2098" s="9">
        <v>3.8576449672505895</v>
      </c>
    </row>
    <row r="2099" spans="40:42" x14ac:dyDescent="0.3">
      <c r="AN2099">
        <v>2095</v>
      </c>
      <c r="AO2099" s="11">
        <v>24605.17</v>
      </c>
      <c r="AP2099" s="9">
        <v>3.3595689280225933</v>
      </c>
    </row>
    <row r="2100" spans="40:42" x14ac:dyDescent="0.3">
      <c r="AN2100">
        <v>2096</v>
      </c>
      <c r="AO2100" s="11">
        <v>24883.51</v>
      </c>
      <c r="AP2100" s="9">
        <v>3.5482571108428878</v>
      </c>
    </row>
    <row r="2101" spans="40:42" x14ac:dyDescent="0.3">
      <c r="AN2101">
        <v>2097</v>
      </c>
      <c r="AO2101" s="11">
        <v>24406.79</v>
      </c>
      <c r="AP2101" s="9">
        <v>3.6573618587313987</v>
      </c>
    </row>
    <row r="2102" spans="40:42" x14ac:dyDescent="0.3">
      <c r="AN2102">
        <v>2098</v>
      </c>
      <c r="AO2102" s="11">
        <v>23114.38</v>
      </c>
      <c r="AP2102" s="9">
        <v>3.1339962349999748</v>
      </c>
    </row>
    <row r="2103" spans="40:42" x14ac:dyDescent="0.3">
      <c r="AN2103">
        <v>2099</v>
      </c>
      <c r="AO2103" s="11">
        <v>35395.54</v>
      </c>
      <c r="AP2103" s="9">
        <v>3.5927742269766241</v>
      </c>
    </row>
    <row r="2104" spans="40:42" x14ac:dyDescent="0.3">
      <c r="AN2104">
        <v>2100</v>
      </c>
      <c r="AO2104" s="11">
        <v>32919.379999999997</v>
      </c>
      <c r="AP2104" s="9">
        <v>3.3642952635883092</v>
      </c>
    </row>
    <row r="2105" spans="40:42" x14ac:dyDescent="0.3">
      <c r="AN2105">
        <v>2101</v>
      </c>
      <c r="AO2105" s="11">
        <v>22425.33</v>
      </c>
      <c r="AP2105" s="9">
        <v>2.7761558199888019</v>
      </c>
    </row>
    <row r="2106" spans="40:42" x14ac:dyDescent="0.3">
      <c r="AN2106">
        <v>2102</v>
      </c>
      <c r="AO2106" s="11">
        <v>21294.799999999999</v>
      </c>
      <c r="AP2106" s="9">
        <v>3.2116612034229268</v>
      </c>
    </row>
    <row r="2107" spans="40:42" x14ac:dyDescent="0.3">
      <c r="AN2107">
        <v>2103</v>
      </c>
      <c r="AO2107" s="11">
        <v>26188.639999999999</v>
      </c>
      <c r="AP2107" s="9">
        <v>3.1969162326411467</v>
      </c>
    </row>
    <row r="2108" spans="40:42" x14ac:dyDescent="0.3">
      <c r="AN2108">
        <v>2104</v>
      </c>
      <c r="AO2108" s="11">
        <v>28087.01</v>
      </c>
      <c r="AP2108" s="9">
        <v>2.8257545788739238</v>
      </c>
    </row>
    <row r="2109" spans="40:42" x14ac:dyDescent="0.3">
      <c r="AN2109">
        <v>2105</v>
      </c>
      <c r="AO2109" s="11">
        <v>25765.62</v>
      </c>
      <c r="AP2109" s="9">
        <v>3.3529198627774459</v>
      </c>
    </row>
    <row r="2110" spans="40:42" x14ac:dyDescent="0.3">
      <c r="AN2110">
        <v>2106</v>
      </c>
      <c r="AO2110" s="11">
        <v>24331.68</v>
      </c>
      <c r="AP2110" s="9">
        <v>3.3724464390120117</v>
      </c>
    </row>
    <row r="2111" spans="40:42" x14ac:dyDescent="0.3">
      <c r="AN2111">
        <v>2107</v>
      </c>
      <c r="AO2111" s="11">
        <v>37226.19</v>
      </c>
      <c r="AP2111" s="9">
        <v>3.051499102146821</v>
      </c>
    </row>
    <row r="2112" spans="40:42" x14ac:dyDescent="0.3">
      <c r="AN2112">
        <v>2108</v>
      </c>
      <c r="AO2112" s="11">
        <v>39032.92</v>
      </c>
      <c r="AP2112" s="9">
        <v>3.2733344138573091</v>
      </c>
    </row>
    <row r="2113" spans="40:42" x14ac:dyDescent="0.3">
      <c r="AN2113">
        <v>2109</v>
      </c>
      <c r="AO2113" s="11">
        <v>34923.43</v>
      </c>
      <c r="AP2113" s="9">
        <v>3.9794032236667172</v>
      </c>
    </row>
    <row r="2114" spans="40:42" x14ac:dyDescent="0.3">
      <c r="AN2114">
        <v>2110</v>
      </c>
      <c r="AO2114" s="11">
        <v>22796.81</v>
      </c>
      <c r="AP2114" s="9">
        <v>2.8593793682697992</v>
      </c>
    </row>
    <row r="2115" spans="40:42" x14ac:dyDescent="0.3">
      <c r="AN2115">
        <v>2111</v>
      </c>
      <c r="AO2115" s="11">
        <v>36367.75</v>
      </c>
      <c r="AP2115" s="9">
        <v>3.7100679709120352</v>
      </c>
    </row>
    <row r="2116" spans="40:42" x14ac:dyDescent="0.3">
      <c r="AN2116">
        <v>2112</v>
      </c>
      <c r="AO2116" s="11">
        <v>34658.550000000003</v>
      </c>
      <c r="AP2116" s="9">
        <v>3.4040263081851716</v>
      </c>
    </row>
    <row r="2117" spans="40:42" x14ac:dyDescent="0.3">
      <c r="AN2117">
        <v>2113</v>
      </c>
      <c r="AO2117" s="11">
        <v>28181.86</v>
      </c>
      <c r="AP2117" s="9">
        <v>3.1950902237683687</v>
      </c>
    </row>
    <row r="2118" spans="40:42" x14ac:dyDescent="0.3">
      <c r="AN2118">
        <v>2114</v>
      </c>
      <c r="AO2118" s="11">
        <v>24707.69</v>
      </c>
      <c r="AP2118" s="9">
        <v>2.735510200311051</v>
      </c>
    </row>
    <row r="2119" spans="40:42" x14ac:dyDescent="0.3">
      <c r="AN2119">
        <v>2115</v>
      </c>
      <c r="AO2119" s="11">
        <v>25384.14</v>
      </c>
      <c r="AP2119" s="9">
        <v>4.0838682478367083</v>
      </c>
    </row>
    <row r="2120" spans="40:42" x14ac:dyDescent="0.3">
      <c r="AN2120">
        <v>2116</v>
      </c>
      <c r="AO2120" s="11">
        <v>20531.740000000002</v>
      </c>
      <c r="AP2120" s="9">
        <v>3.167429319137038</v>
      </c>
    </row>
    <row r="2121" spans="40:42" x14ac:dyDescent="0.3">
      <c r="AN2121">
        <v>2117</v>
      </c>
      <c r="AO2121" s="11">
        <v>20452.63</v>
      </c>
      <c r="AP2121" s="9">
        <v>2.9896282445426934</v>
      </c>
    </row>
    <row r="2122" spans="40:42" x14ac:dyDescent="0.3">
      <c r="AN2122">
        <v>2118</v>
      </c>
      <c r="AO2122" s="11">
        <v>27965.74</v>
      </c>
      <c r="AP2122" s="9">
        <v>4.0295198299056727</v>
      </c>
    </row>
    <row r="2123" spans="40:42" x14ac:dyDescent="0.3">
      <c r="AN2123">
        <v>2119</v>
      </c>
      <c r="AO2123" s="11">
        <v>33660.82</v>
      </c>
      <c r="AP2123" s="9">
        <v>3.3391124996623716</v>
      </c>
    </row>
    <row r="2124" spans="40:42" x14ac:dyDescent="0.3">
      <c r="AN2124">
        <v>2120</v>
      </c>
      <c r="AO2124" s="11">
        <v>26130.1</v>
      </c>
      <c r="AP2124" s="9">
        <v>3.1201537983459198</v>
      </c>
    </row>
    <row r="2125" spans="40:42" x14ac:dyDescent="0.3">
      <c r="AN2125">
        <v>2121</v>
      </c>
      <c r="AO2125" s="11">
        <v>32695.119999999999</v>
      </c>
      <c r="AP2125" s="9">
        <v>3.3531778807801857</v>
      </c>
    </row>
    <row r="2126" spans="40:42" x14ac:dyDescent="0.3">
      <c r="AN2126">
        <v>2122</v>
      </c>
      <c r="AO2126" s="11">
        <v>32267.46</v>
      </c>
      <c r="AP2126" s="9">
        <v>3.3263259694825948</v>
      </c>
    </row>
    <row r="2127" spans="40:42" x14ac:dyDescent="0.3">
      <c r="AN2127">
        <v>2123</v>
      </c>
      <c r="AO2127" s="11">
        <v>19580.939999999999</v>
      </c>
      <c r="AP2127" s="9">
        <v>3.1676209867334504</v>
      </c>
    </row>
    <row r="2128" spans="40:42" x14ac:dyDescent="0.3">
      <c r="AN2128">
        <v>2124</v>
      </c>
      <c r="AO2128" s="11">
        <v>38281.99</v>
      </c>
      <c r="AP2128" s="9">
        <v>3.0923280367644543</v>
      </c>
    </row>
    <row r="2129" spans="40:42" x14ac:dyDescent="0.3">
      <c r="AN2129">
        <v>2125</v>
      </c>
      <c r="AO2129" s="11">
        <v>24601.5</v>
      </c>
      <c r="AP2129" s="9">
        <v>3.6299658236754668</v>
      </c>
    </row>
    <row r="2130" spans="40:42" x14ac:dyDescent="0.3">
      <c r="AN2130">
        <v>2126</v>
      </c>
      <c r="AO2130" s="11">
        <v>24789.45</v>
      </c>
      <c r="AP2130" s="9">
        <v>3.1913253706842553</v>
      </c>
    </row>
    <row r="2131" spans="40:42" x14ac:dyDescent="0.3">
      <c r="AN2131">
        <v>2127</v>
      </c>
      <c r="AO2131" s="11">
        <v>36624.620000000003</v>
      </c>
      <c r="AP2131" s="9">
        <v>3.862598838166857</v>
      </c>
    </row>
    <row r="2132" spans="40:42" x14ac:dyDescent="0.3">
      <c r="AN2132">
        <v>2128</v>
      </c>
      <c r="AO2132" s="11">
        <v>26941.18</v>
      </c>
      <c r="AP2132" s="9">
        <v>3.9633015393959221</v>
      </c>
    </row>
    <row r="2133" spans="40:42" x14ac:dyDescent="0.3">
      <c r="AN2133">
        <v>2129</v>
      </c>
      <c r="AO2133" s="11">
        <v>27143.84</v>
      </c>
      <c r="AP2133" s="9">
        <v>3.7133738874796731</v>
      </c>
    </row>
    <row r="2134" spans="40:42" x14ac:dyDescent="0.3">
      <c r="AN2134">
        <v>2130</v>
      </c>
      <c r="AO2134" s="11">
        <v>37028.44</v>
      </c>
      <c r="AP2134" s="9">
        <v>4.4714760796461528</v>
      </c>
    </row>
    <row r="2135" spans="40:42" x14ac:dyDescent="0.3">
      <c r="AN2135">
        <v>2131</v>
      </c>
      <c r="AO2135" s="11">
        <v>20404.689999999999</v>
      </c>
      <c r="AP2135" s="9">
        <v>3.2645326167319726</v>
      </c>
    </row>
    <row r="2136" spans="40:42" x14ac:dyDescent="0.3">
      <c r="AN2136">
        <v>2132</v>
      </c>
      <c r="AO2136" s="11">
        <v>46679.39</v>
      </c>
      <c r="AP2136" s="9">
        <v>3.4170671999018492</v>
      </c>
    </row>
    <row r="2137" spans="40:42" x14ac:dyDescent="0.3">
      <c r="AN2137">
        <v>2133</v>
      </c>
      <c r="AO2137" s="11">
        <v>23781.23</v>
      </c>
      <c r="AP2137" s="9">
        <v>3.3186264934536349</v>
      </c>
    </row>
    <row r="2138" spans="40:42" x14ac:dyDescent="0.3">
      <c r="AN2138">
        <v>2134</v>
      </c>
      <c r="AO2138" s="11">
        <v>26527.13</v>
      </c>
      <c r="AP2138" s="9">
        <v>4.776245986195347</v>
      </c>
    </row>
    <row r="2139" spans="40:42" x14ac:dyDescent="0.3">
      <c r="AN2139">
        <v>2135</v>
      </c>
      <c r="AO2139" s="11">
        <v>14866.64</v>
      </c>
      <c r="AP2139" s="9">
        <v>3.2297963625975354</v>
      </c>
    </row>
    <row r="2140" spans="40:42" x14ac:dyDescent="0.3">
      <c r="AN2140">
        <v>2136</v>
      </c>
      <c r="AO2140" s="11">
        <v>19557.669999999998</v>
      </c>
      <c r="AP2140" s="9">
        <v>3.1707193223758963</v>
      </c>
    </row>
    <row r="2141" spans="40:42" x14ac:dyDescent="0.3">
      <c r="AN2141">
        <v>2137</v>
      </c>
      <c r="AO2141" s="11">
        <v>31038.36</v>
      </c>
      <c r="AP2141" s="9">
        <v>3.4641403695747108</v>
      </c>
    </row>
    <row r="2142" spans="40:42" x14ac:dyDescent="0.3">
      <c r="AN2142">
        <v>2138</v>
      </c>
      <c r="AO2142" s="11">
        <v>33745.54</v>
      </c>
      <c r="AP2142" s="9">
        <v>3.8190600574406104</v>
      </c>
    </row>
    <row r="2143" spans="40:42" x14ac:dyDescent="0.3">
      <c r="AN2143">
        <v>2139</v>
      </c>
      <c r="AO2143" s="11">
        <v>19876.97</v>
      </c>
      <c r="AP2143" s="9">
        <v>2.521947461352442</v>
      </c>
    </row>
    <row r="2144" spans="40:42" x14ac:dyDescent="0.3">
      <c r="AN2144">
        <v>2140</v>
      </c>
      <c r="AO2144" s="11">
        <v>37888.92</v>
      </c>
      <c r="AP2144" s="9">
        <v>3.741348275493285</v>
      </c>
    </row>
    <row r="2145" spans="40:42" x14ac:dyDescent="0.3">
      <c r="AN2145">
        <v>2141</v>
      </c>
      <c r="AO2145" s="11">
        <v>38569.65</v>
      </c>
      <c r="AP2145" s="9">
        <v>3.6142722064548902</v>
      </c>
    </row>
    <row r="2146" spans="40:42" x14ac:dyDescent="0.3">
      <c r="AN2146">
        <v>2142</v>
      </c>
      <c r="AO2146" s="11">
        <v>25055.759999999998</v>
      </c>
      <c r="AP2146" s="9">
        <v>3.6980499905070676</v>
      </c>
    </row>
    <row r="2147" spans="40:42" x14ac:dyDescent="0.3">
      <c r="AN2147">
        <v>2143</v>
      </c>
      <c r="AO2147" s="11">
        <v>29968.46</v>
      </c>
      <c r="AP2147" s="9">
        <v>3.6639851453117269</v>
      </c>
    </row>
    <row r="2148" spans="40:42" x14ac:dyDescent="0.3">
      <c r="AN2148">
        <v>2144</v>
      </c>
      <c r="AO2148" s="11">
        <v>28530.57</v>
      </c>
      <c r="AP2148" s="9">
        <v>3.7047656418436583</v>
      </c>
    </row>
    <row r="2149" spans="40:42" x14ac:dyDescent="0.3">
      <c r="AN2149">
        <v>2145</v>
      </c>
      <c r="AO2149" s="11">
        <v>18256.169999999998</v>
      </c>
      <c r="AP2149" s="9">
        <v>3.1728247395519467</v>
      </c>
    </row>
    <row r="2150" spans="40:42" x14ac:dyDescent="0.3">
      <c r="AN2150">
        <v>2146</v>
      </c>
      <c r="AO2150" s="11">
        <v>30965.88</v>
      </c>
      <c r="AP2150" s="9">
        <v>3.0691536415050145</v>
      </c>
    </row>
    <row r="2151" spans="40:42" x14ac:dyDescent="0.3">
      <c r="AN2151">
        <v>2147</v>
      </c>
      <c r="AO2151" s="11">
        <v>22656.34</v>
      </c>
      <c r="AP2151" s="9">
        <v>3.1374784410966563</v>
      </c>
    </row>
    <row r="2152" spans="40:42" x14ac:dyDescent="0.3">
      <c r="AN2152">
        <v>2148</v>
      </c>
      <c r="AO2152" s="11">
        <v>21924.1</v>
      </c>
      <c r="AP2152" s="9">
        <v>3.5371076983988758</v>
      </c>
    </row>
    <row r="2153" spans="40:42" x14ac:dyDescent="0.3">
      <c r="AN2153">
        <v>2149</v>
      </c>
      <c r="AO2153" s="11">
        <v>18219.919999999998</v>
      </c>
      <c r="AP2153" s="9">
        <v>3.4660528944248385</v>
      </c>
    </row>
    <row r="2154" spans="40:42" x14ac:dyDescent="0.3">
      <c r="AN2154">
        <v>2150</v>
      </c>
      <c r="AO2154" s="11">
        <v>27697.69</v>
      </c>
      <c r="AP2154" s="9">
        <v>3.0325144703737528</v>
      </c>
    </row>
    <row r="2155" spans="40:42" x14ac:dyDescent="0.3">
      <c r="AN2155">
        <v>2151</v>
      </c>
      <c r="AO2155" s="11">
        <v>31796.81</v>
      </c>
      <c r="AP2155" s="9">
        <v>3.4115199091139394</v>
      </c>
    </row>
    <row r="2156" spans="40:42" x14ac:dyDescent="0.3">
      <c r="AN2156">
        <v>2152</v>
      </c>
      <c r="AO2156" s="11">
        <v>27995.78</v>
      </c>
      <c r="AP2156" s="9">
        <v>2.9582613970797045</v>
      </c>
    </row>
    <row r="2157" spans="40:42" x14ac:dyDescent="0.3">
      <c r="AN2157">
        <v>2153</v>
      </c>
      <c r="AO2157" s="11">
        <v>33525.03</v>
      </c>
      <c r="AP2157" s="9">
        <v>3.8879010333500355</v>
      </c>
    </row>
    <row r="2158" spans="40:42" x14ac:dyDescent="0.3">
      <c r="AN2158">
        <v>2154</v>
      </c>
      <c r="AO2158" s="11">
        <v>30553.74</v>
      </c>
      <c r="AP2158" s="9">
        <v>3.4808516853666389</v>
      </c>
    </row>
    <row r="2159" spans="40:42" x14ac:dyDescent="0.3">
      <c r="AN2159">
        <v>2155</v>
      </c>
      <c r="AO2159" s="11">
        <v>21710.17</v>
      </c>
      <c r="AP2159" s="9">
        <v>3.0437348982713273</v>
      </c>
    </row>
    <row r="2160" spans="40:42" x14ac:dyDescent="0.3">
      <c r="AN2160">
        <v>2156</v>
      </c>
      <c r="AO2160" s="11">
        <v>23133.97</v>
      </c>
      <c r="AP2160" s="9">
        <v>3.3655323588321893</v>
      </c>
    </row>
    <row r="2161" spans="40:42" x14ac:dyDescent="0.3">
      <c r="AN2161">
        <v>2157</v>
      </c>
      <c r="AO2161" s="11">
        <v>13170.61</v>
      </c>
      <c r="AP2161" s="9">
        <v>2.6310499344315224</v>
      </c>
    </row>
    <row r="2162" spans="40:42" x14ac:dyDescent="0.3">
      <c r="AN2162">
        <v>2158</v>
      </c>
      <c r="AO2162" s="11">
        <v>27417.48</v>
      </c>
      <c r="AP2162" s="9">
        <v>4.0704417813746714</v>
      </c>
    </row>
    <row r="2163" spans="40:42" x14ac:dyDescent="0.3">
      <c r="AN2163">
        <v>2159</v>
      </c>
      <c r="AO2163" s="11">
        <v>27036.82</v>
      </c>
      <c r="AP2163" s="9">
        <v>3.5842563961268405</v>
      </c>
    </row>
    <row r="2164" spans="40:42" x14ac:dyDescent="0.3">
      <c r="AN2164">
        <v>2160</v>
      </c>
      <c r="AO2164" s="11">
        <v>34894.57</v>
      </c>
      <c r="AP2164" s="9">
        <v>3.9185711612063843</v>
      </c>
    </row>
    <row r="2165" spans="40:42" x14ac:dyDescent="0.3">
      <c r="AN2165">
        <v>2161</v>
      </c>
      <c r="AO2165" s="11">
        <v>34456.68</v>
      </c>
      <c r="AP2165" s="9">
        <v>3.5504345428680626</v>
      </c>
    </row>
    <row r="2166" spans="40:42" x14ac:dyDescent="0.3">
      <c r="AN2166">
        <v>2162</v>
      </c>
      <c r="AO2166" s="11">
        <v>21965</v>
      </c>
      <c r="AP2166" s="9">
        <v>3.4394884439188287</v>
      </c>
    </row>
    <row r="2167" spans="40:42" x14ac:dyDescent="0.3">
      <c r="AN2167">
        <v>2163</v>
      </c>
      <c r="AO2167" s="11">
        <v>25598.98</v>
      </c>
      <c r="AP2167" s="9">
        <v>2.9616612858935696</v>
      </c>
    </row>
    <row r="2168" spans="40:42" x14ac:dyDescent="0.3">
      <c r="AN2168">
        <v>2164</v>
      </c>
      <c r="AO2168" s="11">
        <v>26806.42</v>
      </c>
      <c r="AP2168" s="9">
        <v>3.4835565339857579</v>
      </c>
    </row>
    <row r="2169" spans="40:42" x14ac:dyDescent="0.3">
      <c r="AN2169">
        <v>2165</v>
      </c>
      <c r="AO2169" s="11">
        <v>25196.82</v>
      </c>
      <c r="AP2169" s="9">
        <v>3.3897703309304088</v>
      </c>
    </row>
    <row r="2170" spans="40:42" x14ac:dyDescent="0.3">
      <c r="AN2170">
        <v>2166</v>
      </c>
      <c r="AO2170" s="11">
        <v>25109.77</v>
      </c>
      <c r="AP2170" s="9">
        <v>2.8940216374123207</v>
      </c>
    </row>
    <row r="2171" spans="40:42" x14ac:dyDescent="0.3">
      <c r="AN2171">
        <v>2167</v>
      </c>
      <c r="AO2171" s="11">
        <v>25741.82</v>
      </c>
      <c r="AP2171" s="9">
        <v>3.2681379011932559</v>
      </c>
    </row>
    <row r="2172" spans="40:42" x14ac:dyDescent="0.3">
      <c r="AN2172">
        <v>2168</v>
      </c>
      <c r="AO2172" s="11">
        <v>30606.11</v>
      </c>
      <c r="AP2172" s="9">
        <v>4.3463925510627863</v>
      </c>
    </row>
    <row r="2173" spans="40:42" x14ac:dyDescent="0.3">
      <c r="AN2173">
        <v>2169</v>
      </c>
      <c r="AO2173" s="11">
        <v>31910.35</v>
      </c>
      <c r="AP2173" s="9">
        <v>3.1883928880483006</v>
      </c>
    </row>
    <row r="2174" spans="40:42" x14ac:dyDescent="0.3">
      <c r="AN2174">
        <v>2170</v>
      </c>
      <c r="AO2174" s="11">
        <v>25928</v>
      </c>
      <c r="AP2174" s="9">
        <v>3.3462910404225727</v>
      </c>
    </row>
    <row r="2175" spans="40:42" x14ac:dyDescent="0.3">
      <c r="AN2175">
        <v>2171</v>
      </c>
      <c r="AO2175" s="11">
        <v>30868.81</v>
      </c>
      <c r="AP2175" s="9">
        <v>3.5837279870901972</v>
      </c>
    </row>
    <row r="2176" spans="40:42" x14ac:dyDescent="0.3">
      <c r="AN2176">
        <v>2172</v>
      </c>
      <c r="AO2176" s="11">
        <v>32607.759999999998</v>
      </c>
      <c r="AP2176" s="9">
        <v>3.7914231596727892</v>
      </c>
    </row>
    <row r="2177" spans="40:42" x14ac:dyDescent="0.3">
      <c r="AN2177">
        <v>2173</v>
      </c>
      <c r="AO2177" s="11">
        <v>34439.78</v>
      </c>
      <c r="AP2177" s="9">
        <v>3.4001180759465077</v>
      </c>
    </row>
    <row r="2178" spans="40:42" x14ac:dyDescent="0.3">
      <c r="AN2178">
        <v>2174</v>
      </c>
      <c r="AO2178" s="11">
        <v>30840.55</v>
      </c>
      <c r="AP2178" s="9">
        <v>3.4220142202667923</v>
      </c>
    </row>
    <row r="2179" spans="40:42" x14ac:dyDescent="0.3">
      <c r="AN2179">
        <v>2175</v>
      </c>
      <c r="AO2179" s="11">
        <v>23812.13</v>
      </c>
      <c r="AP2179" s="9">
        <v>3.2543547510014359</v>
      </c>
    </row>
    <row r="2180" spans="40:42" x14ac:dyDescent="0.3">
      <c r="AN2180">
        <v>2176</v>
      </c>
      <c r="AO2180" s="11">
        <v>29205.11</v>
      </c>
      <c r="AP2180" s="9">
        <v>3.4181853247091287</v>
      </c>
    </row>
    <row r="2181" spans="40:42" x14ac:dyDescent="0.3">
      <c r="AN2181">
        <v>2177</v>
      </c>
      <c r="AO2181" s="11">
        <v>29828.48</v>
      </c>
      <c r="AP2181" s="9">
        <v>3.3640160073497429</v>
      </c>
    </row>
    <row r="2182" spans="40:42" x14ac:dyDescent="0.3">
      <c r="AN2182">
        <v>2178</v>
      </c>
      <c r="AO2182" s="11">
        <v>33915.120000000003</v>
      </c>
      <c r="AP2182" s="9">
        <v>3.4996629565233257</v>
      </c>
    </row>
    <row r="2183" spans="40:42" x14ac:dyDescent="0.3">
      <c r="AN2183">
        <v>2179</v>
      </c>
      <c r="AO2183" s="11">
        <v>22714.22</v>
      </c>
      <c r="AP2183" s="9">
        <v>4.1770316752940069</v>
      </c>
    </row>
    <row r="2184" spans="40:42" x14ac:dyDescent="0.3">
      <c r="AN2184">
        <v>2180</v>
      </c>
      <c r="AO2184" s="11">
        <v>25889.89</v>
      </c>
      <c r="AP2184" s="9">
        <v>3.1414522514975989</v>
      </c>
    </row>
    <row r="2185" spans="40:42" x14ac:dyDescent="0.3">
      <c r="AN2185">
        <v>2181</v>
      </c>
      <c r="AO2185" s="11">
        <v>31925.14</v>
      </c>
      <c r="AP2185" s="9">
        <v>3.3252420710649591</v>
      </c>
    </row>
    <row r="2186" spans="40:42" x14ac:dyDescent="0.3">
      <c r="AN2186">
        <v>2182</v>
      </c>
      <c r="AO2186" s="11">
        <v>19994.560000000001</v>
      </c>
      <c r="AP2186" s="9">
        <v>3.0986055037118656</v>
      </c>
    </row>
    <row r="2187" spans="40:42" x14ac:dyDescent="0.3">
      <c r="AN2187">
        <v>2183</v>
      </c>
      <c r="AO2187" s="11">
        <v>49170.53</v>
      </c>
      <c r="AP2187" s="9">
        <v>3.6672642250141325</v>
      </c>
    </row>
    <row r="2188" spans="40:42" x14ac:dyDescent="0.3">
      <c r="AN2188">
        <v>2184</v>
      </c>
      <c r="AO2188" s="11">
        <v>29160.5</v>
      </c>
      <c r="AP2188" s="9">
        <v>3.7499196361066636</v>
      </c>
    </row>
    <row r="2189" spans="40:42" x14ac:dyDescent="0.3">
      <c r="AN2189">
        <v>2185</v>
      </c>
      <c r="AO2189" s="11">
        <v>24124.880000000001</v>
      </c>
      <c r="AP2189" s="9">
        <v>3.1503840470926265</v>
      </c>
    </row>
    <row r="2190" spans="40:42" x14ac:dyDescent="0.3">
      <c r="AN2190">
        <v>2186</v>
      </c>
      <c r="AO2190" s="11">
        <v>31272.78</v>
      </c>
      <c r="AP2190" s="9">
        <v>3.9308289341709215</v>
      </c>
    </row>
    <row r="2191" spans="40:42" x14ac:dyDescent="0.3">
      <c r="AN2191">
        <v>2187</v>
      </c>
      <c r="AO2191" s="11">
        <v>24845.58</v>
      </c>
      <c r="AP2191" s="9">
        <v>3.8258759692991999</v>
      </c>
    </row>
    <row r="2192" spans="40:42" x14ac:dyDescent="0.3">
      <c r="AN2192">
        <v>2188</v>
      </c>
      <c r="AO2192" s="11">
        <v>50949.99</v>
      </c>
      <c r="AP2192" s="9">
        <v>4.4405835495883421</v>
      </c>
    </row>
    <row r="2193" spans="40:42" x14ac:dyDescent="0.3">
      <c r="AN2193">
        <v>2189</v>
      </c>
      <c r="AO2193" s="11">
        <v>27429.06</v>
      </c>
      <c r="AP2193" s="9">
        <v>4.1525405551056656</v>
      </c>
    </row>
    <row r="2194" spans="40:42" x14ac:dyDescent="0.3">
      <c r="AN2194">
        <v>2190</v>
      </c>
      <c r="AO2194" s="11">
        <v>18233.169999999998</v>
      </c>
      <c r="AP2194" s="9">
        <v>3.2630636712342262</v>
      </c>
    </row>
    <row r="2195" spans="40:42" x14ac:dyDescent="0.3">
      <c r="AN2195">
        <v>2191</v>
      </c>
      <c r="AO2195" s="11">
        <v>26593.94</v>
      </c>
      <c r="AP2195" s="9">
        <v>2.9760118499280699</v>
      </c>
    </row>
    <row r="2196" spans="40:42" x14ac:dyDescent="0.3">
      <c r="AN2196">
        <v>2192</v>
      </c>
      <c r="AO2196" s="11">
        <v>28130.09</v>
      </c>
      <c r="AP2196" s="9">
        <v>2.7900360391061487</v>
      </c>
    </row>
    <row r="2197" spans="40:42" x14ac:dyDescent="0.3">
      <c r="AN2197">
        <v>2193</v>
      </c>
      <c r="AO2197" s="11">
        <v>20085.400000000001</v>
      </c>
      <c r="AP2197" s="9">
        <v>3.5733709103832894</v>
      </c>
    </row>
    <row r="2198" spans="40:42" x14ac:dyDescent="0.3">
      <c r="AN2198">
        <v>2194</v>
      </c>
      <c r="AO2198" s="11">
        <v>16166.69</v>
      </c>
      <c r="AP2198" s="9">
        <v>3.5154741142418366</v>
      </c>
    </row>
    <row r="2199" spans="40:42" x14ac:dyDescent="0.3">
      <c r="AN2199">
        <v>2195</v>
      </c>
      <c r="AO2199" s="11">
        <v>27635.02</v>
      </c>
      <c r="AP2199" s="9">
        <v>3.7342801467001787</v>
      </c>
    </row>
    <row r="2200" spans="40:42" x14ac:dyDescent="0.3">
      <c r="AN2200">
        <v>2196</v>
      </c>
      <c r="AO2200" s="11">
        <v>43207.03</v>
      </c>
      <c r="AP2200" s="9">
        <v>4.1217911747942599</v>
      </c>
    </row>
    <row r="2201" spans="40:42" x14ac:dyDescent="0.3">
      <c r="AN2201">
        <v>2197</v>
      </c>
      <c r="AO2201" s="11">
        <v>27288.07</v>
      </c>
      <c r="AP2201" s="9">
        <v>3.5381698454515682</v>
      </c>
    </row>
    <row r="2202" spans="40:42" x14ac:dyDescent="0.3">
      <c r="AN2202">
        <v>2198</v>
      </c>
      <c r="AO2202" s="11">
        <v>16463.46</v>
      </c>
      <c r="AP2202" s="9">
        <v>2.8005039015157833</v>
      </c>
    </row>
    <row r="2203" spans="40:42" x14ac:dyDescent="0.3">
      <c r="AN2203">
        <v>2199</v>
      </c>
      <c r="AO2203" s="11">
        <v>19614.55</v>
      </c>
      <c r="AP2203" s="9">
        <v>3.0147036708204906</v>
      </c>
    </row>
    <row r="2204" spans="40:42" x14ac:dyDescent="0.3">
      <c r="AN2204">
        <v>2200</v>
      </c>
      <c r="AO2204" s="11">
        <v>20971.53</v>
      </c>
      <c r="AP2204" s="9">
        <v>3.2931684402836621</v>
      </c>
    </row>
    <row r="2205" spans="40:42" x14ac:dyDescent="0.3">
      <c r="AN2205">
        <v>2201</v>
      </c>
      <c r="AO2205" s="11">
        <v>22161.45</v>
      </c>
      <c r="AP2205" s="9">
        <v>3.1415995250393673</v>
      </c>
    </row>
    <row r="2206" spans="40:42" x14ac:dyDescent="0.3">
      <c r="AN2206">
        <v>2202</v>
      </c>
      <c r="AO2206" s="11">
        <v>30443.77</v>
      </c>
      <c r="AP2206" s="9">
        <v>3.7395293007468484</v>
      </c>
    </row>
    <row r="2207" spans="40:42" x14ac:dyDescent="0.3">
      <c r="AN2207">
        <v>2203</v>
      </c>
      <c r="AO2207" s="11">
        <v>21973.18</v>
      </c>
      <c r="AP2207" s="9">
        <v>3.4681229456735805</v>
      </c>
    </row>
    <row r="2208" spans="40:42" x14ac:dyDescent="0.3">
      <c r="AN2208">
        <v>2204</v>
      </c>
      <c r="AO2208" s="11">
        <v>25141.35</v>
      </c>
      <c r="AP2208" s="9">
        <v>3.0307228561560646</v>
      </c>
    </row>
    <row r="2209" spans="40:42" x14ac:dyDescent="0.3">
      <c r="AN2209">
        <v>2205</v>
      </c>
      <c r="AO2209" s="11">
        <v>24327.75</v>
      </c>
      <c r="AP2209" s="9">
        <v>3.0429155609796452</v>
      </c>
    </row>
    <row r="2210" spans="40:42" x14ac:dyDescent="0.3">
      <c r="AN2210">
        <v>2206</v>
      </c>
      <c r="AO2210" s="11">
        <v>27130.49</v>
      </c>
      <c r="AP2210" s="9">
        <v>3.2970364452429375</v>
      </c>
    </row>
    <row r="2211" spans="40:42" x14ac:dyDescent="0.3">
      <c r="AN2211">
        <v>2207</v>
      </c>
      <c r="AO2211" s="11">
        <v>32635.279999999999</v>
      </c>
      <c r="AP2211" s="9">
        <v>3.9911556889591946</v>
      </c>
    </row>
    <row r="2212" spans="40:42" x14ac:dyDescent="0.3">
      <c r="AN2212">
        <v>2208</v>
      </c>
      <c r="AO2212" s="11">
        <v>28709.51</v>
      </c>
      <c r="AP2212" s="9">
        <v>4.0761722608244151</v>
      </c>
    </row>
    <row r="2213" spans="40:42" x14ac:dyDescent="0.3">
      <c r="AN2213">
        <v>2209</v>
      </c>
      <c r="AO2213" s="11">
        <v>22737.57</v>
      </c>
      <c r="AP2213" s="9">
        <v>3.1705466892858465</v>
      </c>
    </row>
    <row r="2214" spans="40:42" x14ac:dyDescent="0.3">
      <c r="AN2214">
        <v>2210</v>
      </c>
      <c r="AO2214" s="11">
        <v>22524.55</v>
      </c>
      <c r="AP2214" s="9">
        <v>3.5323992324916129</v>
      </c>
    </row>
    <row r="2215" spans="40:42" x14ac:dyDescent="0.3">
      <c r="AN2215">
        <v>2211</v>
      </c>
      <c r="AO2215" s="11">
        <v>38052.57</v>
      </c>
      <c r="AP2215" s="9">
        <v>3.3769528509526481</v>
      </c>
    </row>
    <row r="2216" spans="40:42" x14ac:dyDescent="0.3">
      <c r="AN2216">
        <v>2212</v>
      </c>
      <c r="AO2216" s="11">
        <v>34880.47</v>
      </c>
      <c r="AP2216" s="9">
        <v>3.6420303942641294</v>
      </c>
    </row>
    <row r="2217" spans="40:42" x14ac:dyDescent="0.3">
      <c r="AN2217">
        <v>2213</v>
      </c>
      <c r="AO2217" s="11">
        <v>41999.99</v>
      </c>
      <c r="AP2217" s="9">
        <v>3.5439512856005471</v>
      </c>
    </row>
    <row r="2218" spans="40:42" x14ac:dyDescent="0.3">
      <c r="AN2218">
        <v>2214</v>
      </c>
      <c r="AO2218" s="11">
        <v>26214.5</v>
      </c>
      <c r="AP2218" s="9">
        <v>3.3015128965207334</v>
      </c>
    </row>
    <row r="2219" spans="40:42" x14ac:dyDescent="0.3">
      <c r="AN2219">
        <v>2215</v>
      </c>
      <c r="AO2219" s="11">
        <v>33754.93</v>
      </c>
      <c r="AP2219" s="9">
        <v>2.7205637115195827</v>
      </c>
    </row>
    <row r="2220" spans="40:42" x14ac:dyDescent="0.3">
      <c r="AN2220">
        <v>2216</v>
      </c>
      <c r="AO2220" s="11">
        <v>30051.26</v>
      </c>
      <c r="AP2220" s="9">
        <v>3.491353227854896</v>
      </c>
    </row>
    <row r="2221" spans="40:42" x14ac:dyDescent="0.3">
      <c r="AN2221">
        <v>2217</v>
      </c>
      <c r="AO2221" s="11">
        <v>26515.56</v>
      </c>
      <c r="AP2221" s="9">
        <v>3.9067462510265578</v>
      </c>
    </row>
    <row r="2222" spans="40:42" x14ac:dyDescent="0.3">
      <c r="AN2222">
        <v>2218</v>
      </c>
      <c r="AO2222" s="11">
        <v>29755.86</v>
      </c>
      <c r="AP2222" s="9">
        <v>4.5360765440603652</v>
      </c>
    </row>
    <row r="2223" spans="40:42" x14ac:dyDescent="0.3">
      <c r="AN2223">
        <v>2219</v>
      </c>
      <c r="AO2223" s="11">
        <v>33240.46</v>
      </c>
      <c r="AP2223" s="9">
        <v>3.3602404919537139</v>
      </c>
    </row>
    <row r="2224" spans="40:42" x14ac:dyDescent="0.3">
      <c r="AN2224">
        <v>2220</v>
      </c>
      <c r="AO2224" s="11">
        <v>28434.73</v>
      </c>
      <c r="AP2224" s="9">
        <v>3.6558717098305551</v>
      </c>
    </row>
    <row r="2225" spans="40:42" x14ac:dyDescent="0.3">
      <c r="AN2225">
        <v>2221</v>
      </c>
      <c r="AO2225" s="11">
        <v>23318.799999999999</v>
      </c>
      <c r="AP2225" s="9">
        <v>4.1566861436006164</v>
      </c>
    </row>
    <row r="2226" spans="40:42" x14ac:dyDescent="0.3">
      <c r="AN2226">
        <v>2222</v>
      </c>
      <c r="AO2226" s="11">
        <v>35929.01</v>
      </c>
      <c r="AP2226" s="9">
        <v>3.6940704531777109</v>
      </c>
    </row>
    <row r="2227" spans="40:42" x14ac:dyDescent="0.3">
      <c r="AN2227">
        <v>2223</v>
      </c>
      <c r="AO2227" s="11">
        <v>30876.23</v>
      </c>
      <c r="AP2227" s="9">
        <v>2.9441559789429874</v>
      </c>
    </row>
    <row r="2228" spans="40:42" x14ac:dyDescent="0.3">
      <c r="AN2228">
        <v>2224</v>
      </c>
      <c r="AO2228" s="11">
        <v>19808.060000000001</v>
      </c>
      <c r="AP2228" s="9">
        <v>3.4396656048879559</v>
      </c>
    </row>
    <row r="2229" spans="40:42" x14ac:dyDescent="0.3">
      <c r="AN2229">
        <v>2225</v>
      </c>
      <c r="AO2229" s="11">
        <v>29878.63</v>
      </c>
      <c r="AP2229" s="9">
        <v>3.5901968413448668</v>
      </c>
    </row>
    <row r="2230" spans="40:42" x14ac:dyDescent="0.3">
      <c r="AN2230">
        <v>2226</v>
      </c>
      <c r="AO2230" s="11">
        <v>23665.47</v>
      </c>
      <c r="AP2230" s="9">
        <v>3.049574695059011</v>
      </c>
    </row>
    <row r="2231" spans="40:42" x14ac:dyDescent="0.3">
      <c r="AN2231">
        <v>2227</v>
      </c>
      <c r="AO2231" s="11">
        <v>25895.54</v>
      </c>
      <c r="AP2231" s="9">
        <v>3.1338287955978736</v>
      </c>
    </row>
    <row r="2232" spans="40:42" x14ac:dyDescent="0.3">
      <c r="AN2232">
        <v>2228</v>
      </c>
      <c r="AO2232" s="11">
        <v>26742.77</v>
      </c>
      <c r="AP2232" s="9">
        <v>3.1264381568755102</v>
      </c>
    </row>
    <row r="2233" spans="40:42" x14ac:dyDescent="0.3">
      <c r="AN2233">
        <v>2229</v>
      </c>
      <c r="AO2233" s="11">
        <v>33154.51</v>
      </c>
      <c r="AP2233" s="9">
        <v>3.4905570464565594</v>
      </c>
    </row>
    <row r="2234" spans="40:42" x14ac:dyDescent="0.3">
      <c r="AN2234">
        <v>2230</v>
      </c>
      <c r="AO2234" s="11">
        <v>22922.1</v>
      </c>
      <c r="AP2234" s="9">
        <v>3.5159264766547618</v>
      </c>
    </row>
    <row r="2235" spans="40:42" x14ac:dyDescent="0.3">
      <c r="AN2235">
        <v>2231</v>
      </c>
      <c r="AO2235" s="11">
        <v>30269.84</v>
      </c>
      <c r="AP2235" s="9">
        <v>3.9552617984118363</v>
      </c>
    </row>
    <row r="2236" spans="40:42" x14ac:dyDescent="0.3">
      <c r="AN2236">
        <v>2232</v>
      </c>
      <c r="AO2236" s="11">
        <v>23858.82</v>
      </c>
      <c r="AP2236" s="9">
        <v>3.3124225766978754</v>
      </c>
    </row>
    <row r="2237" spans="40:42" x14ac:dyDescent="0.3">
      <c r="AN2237">
        <v>2233</v>
      </c>
      <c r="AO2237" s="11">
        <v>22814.23</v>
      </c>
      <c r="AP2237" s="9">
        <v>3.0618132512065221</v>
      </c>
    </row>
    <row r="2238" spans="40:42" x14ac:dyDescent="0.3">
      <c r="AN2238">
        <v>2234</v>
      </c>
      <c r="AO2238" s="11">
        <v>22085.919999999998</v>
      </c>
      <c r="AP2238" s="9">
        <v>3.305703039805362</v>
      </c>
    </row>
    <row r="2239" spans="40:42" x14ac:dyDescent="0.3">
      <c r="AN2239">
        <v>2235</v>
      </c>
      <c r="AO2239" s="11">
        <v>30646.59</v>
      </c>
      <c r="AP2239" s="9">
        <v>3.012754575913529</v>
      </c>
    </row>
    <row r="2240" spans="40:42" x14ac:dyDescent="0.3">
      <c r="AN2240">
        <v>2236</v>
      </c>
      <c r="AO2240" s="11">
        <v>19816.28</v>
      </c>
      <c r="AP2240" s="9">
        <v>2.9942654428395565</v>
      </c>
    </row>
    <row r="2241" spans="40:42" x14ac:dyDescent="0.3">
      <c r="AN2241">
        <v>2237</v>
      </c>
      <c r="AO2241" s="11">
        <v>31008.97</v>
      </c>
      <c r="AP2241" s="9">
        <v>4.099816878247621</v>
      </c>
    </row>
    <row r="2242" spans="40:42" x14ac:dyDescent="0.3">
      <c r="AN2242">
        <v>2238</v>
      </c>
      <c r="AO2242" s="11">
        <v>23314.54</v>
      </c>
      <c r="AP2242" s="9">
        <v>3.5619825248563171</v>
      </c>
    </row>
    <row r="2243" spans="40:42" x14ac:dyDescent="0.3">
      <c r="AN2243">
        <v>2239</v>
      </c>
      <c r="AO2243" s="11">
        <v>27761.759999999998</v>
      </c>
      <c r="AP2243" s="9">
        <v>3.4303670772333952</v>
      </c>
    </row>
    <row r="2244" spans="40:42" x14ac:dyDescent="0.3">
      <c r="AN2244">
        <v>2240</v>
      </c>
      <c r="AO2244" s="11">
        <v>31795.360000000001</v>
      </c>
      <c r="AP2244" s="9">
        <v>3.7786663883509282</v>
      </c>
    </row>
    <row r="2245" spans="40:42" x14ac:dyDescent="0.3">
      <c r="AN2245">
        <v>2241</v>
      </c>
      <c r="AO2245" s="11">
        <v>25592.7</v>
      </c>
      <c r="AP2245" s="9">
        <v>3.5817725821276087</v>
      </c>
    </row>
    <row r="2246" spans="40:42" x14ac:dyDescent="0.3">
      <c r="AN2246">
        <v>2242</v>
      </c>
      <c r="AO2246" s="11">
        <v>31587.599999999999</v>
      </c>
      <c r="AP2246" s="9">
        <v>3.41233426026466</v>
      </c>
    </row>
    <row r="2247" spans="40:42" x14ac:dyDescent="0.3">
      <c r="AN2247">
        <v>2243</v>
      </c>
      <c r="AO2247" s="11">
        <v>36315.93</v>
      </c>
      <c r="AP2247" s="9">
        <v>3.5198696599551393</v>
      </c>
    </row>
    <row r="2248" spans="40:42" x14ac:dyDescent="0.3">
      <c r="AN2248">
        <v>2244</v>
      </c>
      <c r="AO2248" s="11">
        <v>29814.85</v>
      </c>
      <c r="AP2248" s="9">
        <v>3.6586296553346158</v>
      </c>
    </row>
    <row r="2249" spans="40:42" x14ac:dyDescent="0.3">
      <c r="AN2249">
        <v>2245</v>
      </c>
      <c r="AO2249" s="11">
        <v>25500.43</v>
      </c>
      <c r="AP2249" s="9">
        <v>3.8628504272326816</v>
      </c>
    </row>
    <row r="2250" spans="40:42" x14ac:dyDescent="0.3">
      <c r="AN2250">
        <v>2246</v>
      </c>
      <c r="AO2250" s="11">
        <v>21832.26</v>
      </c>
      <c r="AP2250" s="9">
        <v>2.9061251096184857</v>
      </c>
    </row>
    <row r="2251" spans="40:42" x14ac:dyDescent="0.3">
      <c r="AN2251">
        <v>2247</v>
      </c>
      <c r="AO2251" s="11">
        <v>25507.65</v>
      </c>
      <c r="AP2251" s="9">
        <v>3.4645330448873222</v>
      </c>
    </row>
    <row r="2252" spans="40:42" x14ac:dyDescent="0.3">
      <c r="AN2252">
        <v>2248</v>
      </c>
      <c r="AO2252" s="11">
        <v>39550.230000000003</v>
      </c>
      <c r="AP2252" s="9">
        <v>3.5131777065081722</v>
      </c>
    </row>
    <row r="2253" spans="40:42" x14ac:dyDescent="0.3">
      <c r="AN2253">
        <v>2249</v>
      </c>
      <c r="AO2253" s="11">
        <v>41357.879999999997</v>
      </c>
      <c r="AP2253" s="9">
        <v>4.0664498981460708</v>
      </c>
    </row>
    <row r="2254" spans="40:42" x14ac:dyDescent="0.3">
      <c r="AN2254">
        <v>2250</v>
      </c>
      <c r="AO2254" s="11">
        <v>30929.41</v>
      </c>
      <c r="AP2254" s="9">
        <v>3.9351811768057989</v>
      </c>
    </row>
    <row r="2255" spans="40:42" x14ac:dyDescent="0.3">
      <c r="AN2255">
        <v>2251</v>
      </c>
      <c r="AO2255" s="11">
        <v>18813.099999999999</v>
      </c>
      <c r="AP2255" s="9">
        <v>2.6398831132502956</v>
      </c>
    </row>
    <row r="2256" spans="40:42" x14ac:dyDescent="0.3">
      <c r="AN2256">
        <v>2252</v>
      </c>
      <c r="AO2256" s="11">
        <v>26193.74</v>
      </c>
      <c r="AP2256" s="9">
        <v>3.341062533783973</v>
      </c>
    </row>
    <row r="2257" spans="40:42" x14ac:dyDescent="0.3">
      <c r="AN2257">
        <v>2253</v>
      </c>
      <c r="AO2257" s="11">
        <v>22865.45</v>
      </c>
      <c r="AP2257" s="9">
        <v>2.952669928549692</v>
      </c>
    </row>
    <row r="2258" spans="40:42" x14ac:dyDescent="0.3">
      <c r="AN2258">
        <v>2254</v>
      </c>
      <c r="AO2258" s="11">
        <v>23461.35</v>
      </c>
      <c r="AP2258" s="9">
        <v>2.8629759086962214</v>
      </c>
    </row>
    <row r="2259" spans="40:42" x14ac:dyDescent="0.3">
      <c r="AN2259">
        <v>2255</v>
      </c>
      <c r="AO2259" s="11">
        <v>25966.61</v>
      </c>
      <c r="AP2259" s="9">
        <v>3.7589184124749089</v>
      </c>
    </row>
    <row r="2260" spans="40:42" x14ac:dyDescent="0.3">
      <c r="AN2260">
        <v>2256</v>
      </c>
      <c r="AO2260" s="11">
        <v>18778.259999999998</v>
      </c>
      <c r="AP2260" s="9">
        <v>3.4536270129750641</v>
      </c>
    </row>
    <row r="2261" spans="40:42" x14ac:dyDescent="0.3">
      <c r="AN2261">
        <v>2257</v>
      </c>
      <c r="AO2261" s="11">
        <v>14263.07</v>
      </c>
      <c r="AP2261" s="9">
        <v>2.9931136221543921</v>
      </c>
    </row>
    <row r="2262" spans="40:42" x14ac:dyDescent="0.3">
      <c r="AN2262">
        <v>2258</v>
      </c>
      <c r="AO2262" s="11">
        <v>19407.64</v>
      </c>
      <c r="AP2262" s="9">
        <v>2.8544368618143436</v>
      </c>
    </row>
    <row r="2263" spans="40:42" x14ac:dyDescent="0.3">
      <c r="AN2263">
        <v>2259</v>
      </c>
      <c r="AO2263" s="11">
        <v>24932.37</v>
      </c>
      <c r="AP2263" s="9">
        <v>3.8590056036696025</v>
      </c>
    </row>
    <row r="2264" spans="40:42" x14ac:dyDescent="0.3">
      <c r="AN2264">
        <v>2260</v>
      </c>
      <c r="AO2264" s="11">
        <v>32380.21</v>
      </c>
      <c r="AP2264" s="9">
        <v>3.4686234884823186</v>
      </c>
    </row>
    <row r="2265" spans="40:42" x14ac:dyDescent="0.3">
      <c r="AN2265">
        <v>2261</v>
      </c>
      <c r="AO2265" s="11">
        <v>15559.57</v>
      </c>
      <c r="AP2265" s="9">
        <v>3.1118419293085795</v>
      </c>
    </row>
    <row r="2266" spans="40:42" x14ac:dyDescent="0.3">
      <c r="AN2266">
        <v>2262</v>
      </c>
      <c r="AO2266" s="11">
        <v>16985.3</v>
      </c>
      <c r="AP2266" s="9">
        <v>3.0434923930783877</v>
      </c>
    </row>
    <row r="2267" spans="40:42" x14ac:dyDescent="0.3">
      <c r="AN2267">
        <v>2263</v>
      </c>
      <c r="AO2267" s="11">
        <v>19734.509999999998</v>
      </c>
      <c r="AP2267" s="9">
        <v>2.9264219571207191</v>
      </c>
    </row>
    <row r="2268" spans="40:42" x14ac:dyDescent="0.3">
      <c r="AN2268">
        <v>2264</v>
      </c>
      <c r="AO2268" s="11">
        <v>20869.849999999999</v>
      </c>
      <c r="AP2268" s="9">
        <v>3.3616954474891192</v>
      </c>
    </row>
    <row r="2269" spans="40:42" x14ac:dyDescent="0.3">
      <c r="AN2269">
        <v>2265</v>
      </c>
      <c r="AO2269" s="11">
        <v>19293.93</v>
      </c>
      <c r="AP2269" s="9">
        <v>3.7013891118381763</v>
      </c>
    </row>
    <row r="2270" spans="40:42" x14ac:dyDescent="0.3">
      <c r="AN2270">
        <v>2266</v>
      </c>
      <c r="AO2270" s="11">
        <v>24338.39</v>
      </c>
      <c r="AP2270" s="9">
        <v>2.9119828236270786</v>
      </c>
    </row>
    <row r="2271" spans="40:42" x14ac:dyDescent="0.3">
      <c r="AN2271">
        <v>2267</v>
      </c>
      <c r="AO2271" s="11">
        <v>43524.74</v>
      </c>
      <c r="AP2271" s="9">
        <v>4.0674553636033233</v>
      </c>
    </row>
    <row r="2272" spans="40:42" x14ac:dyDescent="0.3">
      <c r="AN2272">
        <v>2268</v>
      </c>
      <c r="AO2272" s="11">
        <v>26300.54</v>
      </c>
      <c r="AP2272" s="9">
        <v>3.7201214905518336</v>
      </c>
    </row>
    <row r="2273" spans="40:42" x14ac:dyDescent="0.3">
      <c r="AN2273">
        <v>2269</v>
      </c>
      <c r="AO2273" s="11">
        <v>25179.25</v>
      </c>
      <c r="AP2273" s="9">
        <v>2.9441524366115774</v>
      </c>
    </row>
    <row r="2274" spans="40:42" x14ac:dyDescent="0.3">
      <c r="AN2274">
        <v>2270</v>
      </c>
      <c r="AO2274" s="11">
        <v>29733.34</v>
      </c>
      <c r="AP2274" s="9">
        <v>3.66090984528747</v>
      </c>
    </row>
    <row r="2275" spans="40:42" x14ac:dyDescent="0.3">
      <c r="AN2275">
        <v>2271</v>
      </c>
      <c r="AO2275" s="11">
        <v>29112.639999999999</v>
      </c>
      <c r="AP2275" s="9">
        <v>2.8806400763047431</v>
      </c>
    </row>
    <row r="2276" spans="40:42" x14ac:dyDescent="0.3">
      <c r="AN2276">
        <v>2272</v>
      </c>
      <c r="AO2276" s="11">
        <v>35803.94</v>
      </c>
      <c r="AP2276" s="9">
        <v>3.569716002879507</v>
      </c>
    </row>
    <row r="2277" spans="40:42" x14ac:dyDescent="0.3">
      <c r="AN2277">
        <v>2273</v>
      </c>
      <c r="AO2277" s="11">
        <v>25689.78</v>
      </c>
      <c r="AP2277" s="9">
        <v>3.6224732917807989</v>
      </c>
    </row>
    <row r="2278" spans="40:42" x14ac:dyDescent="0.3">
      <c r="AN2278">
        <v>2274</v>
      </c>
      <c r="AO2278" s="11">
        <v>32261.62</v>
      </c>
      <c r="AP2278" s="9">
        <v>3.8000599326221298</v>
      </c>
    </row>
    <row r="2279" spans="40:42" x14ac:dyDescent="0.3">
      <c r="AN2279">
        <v>2275</v>
      </c>
      <c r="AO2279" s="11">
        <v>20812.59</v>
      </c>
      <c r="AP2279" s="9">
        <v>3.1115040220363928</v>
      </c>
    </row>
    <row r="2280" spans="40:42" x14ac:dyDescent="0.3">
      <c r="AN2280">
        <v>2276</v>
      </c>
      <c r="AO2280" s="11">
        <v>29577.29</v>
      </c>
      <c r="AP2280" s="9">
        <v>3.7299701984822291</v>
      </c>
    </row>
    <row r="2281" spans="40:42" x14ac:dyDescent="0.3">
      <c r="AN2281">
        <v>2277</v>
      </c>
      <c r="AO2281" s="11">
        <v>27048.29</v>
      </c>
      <c r="AP2281" s="9">
        <v>2.7979649399838364</v>
      </c>
    </row>
    <row r="2282" spans="40:42" x14ac:dyDescent="0.3">
      <c r="AN2282">
        <v>2278</v>
      </c>
      <c r="AO2282" s="11">
        <v>27923.67</v>
      </c>
      <c r="AP2282" s="9">
        <v>3.3304792350703147</v>
      </c>
    </row>
    <row r="2283" spans="40:42" x14ac:dyDescent="0.3">
      <c r="AN2283">
        <v>2279</v>
      </c>
      <c r="AO2283" s="11">
        <v>22889.66</v>
      </c>
      <c r="AP2283" s="9">
        <v>3.1187381657861484</v>
      </c>
    </row>
    <row r="2284" spans="40:42" x14ac:dyDescent="0.3">
      <c r="AN2284">
        <v>2280</v>
      </c>
      <c r="AO2284" s="11">
        <v>38961.67</v>
      </c>
      <c r="AP2284" s="9">
        <v>3.8376344771168256</v>
      </c>
    </row>
    <row r="2285" spans="40:42" x14ac:dyDescent="0.3">
      <c r="AN2285">
        <v>2281</v>
      </c>
      <c r="AO2285" s="11">
        <v>37657.53</v>
      </c>
      <c r="AP2285" s="9">
        <v>3.7244981270543782</v>
      </c>
    </row>
    <row r="2286" spans="40:42" x14ac:dyDescent="0.3">
      <c r="AN2286">
        <v>2282</v>
      </c>
      <c r="AO2286" s="11">
        <v>25684.1</v>
      </c>
      <c r="AP2286" s="9">
        <v>3.3665464151244011</v>
      </c>
    </row>
    <row r="2287" spans="40:42" x14ac:dyDescent="0.3">
      <c r="AN2287">
        <v>2283</v>
      </c>
      <c r="AO2287" s="11">
        <v>46939.03</v>
      </c>
      <c r="AP2287" s="9">
        <v>3.7382449381533371</v>
      </c>
    </row>
    <row r="2288" spans="40:42" x14ac:dyDescent="0.3">
      <c r="AN2288">
        <v>2284</v>
      </c>
      <c r="AO2288" s="11">
        <v>23872.62</v>
      </c>
      <c r="AP2288" s="9">
        <v>2.8882582918226545</v>
      </c>
    </row>
    <row r="2289" spans="40:42" x14ac:dyDescent="0.3">
      <c r="AN2289">
        <v>2285</v>
      </c>
      <c r="AO2289" s="11">
        <v>19512.560000000001</v>
      </c>
      <c r="AP2289" s="9">
        <v>3.1973092823100786</v>
      </c>
    </row>
    <row r="2290" spans="40:42" x14ac:dyDescent="0.3">
      <c r="AN2290">
        <v>2286</v>
      </c>
      <c r="AO2290" s="11">
        <v>23451.05</v>
      </c>
      <c r="AP2290" s="9">
        <v>3.3274986537523032</v>
      </c>
    </row>
    <row r="2291" spans="40:42" x14ac:dyDescent="0.3">
      <c r="AN2291">
        <v>2287</v>
      </c>
      <c r="AO2291" s="11">
        <v>37763.47</v>
      </c>
      <c r="AP2291" s="9">
        <v>3.9909499038460048</v>
      </c>
    </row>
    <row r="2292" spans="40:42" x14ac:dyDescent="0.3">
      <c r="AN2292">
        <v>2288</v>
      </c>
      <c r="AO2292" s="11">
        <v>23487.59</v>
      </c>
      <c r="AP2292" s="9">
        <v>3.5002387472876046</v>
      </c>
    </row>
    <row r="2293" spans="40:42" x14ac:dyDescent="0.3">
      <c r="AN2293">
        <v>2289</v>
      </c>
      <c r="AO2293" s="11">
        <v>17807.080000000002</v>
      </c>
      <c r="AP2293" s="9">
        <v>2.8017558495349673</v>
      </c>
    </row>
    <row r="2294" spans="40:42" x14ac:dyDescent="0.3">
      <c r="AN2294">
        <v>2290</v>
      </c>
      <c r="AO2294" s="11">
        <v>34024.050000000003</v>
      </c>
      <c r="AP2294" s="9">
        <v>3.089771974930748</v>
      </c>
    </row>
    <row r="2295" spans="40:42" x14ac:dyDescent="0.3">
      <c r="AN2295">
        <v>2291</v>
      </c>
      <c r="AO2295" s="11">
        <v>25280.560000000001</v>
      </c>
      <c r="AP2295" s="9">
        <v>3.3294756895670581</v>
      </c>
    </row>
    <row r="2296" spans="40:42" x14ac:dyDescent="0.3">
      <c r="AN2296">
        <v>2292</v>
      </c>
      <c r="AO2296" s="11">
        <v>23709.31</v>
      </c>
      <c r="AP2296" s="9">
        <v>3.5683927347856326</v>
      </c>
    </row>
    <row r="2297" spans="40:42" x14ac:dyDescent="0.3">
      <c r="AN2297">
        <v>2293</v>
      </c>
      <c r="AO2297" s="11">
        <v>42846.65</v>
      </c>
      <c r="AP2297" s="9">
        <v>4.9370577834315519</v>
      </c>
    </row>
    <row r="2298" spans="40:42" x14ac:dyDescent="0.3">
      <c r="AN2298">
        <v>2294</v>
      </c>
      <c r="AO2298" s="11">
        <v>35632.93</v>
      </c>
      <c r="AP2298" s="9">
        <v>4.4327177168980914</v>
      </c>
    </row>
    <row r="2299" spans="40:42" x14ac:dyDescent="0.3">
      <c r="AN2299">
        <v>2295</v>
      </c>
      <c r="AO2299" s="11">
        <v>36220.39</v>
      </c>
      <c r="AP2299" s="9">
        <v>3.6803376437325288</v>
      </c>
    </row>
    <row r="2300" spans="40:42" x14ac:dyDescent="0.3">
      <c r="AN2300">
        <v>2296</v>
      </c>
      <c r="AO2300" s="11">
        <v>35141.68</v>
      </c>
      <c r="AP2300" s="9">
        <v>3.6671188059514495</v>
      </c>
    </row>
    <row r="2301" spans="40:42" x14ac:dyDescent="0.3">
      <c r="AN2301">
        <v>2297</v>
      </c>
      <c r="AO2301" s="11">
        <v>45656.11</v>
      </c>
      <c r="AP2301" s="9">
        <v>3.5495275908684323</v>
      </c>
    </row>
    <row r="2302" spans="40:42" x14ac:dyDescent="0.3">
      <c r="AN2302">
        <v>2298</v>
      </c>
      <c r="AO2302" s="11">
        <v>34548.32</v>
      </c>
      <c r="AP2302" s="9">
        <v>4.0966644075897038</v>
      </c>
    </row>
    <row r="2303" spans="40:42" x14ac:dyDescent="0.3">
      <c r="AN2303">
        <v>2299</v>
      </c>
      <c r="AO2303" s="11">
        <v>25531.24</v>
      </c>
      <c r="AP2303" s="9">
        <v>3.0053264238083801</v>
      </c>
    </row>
    <row r="2304" spans="40:42" x14ac:dyDescent="0.3">
      <c r="AN2304">
        <v>2300</v>
      </c>
      <c r="AO2304" s="11">
        <v>17799.810000000001</v>
      </c>
      <c r="AP2304" s="9">
        <v>3.583664359855772</v>
      </c>
    </row>
    <row r="2305" spans="40:42" x14ac:dyDescent="0.3">
      <c r="AN2305">
        <v>2301</v>
      </c>
      <c r="AO2305" s="11">
        <v>21031.23</v>
      </c>
      <c r="AP2305" s="9">
        <v>3.3596764581758887</v>
      </c>
    </row>
    <row r="2306" spans="40:42" x14ac:dyDescent="0.3">
      <c r="AN2306">
        <v>2302</v>
      </c>
      <c r="AO2306" s="11">
        <v>35177.839999999997</v>
      </c>
      <c r="AP2306" s="9">
        <v>3.3654870793149607</v>
      </c>
    </row>
    <row r="2307" spans="40:42" x14ac:dyDescent="0.3">
      <c r="AN2307">
        <v>2303</v>
      </c>
      <c r="AO2307" s="11">
        <v>34464.730000000003</v>
      </c>
      <c r="AP2307" s="9">
        <v>2.8020029681925718</v>
      </c>
    </row>
    <row r="2308" spans="40:42" x14ac:dyDescent="0.3">
      <c r="AN2308">
        <v>2304</v>
      </c>
      <c r="AO2308" s="11">
        <v>27561.24</v>
      </c>
      <c r="AP2308" s="9">
        <v>3.7458006102762909</v>
      </c>
    </row>
    <row r="2309" spans="40:42" x14ac:dyDescent="0.3">
      <c r="AN2309">
        <v>2305</v>
      </c>
      <c r="AO2309" s="11">
        <v>32336.16</v>
      </c>
      <c r="AP2309" s="9">
        <v>3.6712443230989846</v>
      </c>
    </row>
    <row r="2310" spans="40:42" x14ac:dyDescent="0.3">
      <c r="AN2310">
        <v>2306</v>
      </c>
      <c r="AO2310" s="11">
        <v>20145.259999999998</v>
      </c>
      <c r="AP2310" s="9">
        <v>3.3748166280629261</v>
      </c>
    </row>
    <row r="2311" spans="40:42" x14ac:dyDescent="0.3">
      <c r="AN2311">
        <v>2307</v>
      </c>
      <c r="AO2311" s="11">
        <v>17320.36</v>
      </c>
      <c r="AP2311" s="9">
        <v>3.3528581294546185</v>
      </c>
    </row>
    <row r="2312" spans="40:42" x14ac:dyDescent="0.3">
      <c r="AN2312">
        <v>2308</v>
      </c>
      <c r="AO2312" s="11">
        <v>28972.95</v>
      </c>
      <c r="AP2312" s="9">
        <v>3.6590897555255668</v>
      </c>
    </row>
    <row r="2313" spans="40:42" x14ac:dyDescent="0.3">
      <c r="AN2313">
        <v>2309</v>
      </c>
      <c r="AO2313" s="11">
        <v>15575.4</v>
      </c>
      <c r="AP2313" s="9">
        <v>2.9888365683003597</v>
      </c>
    </row>
    <row r="2314" spans="40:42" x14ac:dyDescent="0.3">
      <c r="AN2314">
        <v>2310</v>
      </c>
      <c r="AO2314" s="11">
        <v>27931.919999999998</v>
      </c>
      <c r="AP2314" s="9">
        <v>3.2972456123278833</v>
      </c>
    </row>
    <row r="2315" spans="40:42" x14ac:dyDescent="0.3">
      <c r="AN2315">
        <v>2311</v>
      </c>
      <c r="AO2315" s="11">
        <v>20400.490000000002</v>
      </c>
      <c r="AP2315" s="9">
        <v>3.0633805599276211</v>
      </c>
    </row>
    <row r="2316" spans="40:42" x14ac:dyDescent="0.3">
      <c r="AN2316">
        <v>2312</v>
      </c>
      <c r="AO2316" s="11">
        <v>25225.82</v>
      </c>
      <c r="AP2316" s="9">
        <v>4.1969727441454046</v>
      </c>
    </row>
    <row r="2317" spans="40:42" x14ac:dyDescent="0.3">
      <c r="AN2317">
        <v>2313</v>
      </c>
      <c r="AO2317" s="11">
        <v>33876.26</v>
      </c>
      <c r="AP2317" s="9">
        <v>3.2941696423841762</v>
      </c>
    </row>
    <row r="2318" spans="40:42" x14ac:dyDescent="0.3">
      <c r="AN2318">
        <v>2314</v>
      </c>
      <c r="AO2318" s="11">
        <v>27269.99</v>
      </c>
      <c r="AP2318" s="9">
        <v>3.1902576836556458</v>
      </c>
    </row>
    <row r="2319" spans="40:42" x14ac:dyDescent="0.3">
      <c r="AN2319">
        <v>2315</v>
      </c>
      <c r="AO2319" s="11">
        <v>40436.74</v>
      </c>
      <c r="AP2319" s="9">
        <v>3.4230934123848247</v>
      </c>
    </row>
    <row r="2320" spans="40:42" x14ac:dyDescent="0.3">
      <c r="AN2320">
        <v>2316</v>
      </c>
      <c r="AO2320" s="11">
        <v>30305.68</v>
      </c>
      <c r="AP2320" s="9">
        <v>3.279208918039572</v>
      </c>
    </row>
    <row r="2321" spans="40:42" x14ac:dyDescent="0.3">
      <c r="AN2321">
        <v>2317</v>
      </c>
      <c r="AO2321" s="11">
        <v>16123.9</v>
      </c>
      <c r="AP2321" s="9">
        <v>3.4186934827996018</v>
      </c>
    </row>
    <row r="2322" spans="40:42" x14ac:dyDescent="0.3">
      <c r="AN2322">
        <v>2318</v>
      </c>
      <c r="AO2322" s="11">
        <v>31201.71</v>
      </c>
      <c r="AP2322" s="9">
        <v>3.3015226170783549</v>
      </c>
    </row>
    <row r="2323" spans="40:42" x14ac:dyDescent="0.3">
      <c r="AN2323">
        <v>2319</v>
      </c>
      <c r="AO2323" s="11">
        <v>22069.78</v>
      </c>
      <c r="AP2323" s="9">
        <v>3.1729317246824067</v>
      </c>
    </row>
    <row r="2324" spans="40:42" x14ac:dyDescent="0.3">
      <c r="AN2324">
        <v>2320</v>
      </c>
      <c r="AO2324" s="11">
        <v>23330.74</v>
      </c>
      <c r="AP2324" s="9">
        <v>4.1868491601777134</v>
      </c>
    </row>
    <row r="2325" spans="40:42" x14ac:dyDescent="0.3">
      <c r="AN2325">
        <v>2321</v>
      </c>
      <c r="AO2325" s="11">
        <v>44484.97</v>
      </c>
      <c r="AP2325" s="9">
        <v>3.590134195403353</v>
      </c>
    </row>
    <row r="2326" spans="40:42" x14ac:dyDescent="0.3">
      <c r="AN2326">
        <v>2322</v>
      </c>
      <c r="AO2326" s="11">
        <v>31256.5</v>
      </c>
      <c r="AP2326" s="9">
        <v>3.1069450168183375</v>
      </c>
    </row>
    <row r="2327" spans="40:42" x14ac:dyDescent="0.3">
      <c r="AN2327">
        <v>2323</v>
      </c>
      <c r="AO2327" s="11">
        <v>24366.05</v>
      </c>
      <c r="AP2327" s="9">
        <v>3.129328874059087</v>
      </c>
    </row>
    <row r="2328" spans="40:42" x14ac:dyDescent="0.3">
      <c r="AN2328">
        <v>2324</v>
      </c>
      <c r="AO2328" s="11">
        <v>28767.77</v>
      </c>
      <c r="AP2328" s="9">
        <v>3.670080399514664</v>
      </c>
    </row>
    <row r="2329" spans="40:42" x14ac:dyDescent="0.3">
      <c r="AN2329">
        <v>2325</v>
      </c>
      <c r="AO2329" s="11">
        <v>29869.040000000001</v>
      </c>
      <c r="AP2329" s="9">
        <v>3.6423448572658663</v>
      </c>
    </row>
    <row r="2330" spans="40:42" x14ac:dyDescent="0.3">
      <c r="AN2330">
        <v>2326</v>
      </c>
      <c r="AO2330" s="11">
        <v>22045.03</v>
      </c>
      <c r="AP2330" s="9">
        <v>2.9263485262534186</v>
      </c>
    </row>
    <row r="2331" spans="40:42" x14ac:dyDescent="0.3">
      <c r="AN2331">
        <v>2327</v>
      </c>
      <c r="AO2331" s="11">
        <v>28220.12</v>
      </c>
      <c r="AP2331" s="9">
        <v>3.1117674216032682</v>
      </c>
    </row>
    <row r="2332" spans="40:42" x14ac:dyDescent="0.3">
      <c r="AN2332">
        <v>2328</v>
      </c>
      <c r="AO2332" s="11">
        <v>22244.89</v>
      </c>
      <c r="AP2332" s="9">
        <v>3.4312096130639347</v>
      </c>
    </row>
    <row r="2333" spans="40:42" x14ac:dyDescent="0.3">
      <c r="AN2333">
        <v>2329</v>
      </c>
      <c r="AO2333" s="11">
        <v>21422.11</v>
      </c>
      <c r="AP2333" s="9">
        <v>3.629426403206415</v>
      </c>
    </row>
    <row r="2334" spans="40:42" x14ac:dyDescent="0.3">
      <c r="AN2334">
        <v>2330</v>
      </c>
      <c r="AO2334" s="11">
        <v>23626.52</v>
      </c>
      <c r="AP2334" s="9">
        <v>3.1037478088345822</v>
      </c>
    </row>
    <row r="2335" spans="40:42" x14ac:dyDescent="0.3">
      <c r="AN2335">
        <v>2331</v>
      </c>
      <c r="AO2335" s="11">
        <v>38749.67</v>
      </c>
      <c r="AP2335" s="9">
        <v>3.1419803449432142</v>
      </c>
    </row>
    <row r="2336" spans="40:42" x14ac:dyDescent="0.3">
      <c r="AN2336">
        <v>2332</v>
      </c>
      <c r="AO2336" s="11">
        <v>17850.7</v>
      </c>
      <c r="AP2336" s="9">
        <v>3.416481415966238</v>
      </c>
    </row>
    <row r="2337" spans="40:42" x14ac:dyDescent="0.3">
      <c r="AN2337">
        <v>2333</v>
      </c>
      <c r="AO2337" s="11">
        <v>28858.33</v>
      </c>
      <c r="AP2337" s="9">
        <v>3.3177124293730507</v>
      </c>
    </row>
    <row r="2338" spans="40:42" x14ac:dyDescent="0.3">
      <c r="AN2338">
        <v>2334</v>
      </c>
      <c r="AO2338" s="11">
        <v>25913.759999999998</v>
      </c>
      <c r="AP2338" s="9">
        <v>3.2157170543119085</v>
      </c>
    </row>
    <row r="2339" spans="40:42" x14ac:dyDescent="0.3">
      <c r="AN2339">
        <v>2335</v>
      </c>
      <c r="AO2339" s="11">
        <v>24346.97</v>
      </c>
      <c r="AP2339" s="9">
        <v>3.2241334663296048</v>
      </c>
    </row>
    <row r="2340" spans="40:42" x14ac:dyDescent="0.3">
      <c r="AN2340">
        <v>2336</v>
      </c>
      <c r="AO2340" s="11">
        <v>25785.040000000001</v>
      </c>
      <c r="AP2340" s="9">
        <v>2.8588117192462463</v>
      </c>
    </row>
    <row r="2341" spans="40:42" x14ac:dyDescent="0.3">
      <c r="AN2341">
        <v>2337</v>
      </c>
      <c r="AO2341" s="11">
        <v>17333.82</v>
      </c>
      <c r="AP2341" s="9">
        <v>3.3304825658217982</v>
      </c>
    </row>
    <row r="2342" spans="40:42" x14ac:dyDescent="0.3">
      <c r="AN2342">
        <v>2338</v>
      </c>
      <c r="AO2342" s="11">
        <v>18340.28</v>
      </c>
      <c r="AP2342" s="9">
        <v>3.3199836808271224</v>
      </c>
    </row>
    <row r="2343" spans="40:42" x14ac:dyDescent="0.3">
      <c r="AN2343">
        <v>2339</v>
      </c>
      <c r="AO2343" s="11">
        <v>36327.64</v>
      </c>
      <c r="AP2343" s="9">
        <v>3.9435825400251816</v>
      </c>
    </row>
    <row r="2344" spans="40:42" x14ac:dyDescent="0.3">
      <c r="AN2344">
        <v>2340</v>
      </c>
      <c r="AO2344" s="11">
        <v>17521</v>
      </c>
      <c r="AP2344" s="9">
        <v>2.601987419120996</v>
      </c>
    </row>
    <row r="2345" spans="40:42" x14ac:dyDescent="0.3">
      <c r="AN2345">
        <v>2341</v>
      </c>
      <c r="AO2345" s="11">
        <v>31049.42</v>
      </c>
      <c r="AP2345" s="9">
        <v>3.3943354566301993</v>
      </c>
    </row>
    <row r="2346" spans="40:42" x14ac:dyDescent="0.3">
      <c r="AN2346">
        <v>2342</v>
      </c>
      <c r="AO2346" s="11">
        <v>22124.639999999999</v>
      </c>
      <c r="AP2346" s="9">
        <v>2.8634589977767355</v>
      </c>
    </row>
    <row r="2347" spans="40:42" x14ac:dyDescent="0.3">
      <c r="AN2347">
        <v>2343</v>
      </c>
      <c r="AO2347" s="11">
        <v>43354.15</v>
      </c>
      <c r="AP2347" s="9">
        <v>3.4286212479833558</v>
      </c>
    </row>
    <row r="2348" spans="40:42" x14ac:dyDescent="0.3">
      <c r="AN2348">
        <v>2344</v>
      </c>
      <c r="AO2348" s="11">
        <v>36752.800000000003</v>
      </c>
      <c r="AP2348" s="9">
        <v>3.0713925935772055</v>
      </c>
    </row>
    <row r="2349" spans="40:42" x14ac:dyDescent="0.3">
      <c r="AN2349">
        <v>2345</v>
      </c>
      <c r="AO2349" s="11">
        <v>29547.759999999998</v>
      </c>
      <c r="AP2349" s="9">
        <v>3.3566985604833053</v>
      </c>
    </row>
    <row r="2350" spans="40:42" x14ac:dyDescent="0.3">
      <c r="AN2350">
        <v>2346</v>
      </c>
      <c r="AO2350" s="11">
        <v>29780.2</v>
      </c>
      <c r="AP2350" s="9">
        <v>3.4709677758027002</v>
      </c>
    </row>
    <row r="2351" spans="40:42" x14ac:dyDescent="0.3">
      <c r="AN2351">
        <v>2347</v>
      </c>
      <c r="AO2351" s="11">
        <v>20400.52</v>
      </c>
      <c r="AP2351" s="9">
        <v>4.2913023342703642</v>
      </c>
    </row>
    <row r="2352" spans="40:42" x14ac:dyDescent="0.3">
      <c r="AN2352">
        <v>2348</v>
      </c>
      <c r="AO2352" s="11">
        <v>26578.69</v>
      </c>
      <c r="AP2352" s="9">
        <v>3.8992901004719922</v>
      </c>
    </row>
    <row r="2353" spans="40:42" x14ac:dyDescent="0.3">
      <c r="AN2353">
        <v>2349</v>
      </c>
      <c r="AO2353" s="11">
        <v>14402.35</v>
      </c>
      <c r="AP2353" s="9">
        <v>2.8105478005784525</v>
      </c>
    </row>
    <row r="2354" spans="40:42" x14ac:dyDescent="0.3">
      <c r="AN2354">
        <v>2350</v>
      </c>
      <c r="AO2354" s="11">
        <v>36688.07</v>
      </c>
      <c r="AP2354" s="9">
        <v>3.3882421374661802</v>
      </c>
    </row>
    <row r="2355" spans="40:42" x14ac:dyDescent="0.3">
      <c r="AN2355">
        <v>2351</v>
      </c>
      <c r="AO2355" s="11">
        <v>25927.15</v>
      </c>
      <c r="AP2355" s="9">
        <v>3.5149367379801717</v>
      </c>
    </row>
    <row r="2356" spans="40:42" x14ac:dyDescent="0.3">
      <c r="AN2356">
        <v>2352</v>
      </c>
      <c r="AO2356" s="11">
        <v>34653.760000000002</v>
      </c>
      <c r="AP2356" s="9">
        <v>3.5640512138419371</v>
      </c>
    </row>
    <row r="2357" spans="40:42" x14ac:dyDescent="0.3">
      <c r="AN2357">
        <v>2353</v>
      </c>
      <c r="AO2357" s="11">
        <v>34433.040000000001</v>
      </c>
      <c r="AP2357" s="9">
        <v>3.3132058369643893</v>
      </c>
    </row>
    <row r="2358" spans="40:42" x14ac:dyDescent="0.3">
      <c r="AN2358">
        <v>2354</v>
      </c>
      <c r="AO2358" s="11">
        <v>27998.44</v>
      </c>
      <c r="AP2358" s="9">
        <v>3.016613023837504</v>
      </c>
    </row>
    <row r="2359" spans="40:42" x14ac:dyDescent="0.3">
      <c r="AN2359">
        <v>2355</v>
      </c>
      <c r="AO2359" s="11">
        <v>28023.09</v>
      </c>
      <c r="AP2359" s="9">
        <v>3.8984940104740011</v>
      </c>
    </row>
    <row r="2360" spans="40:42" x14ac:dyDescent="0.3">
      <c r="AN2360">
        <v>2356</v>
      </c>
      <c r="AO2360" s="11">
        <v>23627.84</v>
      </c>
      <c r="AP2360" s="9">
        <v>3.0357534413312592</v>
      </c>
    </row>
    <row r="2361" spans="40:42" x14ac:dyDescent="0.3">
      <c r="AN2361">
        <v>2357</v>
      </c>
      <c r="AO2361" s="11">
        <v>22603.05</v>
      </c>
      <c r="AP2361" s="9">
        <v>2.955063819044641</v>
      </c>
    </row>
    <row r="2362" spans="40:42" x14ac:dyDescent="0.3">
      <c r="AN2362">
        <v>2358</v>
      </c>
      <c r="AO2362" s="11">
        <v>18656.87</v>
      </c>
      <c r="AP2362" s="9">
        <v>3.5620558011739787</v>
      </c>
    </row>
    <row r="2363" spans="40:42" x14ac:dyDescent="0.3">
      <c r="AN2363">
        <v>2359</v>
      </c>
      <c r="AO2363" s="11">
        <v>26405.58</v>
      </c>
      <c r="AP2363" s="9">
        <v>3.5820456354495271</v>
      </c>
    </row>
    <row r="2364" spans="40:42" x14ac:dyDescent="0.3">
      <c r="AN2364">
        <v>2360</v>
      </c>
      <c r="AO2364" s="11">
        <v>23574.51</v>
      </c>
      <c r="AP2364" s="9">
        <v>2.8407925518605137</v>
      </c>
    </row>
    <row r="2365" spans="40:42" x14ac:dyDescent="0.3">
      <c r="AN2365">
        <v>2361</v>
      </c>
      <c r="AO2365" s="11">
        <v>21377.42</v>
      </c>
      <c r="AP2365" s="9">
        <v>2.9055590290698587</v>
      </c>
    </row>
    <row r="2366" spans="40:42" x14ac:dyDescent="0.3">
      <c r="AN2366">
        <v>2362</v>
      </c>
      <c r="AO2366" s="11">
        <v>30637.56</v>
      </c>
      <c r="AP2366" s="9">
        <v>3.2713187252208038</v>
      </c>
    </row>
    <row r="2367" spans="40:42" x14ac:dyDescent="0.3">
      <c r="AN2367">
        <v>2363</v>
      </c>
      <c r="AO2367" s="11">
        <v>24066.21</v>
      </c>
      <c r="AP2367" s="9">
        <v>3.3240183611435818</v>
      </c>
    </row>
    <row r="2368" spans="40:42" x14ac:dyDescent="0.3">
      <c r="AN2368">
        <v>2364</v>
      </c>
      <c r="AO2368" s="11">
        <v>39225.910000000003</v>
      </c>
      <c r="AP2368" s="9">
        <v>3.7038541905626943</v>
      </c>
    </row>
    <row r="2369" spans="40:42" x14ac:dyDescent="0.3">
      <c r="AN2369">
        <v>2365</v>
      </c>
      <c r="AO2369" s="11">
        <v>30857.99</v>
      </c>
      <c r="AP2369" s="9">
        <v>3.4170109614729451</v>
      </c>
    </row>
    <row r="2370" spans="40:42" x14ac:dyDescent="0.3">
      <c r="AN2370">
        <v>2366</v>
      </c>
      <c r="AO2370" s="11">
        <v>29891.86</v>
      </c>
      <c r="AP2370" s="9">
        <v>4.0126432429728638</v>
      </c>
    </row>
    <row r="2371" spans="40:42" x14ac:dyDescent="0.3">
      <c r="AN2371">
        <v>2367</v>
      </c>
      <c r="AO2371" s="11">
        <v>21783.74</v>
      </c>
      <c r="AP2371" s="9">
        <v>3.3254364552566713</v>
      </c>
    </row>
    <row r="2372" spans="40:42" x14ac:dyDescent="0.3">
      <c r="AN2372">
        <v>2368</v>
      </c>
      <c r="AO2372" s="11">
        <v>32146.76</v>
      </c>
      <c r="AP2372" s="9">
        <v>3.6069438250515566</v>
      </c>
    </row>
    <row r="2373" spans="40:42" x14ac:dyDescent="0.3">
      <c r="AN2373">
        <v>2369</v>
      </c>
      <c r="AO2373" s="11">
        <v>36161.589999999997</v>
      </c>
      <c r="AP2373" s="9">
        <v>3.7737807747968302</v>
      </c>
    </row>
    <row r="2374" spans="40:42" x14ac:dyDescent="0.3">
      <c r="AN2374">
        <v>2370</v>
      </c>
      <c r="AO2374" s="11">
        <v>35055.230000000003</v>
      </c>
      <c r="AP2374" s="9">
        <v>3.4796385439043696</v>
      </c>
    </row>
    <row r="2375" spans="40:42" x14ac:dyDescent="0.3">
      <c r="AN2375">
        <v>2371</v>
      </c>
      <c r="AO2375" s="11">
        <v>27837.4</v>
      </c>
      <c r="AP2375" s="9">
        <v>3.3401707092317796</v>
      </c>
    </row>
    <row r="2376" spans="40:42" x14ac:dyDescent="0.3">
      <c r="AN2376">
        <v>2372</v>
      </c>
      <c r="AO2376" s="11">
        <v>24336.26</v>
      </c>
      <c r="AP2376" s="9">
        <v>3.2400210048549125</v>
      </c>
    </row>
    <row r="2377" spans="40:42" x14ac:dyDescent="0.3">
      <c r="AN2377">
        <v>2373</v>
      </c>
      <c r="AO2377" s="11">
        <v>26337.37</v>
      </c>
      <c r="AP2377" s="9">
        <v>4.1208267229866689</v>
      </c>
    </row>
    <row r="2378" spans="40:42" x14ac:dyDescent="0.3">
      <c r="AN2378">
        <v>2374</v>
      </c>
      <c r="AO2378" s="11">
        <v>27458.77</v>
      </c>
      <c r="AP2378" s="9">
        <v>3.6551029064659586</v>
      </c>
    </row>
    <row r="2379" spans="40:42" x14ac:dyDescent="0.3">
      <c r="AN2379">
        <v>2375</v>
      </c>
      <c r="AO2379" s="11">
        <v>18903.439999999999</v>
      </c>
      <c r="AP2379" s="9">
        <v>3.0214661715820403</v>
      </c>
    </row>
    <row r="2380" spans="40:42" x14ac:dyDescent="0.3">
      <c r="AN2380">
        <v>2376</v>
      </c>
      <c r="AO2380" s="11">
        <v>24701.83</v>
      </c>
      <c r="AP2380" s="9">
        <v>2.8761738287133034</v>
      </c>
    </row>
    <row r="2381" spans="40:42" x14ac:dyDescent="0.3">
      <c r="AN2381">
        <v>2377</v>
      </c>
      <c r="AO2381" s="11">
        <v>19654.79</v>
      </c>
      <c r="AP2381" s="9">
        <v>3.1892322012207734</v>
      </c>
    </row>
    <row r="2382" spans="40:42" x14ac:dyDescent="0.3">
      <c r="AN2382">
        <v>2378</v>
      </c>
      <c r="AO2382" s="11">
        <v>21065.59</v>
      </c>
      <c r="AP2382" s="9">
        <v>3.218419002395684</v>
      </c>
    </row>
    <row r="2383" spans="40:42" x14ac:dyDescent="0.3">
      <c r="AN2383">
        <v>2379</v>
      </c>
      <c r="AO2383" s="11">
        <v>20911.400000000001</v>
      </c>
      <c r="AP2383" s="9">
        <v>3.7832201514710535</v>
      </c>
    </row>
    <row r="2384" spans="40:42" x14ac:dyDescent="0.3">
      <c r="AN2384">
        <v>2380</v>
      </c>
      <c r="AO2384" s="11">
        <v>34176.980000000003</v>
      </c>
      <c r="AP2384" s="9">
        <v>3.8771077855739464</v>
      </c>
    </row>
    <row r="2385" spans="40:42" x14ac:dyDescent="0.3">
      <c r="AN2385">
        <v>2381</v>
      </c>
      <c r="AO2385" s="11">
        <v>35751.75</v>
      </c>
      <c r="AP2385" s="9">
        <v>3.5877266262007517</v>
      </c>
    </row>
    <row r="2386" spans="40:42" x14ac:dyDescent="0.3">
      <c r="AN2386">
        <v>2382</v>
      </c>
      <c r="AO2386" s="11">
        <v>35197.15</v>
      </c>
      <c r="AP2386" s="9">
        <v>3.583052377534329</v>
      </c>
    </row>
    <row r="2387" spans="40:42" x14ac:dyDescent="0.3">
      <c r="AN2387">
        <v>2383</v>
      </c>
      <c r="AO2387" s="11">
        <v>20626.84</v>
      </c>
      <c r="AP2387" s="9">
        <v>2.9774401561101804</v>
      </c>
    </row>
    <row r="2388" spans="40:42" x14ac:dyDescent="0.3">
      <c r="AN2388">
        <v>2384</v>
      </c>
      <c r="AO2388" s="11">
        <v>31265.84</v>
      </c>
      <c r="AP2388" s="9">
        <v>4.0902528815739903</v>
      </c>
    </row>
    <row r="2389" spans="40:42" x14ac:dyDescent="0.3">
      <c r="AN2389">
        <v>2385</v>
      </c>
      <c r="AO2389" s="11">
        <v>23641.94</v>
      </c>
      <c r="AP2389" s="9">
        <v>3.1637137498804044</v>
      </c>
    </row>
    <row r="2390" spans="40:42" x14ac:dyDescent="0.3">
      <c r="AN2390">
        <v>2386</v>
      </c>
      <c r="AO2390" s="11">
        <v>22338.31</v>
      </c>
      <c r="AP2390" s="9">
        <v>3.4791171678199908</v>
      </c>
    </row>
    <row r="2391" spans="40:42" x14ac:dyDescent="0.3">
      <c r="AN2391">
        <v>2387</v>
      </c>
      <c r="AO2391" s="11">
        <v>26309.48</v>
      </c>
      <c r="AP2391" s="9">
        <v>3.2439257842519278</v>
      </c>
    </row>
    <row r="2392" spans="40:42" x14ac:dyDescent="0.3">
      <c r="AN2392">
        <v>2388</v>
      </c>
      <c r="AO2392" s="11">
        <v>25323.119999999999</v>
      </c>
      <c r="AP2392" s="9">
        <v>3.0001770643880343</v>
      </c>
    </row>
    <row r="2393" spans="40:42" x14ac:dyDescent="0.3">
      <c r="AN2393">
        <v>2389</v>
      </c>
      <c r="AO2393" s="11">
        <v>41477.040000000001</v>
      </c>
      <c r="AP2393" s="9">
        <v>3.8597605236755359</v>
      </c>
    </row>
    <row r="2394" spans="40:42" x14ac:dyDescent="0.3">
      <c r="AN2394">
        <v>2390</v>
      </c>
      <c r="AO2394" s="11">
        <v>36710.86</v>
      </c>
      <c r="AP2394" s="9">
        <v>3.2757819823730268</v>
      </c>
    </row>
    <row r="2395" spans="40:42" x14ac:dyDescent="0.3">
      <c r="AN2395">
        <v>2391</v>
      </c>
      <c r="AO2395" s="11">
        <v>42978.9</v>
      </c>
      <c r="AP2395" s="9">
        <v>3.9597597303820518</v>
      </c>
    </row>
    <row r="2396" spans="40:42" x14ac:dyDescent="0.3">
      <c r="AN2396">
        <v>2392</v>
      </c>
      <c r="AO2396" s="11">
        <v>34394.910000000003</v>
      </c>
      <c r="AP2396" s="9">
        <v>3.9064359763838352</v>
      </c>
    </row>
    <row r="2397" spans="40:42" x14ac:dyDescent="0.3">
      <c r="AN2397">
        <v>2393</v>
      </c>
      <c r="AO2397" s="11">
        <v>25005.61</v>
      </c>
      <c r="AP2397" s="9">
        <v>2.8570144332947196</v>
      </c>
    </row>
    <row r="2398" spans="40:42" x14ac:dyDescent="0.3">
      <c r="AN2398">
        <v>2394</v>
      </c>
      <c r="AO2398" s="11">
        <v>19510.36</v>
      </c>
      <c r="AP2398" s="9">
        <v>3.359166998486204</v>
      </c>
    </row>
    <row r="2399" spans="40:42" x14ac:dyDescent="0.3">
      <c r="AN2399">
        <v>2395</v>
      </c>
      <c r="AO2399" s="11">
        <v>22670.93</v>
      </c>
      <c r="AP2399" s="9">
        <v>3.6358339831881854</v>
      </c>
    </row>
    <row r="2400" spans="40:42" x14ac:dyDescent="0.3">
      <c r="AN2400">
        <v>2396</v>
      </c>
      <c r="AO2400" s="11">
        <v>20201.47</v>
      </c>
      <c r="AP2400" s="9">
        <v>3.2306494494214011</v>
      </c>
    </row>
    <row r="2401" spans="40:42" x14ac:dyDescent="0.3">
      <c r="AN2401">
        <v>2397</v>
      </c>
      <c r="AO2401" s="11">
        <v>26379.74</v>
      </c>
      <c r="AP2401" s="9">
        <v>3.2529488757541407</v>
      </c>
    </row>
    <row r="2402" spans="40:42" x14ac:dyDescent="0.3">
      <c r="AN2402">
        <v>2398</v>
      </c>
      <c r="AO2402" s="11">
        <v>23013.599999999999</v>
      </c>
      <c r="AP2402" s="9">
        <v>3.1550433357397312</v>
      </c>
    </row>
    <row r="2403" spans="40:42" x14ac:dyDescent="0.3">
      <c r="AN2403">
        <v>2399</v>
      </c>
      <c r="AO2403" s="11">
        <v>29024.98</v>
      </c>
      <c r="AP2403" s="9">
        <v>3.2767379370494534</v>
      </c>
    </row>
    <row r="2404" spans="40:42" x14ac:dyDescent="0.3">
      <c r="AN2404">
        <v>2400</v>
      </c>
      <c r="AO2404" s="11">
        <v>23955.68</v>
      </c>
      <c r="AP2404" s="9">
        <v>3.3724859096896336</v>
      </c>
    </row>
    <row r="2405" spans="40:42" x14ac:dyDescent="0.3">
      <c r="AN2405">
        <v>2401</v>
      </c>
      <c r="AO2405" s="11">
        <v>34980.5</v>
      </c>
      <c r="AP2405" s="9">
        <v>3.9319008497724015</v>
      </c>
    </row>
    <row r="2406" spans="40:42" x14ac:dyDescent="0.3">
      <c r="AN2406">
        <v>2402</v>
      </c>
      <c r="AO2406" s="11">
        <v>26772.45</v>
      </c>
      <c r="AP2406" s="9">
        <v>3.4376975843331881</v>
      </c>
    </row>
    <row r="2407" spans="40:42" x14ac:dyDescent="0.3">
      <c r="AN2407">
        <v>2403</v>
      </c>
      <c r="AO2407" s="11">
        <v>20280.919999999998</v>
      </c>
      <c r="AP2407" s="9">
        <v>3.241354556642186</v>
      </c>
    </row>
    <row r="2408" spans="40:42" x14ac:dyDescent="0.3">
      <c r="AN2408">
        <v>2404</v>
      </c>
      <c r="AO2408" s="11">
        <v>30654.07</v>
      </c>
      <c r="AP2408" s="9">
        <v>2.9249254332000465</v>
      </c>
    </row>
    <row r="2409" spans="40:42" x14ac:dyDescent="0.3">
      <c r="AN2409">
        <v>2405</v>
      </c>
      <c r="AO2409" s="11">
        <v>25901.42</v>
      </c>
      <c r="AP2409" s="9">
        <v>2.797135538303162</v>
      </c>
    </row>
    <row r="2410" spans="40:42" x14ac:dyDescent="0.3">
      <c r="AN2410">
        <v>2406</v>
      </c>
      <c r="AO2410" s="11">
        <v>15435.35</v>
      </c>
      <c r="AP2410" s="9">
        <v>3.2989053207005061</v>
      </c>
    </row>
    <row r="2411" spans="40:42" x14ac:dyDescent="0.3">
      <c r="AN2411">
        <v>2407</v>
      </c>
      <c r="AO2411" s="11">
        <v>27580.73</v>
      </c>
      <c r="AP2411" s="9">
        <v>2.9988505148518105</v>
      </c>
    </row>
    <row r="2412" spans="40:42" x14ac:dyDescent="0.3">
      <c r="AN2412">
        <v>2408</v>
      </c>
      <c r="AO2412" s="11">
        <v>27492.63</v>
      </c>
      <c r="AP2412" s="9">
        <v>3.7742044567107333</v>
      </c>
    </row>
    <row r="2413" spans="40:42" x14ac:dyDescent="0.3">
      <c r="AN2413">
        <v>2409</v>
      </c>
      <c r="AO2413" s="11">
        <v>39254.86</v>
      </c>
      <c r="AP2413" s="9">
        <v>3.5944819473522593</v>
      </c>
    </row>
    <row r="2414" spans="40:42" x14ac:dyDescent="0.3">
      <c r="AN2414">
        <v>2410</v>
      </c>
      <c r="AO2414" s="11">
        <v>29127.86</v>
      </c>
      <c r="AP2414" s="9">
        <v>3.271269174341966</v>
      </c>
    </row>
    <row r="2415" spans="40:42" x14ac:dyDescent="0.3">
      <c r="AN2415">
        <v>2411</v>
      </c>
      <c r="AO2415" s="11">
        <v>29261.57</v>
      </c>
      <c r="AP2415" s="9">
        <v>3.1456324993043903</v>
      </c>
    </row>
    <row r="2416" spans="40:42" x14ac:dyDescent="0.3">
      <c r="AN2416">
        <v>2412</v>
      </c>
      <c r="AO2416" s="11">
        <v>19205.27</v>
      </c>
      <c r="AP2416" s="9">
        <v>3.372493261347719</v>
      </c>
    </row>
    <row r="2417" spans="40:42" x14ac:dyDescent="0.3">
      <c r="AN2417">
        <v>2413</v>
      </c>
      <c r="AO2417" s="11">
        <v>17166.61</v>
      </c>
      <c r="AP2417" s="9">
        <v>3.3118231907252125</v>
      </c>
    </row>
    <row r="2418" spans="40:42" x14ac:dyDescent="0.3">
      <c r="AN2418">
        <v>2414</v>
      </c>
      <c r="AO2418" s="11">
        <v>35446.300000000003</v>
      </c>
      <c r="AP2418" s="9">
        <v>3.4082485619714293</v>
      </c>
    </row>
    <row r="2419" spans="40:42" x14ac:dyDescent="0.3">
      <c r="AN2419">
        <v>2415</v>
      </c>
      <c r="AO2419" s="11">
        <v>23056.76</v>
      </c>
      <c r="AP2419" s="9">
        <v>3.3335208914232815</v>
      </c>
    </row>
    <row r="2420" spans="40:42" x14ac:dyDescent="0.3">
      <c r="AN2420">
        <v>2416</v>
      </c>
      <c r="AO2420" s="11">
        <v>27454.93</v>
      </c>
      <c r="AP2420" s="9">
        <v>3.7212150635875574</v>
      </c>
    </row>
    <row r="2421" spans="40:42" x14ac:dyDescent="0.3">
      <c r="AN2421">
        <v>2417</v>
      </c>
      <c r="AO2421" s="11">
        <v>19937.18</v>
      </c>
      <c r="AP2421" s="9">
        <v>3.291700726851861</v>
      </c>
    </row>
    <row r="2422" spans="40:42" x14ac:dyDescent="0.3">
      <c r="AN2422">
        <v>2418</v>
      </c>
      <c r="AO2422" s="11">
        <v>14286.13</v>
      </c>
      <c r="AP2422" s="9">
        <v>2.9371913349666072</v>
      </c>
    </row>
    <row r="2423" spans="40:42" x14ac:dyDescent="0.3">
      <c r="AN2423">
        <v>2419</v>
      </c>
      <c r="AO2423" s="11">
        <v>21393.69</v>
      </c>
      <c r="AP2423" s="9">
        <v>2.9066418602435782</v>
      </c>
    </row>
    <row r="2424" spans="40:42" x14ac:dyDescent="0.3">
      <c r="AN2424">
        <v>2420</v>
      </c>
      <c r="AO2424" s="11">
        <v>22867.040000000001</v>
      </c>
      <c r="AP2424" s="9">
        <v>2.9646510762216556</v>
      </c>
    </row>
    <row r="2425" spans="40:42" x14ac:dyDescent="0.3">
      <c r="AN2425">
        <v>2421</v>
      </c>
      <c r="AO2425" s="11">
        <v>36482.49</v>
      </c>
      <c r="AP2425" s="9">
        <v>3.9522502304596627</v>
      </c>
    </row>
    <row r="2426" spans="40:42" x14ac:dyDescent="0.3">
      <c r="AN2426">
        <v>2422</v>
      </c>
      <c r="AO2426" s="11">
        <v>22485.09</v>
      </c>
      <c r="AP2426" s="9">
        <v>3.1622944559731581</v>
      </c>
    </row>
    <row r="2427" spans="40:42" x14ac:dyDescent="0.3">
      <c r="AN2427">
        <v>2423</v>
      </c>
      <c r="AO2427" s="11">
        <v>28507.58</v>
      </c>
      <c r="AP2427" s="9">
        <v>3.7150962834189278</v>
      </c>
    </row>
    <row r="2428" spans="40:42" x14ac:dyDescent="0.3">
      <c r="AN2428">
        <v>2424</v>
      </c>
      <c r="AO2428" s="11">
        <v>24550.92</v>
      </c>
      <c r="AP2428" s="9">
        <v>3.0144412926709743</v>
      </c>
    </row>
    <row r="2429" spans="40:42" x14ac:dyDescent="0.3">
      <c r="AN2429">
        <v>2425</v>
      </c>
      <c r="AO2429" s="11">
        <v>25342.95</v>
      </c>
      <c r="AP2429" s="9">
        <v>3.2025231119024329</v>
      </c>
    </row>
    <row r="2430" spans="40:42" x14ac:dyDescent="0.3">
      <c r="AN2430">
        <v>2426</v>
      </c>
      <c r="AO2430" s="11">
        <v>27886.43</v>
      </c>
      <c r="AP2430" s="9">
        <v>2.9767311918537342</v>
      </c>
    </row>
    <row r="2431" spans="40:42" x14ac:dyDescent="0.3">
      <c r="AN2431">
        <v>2427</v>
      </c>
      <c r="AO2431" s="11">
        <v>25649.86</v>
      </c>
      <c r="AP2431" s="9">
        <v>3.3432607253271285</v>
      </c>
    </row>
    <row r="2432" spans="40:42" x14ac:dyDescent="0.3">
      <c r="AN2432">
        <v>2428</v>
      </c>
      <c r="AO2432" s="11">
        <v>26583.86</v>
      </c>
      <c r="AP2432" s="9">
        <v>2.8547386077450327</v>
      </c>
    </row>
    <row r="2433" spans="40:42" x14ac:dyDescent="0.3">
      <c r="AN2433">
        <v>2429</v>
      </c>
      <c r="AO2433" s="11">
        <v>31624.53</v>
      </c>
      <c r="AP2433" s="9">
        <v>3.2706107115905154</v>
      </c>
    </row>
    <row r="2434" spans="40:42" x14ac:dyDescent="0.3">
      <c r="AN2434">
        <v>2430</v>
      </c>
      <c r="AO2434" s="11">
        <v>16660.490000000002</v>
      </c>
      <c r="AP2434" s="9">
        <v>3.1860888934403335</v>
      </c>
    </row>
    <row r="2435" spans="40:42" x14ac:dyDescent="0.3">
      <c r="AN2435">
        <v>2431</v>
      </c>
      <c r="AO2435" s="11">
        <v>28795.02</v>
      </c>
      <c r="AP2435" s="9">
        <v>2.9125781590330373</v>
      </c>
    </row>
    <row r="2436" spans="40:42" x14ac:dyDescent="0.3">
      <c r="AN2436">
        <v>2432</v>
      </c>
      <c r="AO2436" s="11">
        <v>38227.94</v>
      </c>
      <c r="AP2436" s="9">
        <v>3.542865363181221</v>
      </c>
    </row>
    <row r="2437" spans="40:42" x14ac:dyDescent="0.3">
      <c r="AN2437">
        <v>2433</v>
      </c>
      <c r="AO2437" s="11">
        <v>30450.15</v>
      </c>
      <c r="AP2437" s="9">
        <v>3.2520144225812997</v>
      </c>
    </row>
    <row r="2438" spans="40:42" x14ac:dyDescent="0.3">
      <c r="AN2438">
        <v>2434</v>
      </c>
      <c r="AO2438" s="11">
        <v>27272.12</v>
      </c>
      <c r="AP2438" s="9">
        <v>3.531683697527519</v>
      </c>
    </row>
    <row r="2439" spans="40:42" x14ac:dyDescent="0.3">
      <c r="AN2439">
        <v>2435</v>
      </c>
      <c r="AO2439" s="11">
        <v>34334.99</v>
      </c>
      <c r="AP2439" s="9">
        <v>4.1867857225301108</v>
      </c>
    </row>
    <row r="2440" spans="40:42" x14ac:dyDescent="0.3">
      <c r="AN2440">
        <v>2436</v>
      </c>
      <c r="AO2440" s="11">
        <v>19681.37</v>
      </c>
      <c r="AP2440" s="9">
        <v>3.2124437156884413</v>
      </c>
    </row>
    <row r="2441" spans="40:42" x14ac:dyDescent="0.3">
      <c r="AN2441">
        <v>2437</v>
      </c>
      <c r="AO2441" s="11">
        <v>41245.5</v>
      </c>
      <c r="AP2441" s="9">
        <v>4.2686373727938101</v>
      </c>
    </row>
    <row r="2442" spans="40:42" x14ac:dyDescent="0.3">
      <c r="AN2442">
        <v>2438</v>
      </c>
      <c r="AO2442" s="11">
        <v>28554.44</v>
      </c>
      <c r="AP2442" s="9">
        <v>4.4260917779085274</v>
      </c>
    </row>
    <row r="2443" spans="40:42" x14ac:dyDescent="0.3">
      <c r="AN2443">
        <v>2439</v>
      </c>
      <c r="AO2443" s="11">
        <v>21732.46</v>
      </c>
      <c r="AP2443" s="9">
        <v>3.1176156300985776</v>
      </c>
    </row>
    <row r="2444" spans="40:42" x14ac:dyDescent="0.3">
      <c r="AN2444">
        <v>2440</v>
      </c>
      <c r="AO2444" s="11">
        <v>20853.47</v>
      </c>
      <c r="AP2444" s="9">
        <v>2.7521571683933677</v>
      </c>
    </row>
    <row r="2445" spans="40:42" x14ac:dyDescent="0.3">
      <c r="AN2445">
        <v>2441</v>
      </c>
      <c r="AO2445" s="11">
        <v>22377.23</v>
      </c>
      <c r="AP2445" s="9">
        <v>3.1973101135071968</v>
      </c>
    </row>
    <row r="2446" spans="40:42" x14ac:dyDescent="0.3">
      <c r="AN2446">
        <v>2442</v>
      </c>
      <c r="AO2446" s="11">
        <v>26038.25</v>
      </c>
      <c r="AP2446" s="9">
        <v>3.022912033383367</v>
      </c>
    </row>
    <row r="2447" spans="40:42" x14ac:dyDescent="0.3">
      <c r="AN2447">
        <v>2443</v>
      </c>
      <c r="AO2447" s="11">
        <v>29156.84</v>
      </c>
      <c r="AP2447" s="9">
        <v>3.0387472854868847</v>
      </c>
    </row>
    <row r="2448" spans="40:42" x14ac:dyDescent="0.3">
      <c r="AN2448">
        <v>2444</v>
      </c>
      <c r="AO2448" s="11">
        <v>24378.62</v>
      </c>
      <c r="AP2448" s="9">
        <v>3.0323343154086655</v>
      </c>
    </row>
    <row r="2449" spans="40:42" x14ac:dyDescent="0.3">
      <c r="AN2449">
        <v>2445</v>
      </c>
      <c r="AO2449" s="11">
        <v>19635.060000000001</v>
      </c>
      <c r="AP2449" s="9">
        <v>3.0748582190921727</v>
      </c>
    </row>
    <row r="2450" spans="40:42" x14ac:dyDescent="0.3">
      <c r="AN2450">
        <v>2446</v>
      </c>
      <c r="AO2450" s="11">
        <v>21625.37</v>
      </c>
      <c r="AP2450" s="9">
        <v>3.0021726152517649</v>
      </c>
    </row>
    <row r="2451" spans="40:42" x14ac:dyDescent="0.3">
      <c r="AN2451">
        <v>2447</v>
      </c>
      <c r="AO2451" s="11">
        <v>25835.7</v>
      </c>
      <c r="AP2451" s="9">
        <v>3.1927483214222625</v>
      </c>
    </row>
    <row r="2452" spans="40:42" x14ac:dyDescent="0.3">
      <c r="AN2452">
        <v>2448</v>
      </c>
      <c r="AO2452" s="11">
        <v>20794.72</v>
      </c>
      <c r="AP2452" s="9">
        <v>3.1552897105259117</v>
      </c>
    </row>
    <row r="2453" spans="40:42" x14ac:dyDescent="0.3">
      <c r="AN2453">
        <v>2449</v>
      </c>
      <c r="AO2453" s="11">
        <v>24947.29</v>
      </c>
      <c r="AP2453" s="9">
        <v>3.6865820852574052</v>
      </c>
    </row>
    <row r="2454" spans="40:42" x14ac:dyDescent="0.3">
      <c r="AN2454">
        <v>2450</v>
      </c>
      <c r="AO2454" s="11">
        <v>32588.54</v>
      </c>
      <c r="AP2454" s="9">
        <v>2.9352619382016663</v>
      </c>
    </row>
    <row r="2455" spans="40:42" x14ac:dyDescent="0.3">
      <c r="AN2455">
        <v>2451</v>
      </c>
      <c r="AO2455" s="11">
        <v>27352.49</v>
      </c>
      <c r="AP2455" s="9">
        <v>3.5337368883994227</v>
      </c>
    </row>
    <row r="2456" spans="40:42" x14ac:dyDescent="0.3">
      <c r="AN2456">
        <v>2452</v>
      </c>
      <c r="AO2456" s="11">
        <v>23223.29</v>
      </c>
      <c r="AP2456" s="9">
        <v>3.9227840871471553</v>
      </c>
    </row>
    <row r="2457" spans="40:42" x14ac:dyDescent="0.3">
      <c r="AN2457">
        <v>2453</v>
      </c>
      <c r="AO2457" s="11">
        <v>21370.38</v>
      </c>
      <c r="AP2457" s="9">
        <v>3.5615987458565415</v>
      </c>
    </row>
    <row r="2458" spans="40:42" x14ac:dyDescent="0.3">
      <c r="AN2458">
        <v>2454</v>
      </c>
      <c r="AO2458" s="11">
        <v>30069.62</v>
      </c>
      <c r="AP2458" s="9">
        <v>3.1166468819964326</v>
      </c>
    </row>
    <row r="2459" spans="40:42" x14ac:dyDescent="0.3">
      <c r="AN2459">
        <v>2455</v>
      </c>
      <c r="AO2459" s="11">
        <v>18363.990000000002</v>
      </c>
      <c r="AP2459" s="9">
        <v>3.3198795377825245</v>
      </c>
    </row>
    <row r="2460" spans="40:42" x14ac:dyDescent="0.3">
      <c r="AN2460">
        <v>2456</v>
      </c>
      <c r="AO2460" s="11">
        <v>19440.23</v>
      </c>
      <c r="AP2460" s="9">
        <v>2.7912385974785043</v>
      </c>
    </row>
    <row r="2461" spans="40:42" x14ac:dyDescent="0.3">
      <c r="AN2461">
        <v>2457</v>
      </c>
      <c r="AO2461" s="11">
        <v>20955.490000000002</v>
      </c>
      <c r="AP2461" s="9">
        <v>2.688845124928704</v>
      </c>
    </row>
    <row r="2462" spans="40:42" x14ac:dyDescent="0.3">
      <c r="AN2462">
        <v>2458</v>
      </c>
      <c r="AO2462" s="11">
        <v>16664.63</v>
      </c>
      <c r="AP2462" s="9">
        <v>2.9064667815093497</v>
      </c>
    </row>
    <row r="2463" spans="40:42" x14ac:dyDescent="0.3">
      <c r="AN2463">
        <v>2459</v>
      </c>
      <c r="AO2463" s="11">
        <v>25290.37</v>
      </c>
      <c r="AP2463" s="9">
        <v>3.2635902731331052</v>
      </c>
    </row>
    <row r="2464" spans="40:42" x14ac:dyDescent="0.3">
      <c r="AN2464">
        <v>2460</v>
      </c>
      <c r="AO2464" s="11">
        <v>23370.02</v>
      </c>
      <c r="AP2464" s="9">
        <v>3.516710363426061</v>
      </c>
    </row>
    <row r="2465" spans="40:42" x14ac:dyDescent="0.3">
      <c r="AN2465">
        <v>2461</v>
      </c>
      <c r="AO2465" s="11">
        <v>31636.49</v>
      </c>
      <c r="AP2465" s="9">
        <v>3.985306548666792</v>
      </c>
    </row>
    <row r="2466" spans="40:42" x14ac:dyDescent="0.3">
      <c r="AN2466">
        <v>2462</v>
      </c>
      <c r="AO2466" s="11">
        <v>26878.99</v>
      </c>
      <c r="AP2466" s="9">
        <v>3.2511756079563958</v>
      </c>
    </row>
    <row r="2467" spans="40:42" x14ac:dyDescent="0.3">
      <c r="AN2467">
        <v>2463</v>
      </c>
      <c r="AO2467" s="11">
        <v>25047.97</v>
      </c>
      <c r="AP2467" s="9">
        <v>3.2809849283600392</v>
      </c>
    </row>
    <row r="2468" spans="40:42" x14ac:dyDescent="0.3">
      <c r="AN2468">
        <v>2464</v>
      </c>
      <c r="AO2468" s="11">
        <v>17313.330000000002</v>
      </c>
      <c r="AP2468" s="9">
        <v>3.2998903039146281</v>
      </c>
    </row>
    <row r="2469" spans="40:42" x14ac:dyDescent="0.3">
      <c r="AN2469">
        <v>2465</v>
      </c>
      <c r="AO2469" s="11">
        <v>29440.3</v>
      </c>
      <c r="AP2469" s="9">
        <v>3.6757417976763271</v>
      </c>
    </row>
    <row r="2470" spans="40:42" x14ac:dyDescent="0.3">
      <c r="AN2470">
        <v>2466</v>
      </c>
      <c r="AO2470" s="11">
        <v>25225.11</v>
      </c>
      <c r="AP2470" s="9">
        <v>3.5060834720507845</v>
      </c>
    </row>
    <row r="2471" spans="40:42" x14ac:dyDescent="0.3">
      <c r="AN2471">
        <v>2467</v>
      </c>
      <c r="AO2471" s="11">
        <v>29494.22</v>
      </c>
      <c r="AP2471" s="9">
        <v>4.1252210853175937</v>
      </c>
    </row>
    <row r="2472" spans="40:42" x14ac:dyDescent="0.3">
      <c r="AN2472">
        <v>2468</v>
      </c>
      <c r="AO2472" s="11">
        <v>18545.2</v>
      </c>
      <c r="AP2472" s="9">
        <v>2.9636810771096607</v>
      </c>
    </row>
    <row r="2473" spans="40:42" x14ac:dyDescent="0.3">
      <c r="AN2473">
        <v>2469</v>
      </c>
      <c r="AO2473" s="11">
        <v>15264.53</v>
      </c>
      <c r="AP2473" s="9">
        <v>3.540883461361827</v>
      </c>
    </row>
    <row r="2474" spans="40:42" x14ac:dyDescent="0.3">
      <c r="AN2474">
        <v>2470</v>
      </c>
      <c r="AO2474" s="11">
        <v>20891.03</v>
      </c>
      <c r="AP2474" s="9">
        <v>3.3081441552610551</v>
      </c>
    </row>
    <row r="2475" spans="40:42" x14ac:dyDescent="0.3">
      <c r="AN2475">
        <v>2471</v>
      </c>
      <c r="AO2475" s="11">
        <v>35426.74</v>
      </c>
      <c r="AP2475" s="9">
        <v>3.6857859030085804</v>
      </c>
    </row>
    <row r="2476" spans="40:42" x14ac:dyDescent="0.3">
      <c r="AN2476">
        <v>2472</v>
      </c>
      <c r="AO2476" s="11">
        <v>21733.64</v>
      </c>
      <c r="AP2476" s="9">
        <v>3.0272879108699398</v>
      </c>
    </row>
    <row r="2477" spans="40:42" x14ac:dyDescent="0.3">
      <c r="AN2477">
        <v>2473</v>
      </c>
      <c r="AO2477" s="11">
        <v>35849.94</v>
      </c>
      <c r="AP2477" s="9">
        <v>3.3771834277793675</v>
      </c>
    </row>
    <row r="2478" spans="40:42" x14ac:dyDescent="0.3">
      <c r="AN2478">
        <v>2474</v>
      </c>
      <c r="AO2478" s="11">
        <v>22662.78</v>
      </c>
      <c r="AP2478" s="9">
        <v>3.7844185793794578</v>
      </c>
    </row>
    <row r="2479" spans="40:42" x14ac:dyDescent="0.3">
      <c r="AN2479">
        <v>2475</v>
      </c>
      <c r="AO2479" s="11">
        <v>22186.78</v>
      </c>
      <c r="AP2479" s="9">
        <v>3.0148389102886126</v>
      </c>
    </row>
    <row r="2480" spans="40:42" x14ac:dyDescent="0.3">
      <c r="AN2480">
        <v>2476</v>
      </c>
      <c r="AO2480" s="11">
        <v>34345.910000000003</v>
      </c>
      <c r="AP2480" s="9">
        <v>3.9105893578108977</v>
      </c>
    </row>
    <row r="2481" spans="40:42" x14ac:dyDescent="0.3">
      <c r="AN2481">
        <v>2477</v>
      </c>
      <c r="AO2481" s="11">
        <v>37114.32</v>
      </c>
      <c r="AP2481" s="9">
        <v>3.6795023293694658</v>
      </c>
    </row>
    <row r="2482" spans="40:42" x14ac:dyDescent="0.3">
      <c r="AN2482">
        <v>2478</v>
      </c>
      <c r="AO2482" s="11">
        <v>33992.050000000003</v>
      </c>
      <c r="AP2482" s="9">
        <v>3.2483253921116764</v>
      </c>
    </row>
    <row r="2483" spans="40:42" x14ac:dyDescent="0.3">
      <c r="AN2483">
        <v>2479</v>
      </c>
      <c r="AO2483" s="11">
        <v>18998.16</v>
      </c>
      <c r="AP2483" s="9">
        <v>3.6827082748591042</v>
      </c>
    </row>
    <row r="2484" spans="40:42" x14ac:dyDescent="0.3">
      <c r="AN2484">
        <v>2480</v>
      </c>
      <c r="AO2484" s="11">
        <v>33413.75</v>
      </c>
      <c r="AP2484" s="9">
        <v>3.6958008183350648</v>
      </c>
    </row>
    <row r="2485" spans="40:42" x14ac:dyDescent="0.3">
      <c r="AN2485">
        <v>2481</v>
      </c>
      <c r="AO2485" s="11">
        <v>26136.49</v>
      </c>
      <c r="AP2485" s="9">
        <v>3.392925938278565</v>
      </c>
    </row>
    <row r="2486" spans="40:42" x14ac:dyDescent="0.3">
      <c r="AN2486">
        <v>2482</v>
      </c>
      <c r="AO2486" s="11">
        <v>24980.6</v>
      </c>
      <c r="AP2486" s="9">
        <v>3.1071765858461213</v>
      </c>
    </row>
    <row r="2487" spans="40:42" x14ac:dyDescent="0.3">
      <c r="AN2487">
        <v>2483</v>
      </c>
      <c r="AO2487" s="11">
        <v>27046.81</v>
      </c>
      <c r="AP2487" s="9">
        <v>3.9061535308003301</v>
      </c>
    </row>
    <row r="2488" spans="40:42" x14ac:dyDescent="0.3">
      <c r="AN2488">
        <v>2484</v>
      </c>
      <c r="AO2488" s="11">
        <v>27851.52</v>
      </c>
      <c r="AP2488" s="9">
        <v>3.0727138533458058</v>
      </c>
    </row>
    <row r="2489" spans="40:42" x14ac:dyDescent="0.3">
      <c r="AN2489">
        <v>2485</v>
      </c>
      <c r="AO2489" s="11">
        <v>16335.36</v>
      </c>
      <c r="AP2489" s="9">
        <v>2.7839075870674792</v>
      </c>
    </row>
    <row r="2490" spans="40:42" x14ac:dyDescent="0.3">
      <c r="AN2490">
        <v>2486</v>
      </c>
      <c r="AO2490" s="11">
        <v>23404.97</v>
      </c>
      <c r="AP2490" s="9">
        <v>3.3636249668801717</v>
      </c>
    </row>
    <row r="2491" spans="40:42" x14ac:dyDescent="0.3">
      <c r="AN2491">
        <v>2487</v>
      </c>
      <c r="AO2491" s="11">
        <v>30608.7</v>
      </c>
      <c r="AP2491" s="9">
        <v>3.4655021186764201</v>
      </c>
    </row>
    <row r="2492" spans="40:42" x14ac:dyDescent="0.3">
      <c r="AN2492">
        <v>2488</v>
      </c>
      <c r="AO2492" s="11">
        <v>17534.43</v>
      </c>
      <c r="AP2492" s="9">
        <v>3.0522952526905702</v>
      </c>
    </row>
    <row r="2493" spans="40:42" x14ac:dyDescent="0.3">
      <c r="AN2493">
        <v>2489</v>
      </c>
      <c r="AO2493" s="11">
        <v>20919.53</v>
      </c>
      <c r="AP2493" s="9">
        <v>3.1203921429267751</v>
      </c>
    </row>
    <row r="2494" spans="40:42" x14ac:dyDescent="0.3">
      <c r="AN2494">
        <v>2490</v>
      </c>
      <c r="AO2494" s="11">
        <v>37319.75</v>
      </c>
      <c r="AP2494" s="9">
        <v>4.0158881652737142</v>
      </c>
    </row>
    <row r="2495" spans="40:42" x14ac:dyDescent="0.3">
      <c r="AN2495">
        <v>2491</v>
      </c>
      <c r="AO2495" s="11">
        <v>25083.79</v>
      </c>
      <c r="AP2495" s="9">
        <v>3.2617184978792571</v>
      </c>
    </row>
    <row r="2496" spans="40:42" x14ac:dyDescent="0.3">
      <c r="AN2496">
        <v>2492</v>
      </c>
      <c r="AO2496" s="11">
        <v>24635.13</v>
      </c>
      <c r="AP2496" s="9">
        <v>3.3518573320539704</v>
      </c>
    </row>
    <row r="2497" spans="40:42" x14ac:dyDescent="0.3">
      <c r="AN2497">
        <v>2493</v>
      </c>
      <c r="AO2497" s="11">
        <v>27550.82</v>
      </c>
      <c r="AP2497" s="9">
        <v>3.6490108922381603</v>
      </c>
    </row>
    <row r="2498" spans="40:42" x14ac:dyDescent="0.3">
      <c r="AN2498">
        <v>2494</v>
      </c>
      <c r="AO2498" s="11">
        <v>23663.23</v>
      </c>
      <c r="AP2498" s="9">
        <v>3.400540674871749</v>
      </c>
    </row>
    <row r="2499" spans="40:42" x14ac:dyDescent="0.3">
      <c r="AN2499">
        <v>2495</v>
      </c>
      <c r="AO2499" s="11">
        <v>28127.54</v>
      </c>
      <c r="AP2499" s="9">
        <v>3.5386811989845928</v>
      </c>
    </row>
    <row r="2500" spans="40:42" x14ac:dyDescent="0.3">
      <c r="AN2500">
        <v>2496</v>
      </c>
      <c r="AO2500" s="11">
        <v>15390.71</v>
      </c>
      <c r="AP2500" s="9">
        <v>2.8812441962081152</v>
      </c>
    </row>
    <row r="2501" spans="40:42" x14ac:dyDescent="0.3">
      <c r="AN2501">
        <v>2497</v>
      </c>
      <c r="AO2501" s="11">
        <v>31007.54</v>
      </c>
      <c r="AP2501" s="9">
        <v>3.2253870739682093</v>
      </c>
    </row>
    <row r="2502" spans="40:42" x14ac:dyDescent="0.3">
      <c r="AN2502">
        <v>2498</v>
      </c>
      <c r="AO2502" s="11">
        <v>26660.99</v>
      </c>
      <c r="AP2502" s="9">
        <v>3.0340776933049503</v>
      </c>
    </row>
    <row r="2503" spans="40:42" x14ac:dyDescent="0.3">
      <c r="AN2503">
        <v>2499</v>
      </c>
      <c r="AO2503" s="11">
        <v>31326.16</v>
      </c>
      <c r="AP2503" s="9">
        <v>3.5212220453702257</v>
      </c>
    </row>
    <row r="2504" spans="40:42" x14ac:dyDescent="0.3">
      <c r="AN2504">
        <v>2500</v>
      </c>
      <c r="AO2504" s="11">
        <v>22626.959999999999</v>
      </c>
      <c r="AP2504" s="9">
        <v>3.2151130717153023</v>
      </c>
    </row>
    <row r="2505" spans="40:42" x14ac:dyDescent="0.3">
      <c r="AN2505">
        <v>2501</v>
      </c>
      <c r="AO2505" s="11">
        <v>16933.72</v>
      </c>
      <c r="AP2505" s="9">
        <v>2.5830877701660082</v>
      </c>
    </row>
    <row r="2506" spans="40:42" x14ac:dyDescent="0.3">
      <c r="AN2506">
        <v>2502</v>
      </c>
      <c r="AO2506" s="11">
        <v>25271.89</v>
      </c>
      <c r="AP2506" s="9">
        <v>3.2928875778280737</v>
      </c>
    </row>
    <row r="2507" spans="40:42" x14ac:dyDescent="0.3">
      <c r="AN2507">
        <v>2503</v>
      </c>
      <c r="AO2507" s="11">
        <v>29284.92</v>
      </c>
      <c r="AP2507" s="9">
        <v>3.2413868793750926</v>
      </c>
    </row>
    <row r="2508" spans="40:42" x14ac:dyDescent="0.3">
      <c r="AN2508">
        <v>2504</v>
      </c>
      <c r="AO2508" s="11">
        <v>18519.8</v>
      </c>
      <c r="AP2508" s="9">
        <v>2.9574244532157685</v>
      </c>
    </row>
    <row r="2509" spans="40:42" x14ac:dyDescent="0.3">
      <c r="AN2509">
        <v>2505</v>
      </c>
      <c r="AO2509" s="11">
        <v>20967.27</v>
      </c>
      <c r="AP2509" s="9">
        <v>3.0955199016625352</v>
      </c>
    </row>
    <row r="2510" spans="40:42" x14ac:dyDescent="0.3">
      <c r="AN2510">
        <v>2506</v>
      </c>
      <c r="AO2510" s="11">
        <v>19284.46</v>
      </c>
      <c r="AP2510" s="9">
        <v>3.048321605882331</v>
      </c>
    </row>
    <row r="2511" spans="40:42" x14ac:dyDescent="0.3">
      <c r="AN2511">
        <v>2507</v>
      </c>
      <c r="AO2511" s="11">
        <v>38837.03</v>
      </c>
      <c r="AP2511" s="9">
        <v>4.1599157086816367</v>
      </c>
    </row>
    <row r="2512" spans="40:42" x14ac:dyDescent="0.3">
      <c r="AN2512">
        <v>2508</v>
      </c>
      <c r="AO2512" s="11">
        <v>29466.09</v>
      </c>
      <c r="AP2512" s="9">
        <v>3.6075018444474569</v>
      </c>
    </row>
    <row r="2513" spans="40:42" x14ac:dyDescent="0.3">
      <c r="AN2513">
        <v>2509</v>
      </c>
      <c r="AO2513" s="11">
        <v>26028.47</v>
      </c>
      <c r="AP2513" s="9">
        <v>3.0387289063366683</v>
      </c>
    </row>
    <row r="2514" spans="40:42" x14ac:dyDescent="0.3">
      <c r="AN2514">
        <v>2510</v>
      </c>
      <c r="AO2514" s="11">
        <v>26357.91</v>
      </c>
      <c r="AP2514" s="9">
        <v>3.8902344662312713</v>
      </c>
    </row>
    <row r="2515" spans="40:42" x14ac:dyDescent="0.3">
      <c r="AN2515">
        <v>2511</v>
      </c>
      <c r="AO2515" s="11">
        <v>27768.89</v>
      </c>
      <c r="AP2515" s="9">
        <v>3.3732347243250613</v>
      </c>
    </row>
    <row r="2516" spans="40:42" x14ac:dyDescent="0.3">
      <c r="AN2516">
        <v>2512</v>
      </c>
      <c r="AO2516" s="11">
        <v>57000.54</v>
      </c>
      <c r="AP2516" s="9">
        <v>3.9514097251054245</v>
      </c>
    </row>
    <row r="2517" spans="40:42" x14ac:dyDescent="0.3">
      <c r="AN2517">
        <v>2513</v>
      </c>
      <c r="AO2517" s="11">
        <v>27746.080000000002</v>
      </c>
      <c r="AP2517" s="9">
        <v>3.3206603771036662</v>
      </c>
    </row>
    <row r="2518" spans="40:42" x14ac:dyDescent="0.3">
      <c r="AN2518">
        <v>2514</v>
      </c>
      <c r="AO2518" s="11">
        <v>41792.21</v>
      </c>
      <c r="AP2518" s="9">
        <v>3.9116187376681459</v>
      </c>
    </row>
    <row r="2519" spans="40:42" x14ac:dyDescent="0.3">
      <c r="AN2519">
        <v>2515</v>
      </c>
      <c r="AO2519" s="11">
        <v>52817.58</v>
      </c>
      <c r="AP2519" s="9">
        <v>3.6055507504297246</v>
      </c>
    </row>
    <row r="2520" spans="40:42" x14ac:dyDescent="0.3">
      <c r="AN2520">
        <v>2516</v>
      </c>
      <c r="AO2520" s="11">
        <v>23285.42</v>
      </c>
      <c r="AP2520" s="9">
        <v>3.382223735086566</v>
      </c>
    </row>
    <row r="2521" spans="40:42" x14ac:dyDescent="0.3">
      <c r="AN2521">
        <v>2517</v>
      </c>
      <c r="AO2521" s="11">
        <v>20995.01</v>
      </c>
      <c r="AP2521" s="9">
        <v>2.9732197330337118</v>
      </c>
    </row>
    <row r="2522" spans="40:42" x14ac:dyDescent="0.3">
      <c r="AN2522">
        <v>2518</v>
      </c>
      <c r="AO2522" s="11">
        <v>26528.720000000001</v>
      </c>
      <c r="AP2522" s="9">
        <v>3.487335788871381</v>
      </c>
    </row>
    <row r="2523" spans="40:42" x14ac:dyDescent="0.3">
      <c r="AN2523">
        <v>2519</v>
      </c>
      <c r="AO2523" s="11">
        <v>39023.93</v>
      </c>
      <c r="AP2523" s="9">
        <v>3.5140422152337467</v>
      </c>
    </row>
    <row r="2524" spans="40:42" x14ac:dyDescent="0.3">
      <c r="AN2524">
        <v>2520</v>
      </c>
      <c r="AO2524" s="11">
        <v>24768.04</v>
      </c>
      <c r="AP2524" s="9">
        <v>3.2903142491630755</v>
      </c>
    </row>
    <row r="2525" spans="40:42" x14ac:dyDescent="0.3">
      <c r="AN2525">
        <v>2521</v>
      </c>
      <c r="AO2525" s="11">
        <v>42416.9</v>
      </c>
      <c r="AP2525" s="9">
        <v>4.5001077865035972</v>
      </c>
    </row>
    <row r="2526" spans="40:42" x14ac:dyDescent="0.3">
      <c r="AN2526">
        <v>2522</v>
      </c>
      <c r="AO2526" s="11">
        <v>25091.040000000001</v>
      </c>
      <c r="AP2526" s="9">
        <v>3.4362014301699437</v>
      </c>
    </row>
    <row r="2527" spans="40:42" x14ac:dyDescent="0.3">
      <c r="AN2527">
        <v>2523</v>
      </c>
      <c r="AO2527" s="11">
        <v>32621.01</v>
      </c>
      <c r="AP2527" s="9">
        <v>3.5359990163341903</v>
      </c>
    </row>
    <row r="2528" spans="40:42" x14ac:dyDescent="0.3">
      <c r="AN2528">
        <v>2524</v>
      </c>
      <c r="AO2528" s="11">
        <v>20293.919999999998</v>
      </c>
      <c r="AP2528" s="9">
        <v>2.9389466029251836</v>
      </c>
    </row>
    <row r="2529" spans="40:42" x14ac:dyDescent="0.3">
      <c r="AN2529">
        <v>2525</v>
      </c>
      <c r="AO2529" s="11">
        <v>14733.1</v>
      </c>
      <c r="AP2529" s="9">
        <v>3.0829996810079754</v>
      </c>
    </row>
    <row r="2530" spans="40:42" x14ac:dyDescent="0.3">
      <c r="AN2530">
        <v>2526</v>
      </c>
      <c r="AO2530" s="11">
        <v>24493.38</v>
      </c>
      <c r="AP2530" s="9">
        <v>3.5335265613280833</v>
      </c>
    </row>
    <row r="2531" spans="40:42" x14ac:dyDescent="0.3">
      <c r="AN2531">
        <v>2527</v>
      </c>
      <c r="AO2531" s="11">
        <v>33047.72</v>
      </c>
      <c r="AP2531" s="9">
        <v>3.3387098458739755</v>
      </c>
    </row>
    <row r="2532" spans="40:42" x14ac:dyDescent="0.3">
      <c r="AN2532">
        <v>2528</v>
      </c>
      <c r="AO2532" s="11">
        <v>28531.57</v>
      </c>
      <c r="AP2532" s="9">
        <v>3.8185138484992325</v>
      </c>
    </row>
    <row r="2533" spans="40:42" x14ac:dyDescent="0.3">
      <c r="AN2533">
        <v>2529</v>
      </c>
      <c r="AO2533" s="11">
        <v>26589.49</v>
      </c>
      <c r="AP2533" s="9">
        <v>3.295239171329555</v>
      </c>
    </row>
    <row r="2534" spans="40:42" x14ac:dyDescent="0.3">
      <c r="AN2534">
        <v>2530</v>
      </c>
      <c r="AO2534" s="11">
        <v>35254.11</v>
      </c>
      <c r="AP2534" s="9">
        <v>3.099021933446743</v>
      </c>
    </row>
    <row r="2535" spans="40:42" x14ac:dyDescent="0.3">
      <c r="AN2535">
        <v>2531</v>
      </c>
      <c r="AO2535" s="11">
        <v>23941.08</v>
      </c>
      <c r="AP2535" s="9">
        <v>2.655952109653787</v>
      </c>
    </row>
    <row r="2536" spans="40:42" x14ac:dyDescent="0.3">
      <c r="AN2536">
        <v>2532</v>
      </c>
      <c r="AO2536" s="11">
        <v>11636.24</v>
      </c>
      <c r="AP2536" s="9">
        <v>3.2454349312002626</v>
      </c>
    </row>
    <row r="2537" spans="40:42" x14ac:dyDescent="0.3">
      <c r="AN2537">
        <v>2533</v>
      </c>
      <c r="AO2537" s="11">
        <v>24952</v>
      </c>
      <c r="AP2537" s="9">
        <v>3.4304020675720333</v>
      </c>
    </row>
    <row r="2538" spans="40:42" x14ac:dyDescent="0.3">
      <c r="AN2538">
        <v>2534</v>
      </c>
      <c r="AO2538" s="11">
        <v>22336.92</v>
      </c>
      <c r="AP2538" s="9">
        <v>3.3657204225743977</v>
      </c>
    </row>
    <row r="2539" spans="40:42" x14ac:dyDescent="0.3">
      <c r="AN2539">
        <v>2535</v>
      </c>
      <c r="AO2539" s="11">
        <v>37686.050000000003</v>
      </c>
      <c r="AP2539" s="9">
        <v>3.8829628905486424</v>
      </c>
    </row>
    <row r="2540" spans="40:42" x14ac:dyDescent="0.3">
      <c r="AN2540">
        <v>2536</v>
      </c>
      <c r="AO2540" s="11">
        <v>24243.18</v>
      </c>
      <c r="AP2540" s="9">
        <v>2.9391433944723158</v>
      </c>
    </row>
    <row r="2541" spans="40:42" x14ac:dyDescent="0.3">
      <c r="AN2541">
        <v>2537</v>
      </c>
      <c r="AO2541" s="11">
        <v>30049.96</v>
      </c>
      <c r="AP2541" s="9">
        <v>3.3701518387262421</v>
      </c>
    </row>
    <row r="2542" spans="40:42" x14ac:dyDescent="0.3">
      <c r="AN2542">
        <v>2538</v>
      </c>
      <c r="AO2542" s="11">
        <v>31960.46</v>
      </c>
      <c r="AP2542" s="9">
        <v>3.6053857970833234</v>
      </c>
    </row>
    <row r="2543" spans="40:42" x14ac:dyDescent="0.3">
      <c r="AN2543">
        <v>2539</v>
      </c>
      <c r="AO2543" s="11">
        <v>25695.77</v>
      </c>
      <c r="AP2543" s="9">
        <v>3.0258535985874744</v>
      </c>
    </row>
    <row r="2544" spans="40:42" x14ac:dyDescent="0.3">
      <c r="AN2544">
        <v>2540</v>
      </c>
      <c r="AO2544" s="11">
        <v>37717.279999999999</v>
      </c>
      <c r="AP2544" s="9">
        <v>3.1484482548752726</v>
      </c>
    </row>
    <row r="2545" spans="40:42" x14ac:dyDescent="0.3">
      <c r="AN2545">
        <v>2541</v>
      </c>
      <c r="AO2545" s="11">
        <v>30306.1</v>
      </c>
      <c r="AP2545" s="9">
        <v>3.9770626431256177</v>
      </c>
    </row>
    <row r="2546" spans="40:42" x14ac:dyDescent="0.3">
      <c r="AN2546">
        <v>2542</v>
      </c>
      <c r="AO2546" s="11">
        <v>25917.85</v>
      </c>
      <c r="AP2546" s="9">
        <v>3.3421308369276703</v>
      </c>
    </row>
    <row r="2547" spans="40:42" x14ac:dyDescent="0.3">
      <c r="AN2547">
        <v>2543</v>
      </c>
      <c r="AO2547" s="11">
        <v>24385.22</v>
      </c>
      <c r="AP2547" s="9">
        <v>3.1681567509631194</v>
      </c>
    </row>
    <row r="2548" spans="40:42" x14ac:dyDescent="0.3">
      <c r="AN2548">
        <v>2544</v>
      </c>
      <c r="AO2548" s="11">
        <v>16908.64</v>
      </c>
      <c r="AP2548" s="9">
        <v>3.0772217778733331</v>
      </c>
    </row>
    <row r="2549" spans="40:42" x14ac:dyDescent="0.3">
      <c r="AN2549">
        <v>2545</v>
      </c>
      <c r="AO2549" s="11">
        <v>28480.5</v>
      </c>
      <c r="AP2549" s="9">
        <v>2.7292286295712787</v>
      </c>
    </row>
    <row r="2550" spans="40:42" x14ac:dyDescent="0.3">
      <c r="AN2550">
        <v>2546</v>
      </c>
      <c r="AO2550" s="11">
        <v>23865.73</v>
      </c>
      <c r="AP2550" s="9">
        <v>3.7255963524496316</v>
      </c>
    </row>
    <row r="2551" spans="40:42" x14ac:dyDescent="0.3">
      <c r="AN2551">
        <v>2547</v>
      </c>
      <c r="AO2551" s="11">
        <v>24659.41</v>
      </c>
      <c r="AP2551" s="9">
        <v>2.7853247951882487</v>
      </c>
    </row>
    <row r="2552" spans="40:42" x14ac:dyDescent="0.3">
      <c r="AN2552">
        <v>2548</v>
      </c>
      <c r="AO2552" s="11">
        <v>29091.08</v>
      </c>
      <c r="AP2552" s="9">
        <v>3.5660685084672363</v>
      </c>
    </row>
    <row r="2553" spans="40:42" x14ac:dyDescent="0.3">
      <c r="AN2553">
        <v>2549</v>
      </c>
      <c r="AO2553" s="11">
        <v>33260.050000000003</v>
      </c>
      <c r="AP2553" s="9">
        <v>2.7504859579501795</v>
      </c>
    </row>
    <row r="2554" spans="40:42" x14ac:dyDescent="0.3">
      <c r="AN2554">
        <v>2550</v>
      </c>
      <c r="AO2554" s="11">
        <v>21772.86</v>
      </c>
      <c r="AP2554" s="9">
        <v>3.407751037133389</v>
      </c>
    </row>
    <row r="2555" spans="40:42" x14ac:dyDescent="0.3">
      <c r="AN2555">
        <v>2551</v>
      </c>
      <c r="AO2555" s="11">
        <v>40584.269999999997</v>
      </c>
      <c r="AP2555" s="9">
        <v>3.7484329686280371</v>
      </c>
    </row>
    <row r="2556" spans="40:42" x14ac:dyDescent="0.3">
      <c r="AN2556">
        <v>2552</v>
      </c>
      <c r="AO2556" s="11">
        <v>27873.69</v>
      </c>
      <c r="AP2556" s="9">
        <v>3.2501294188666487</v>
      </c>
    </row>
    <row r="2557" spans="40:42" x14ac:dyDescent="0.3">
      <c r="AN2557">
        <v>2553</v>
      </c>
      <c r="AO2557" s="11">
        <v>18275.18</v>
      </c>
      <c r="AP2557" s="9">
        <v>3.4590956733701574</v>
      </c>
    </row>
    <row r="2558" spans="40:42" x14ac:dyDescent="0.3">
      <c r="AN2558">
        <v>2554</v>
      </c>
      <c r="AO2558" s="11">
        <v>31189.1</v>
      </c>
      <c r="AP2558" s="9">
        <v>3.519407771984397</v>
      </c>
    </row>
    <row r="2559" spans="40:42" x14ac:dyDescent="0.3">
      <c r="AN2559">
        <v>2555</v>
      </c>
      <c r="AO2559" s="11">
        <v>21527.87</v>
      </c>
      <c r="AP2559" s="9">
        <v>3.8614383060606179</v>
      </c>
    </row>
    <row r="2560" spans="40:42" x14ac:dyDescent="0.3">
      <c r="AN2560">
        <v>2556</v>
      </c>
      <c r="AO2560" s="11">
        <v>30494.23</v>
      </c>
      <c r="AP2560" s="9">
        <v>4.0676243642173482</v>
      </c>
    </row>
    <row r="2561" spans="40:42" x14ac:dyDescent="0.3">
      <c r="AN2561">
        <v>2557</v>
      </c>
      <c r="AO2561" s="11">
        <v>32201.86</v>
      </c>
      <c r="AP2561" s="9">
        <v>3.4143711916809316</v>
      </c>
    </row>
    <row r="2562" spans="40:42" x14ac:dyDescent="0.3">
      <c r="AN2562">
        <v>2558</v>
      </c>
      <c r="AO2562" s="11">
        <v>38538.57</v>
      </c>
      <c r="AP2562" s="9">
        <v>3.3225194978749224</v>
      </c>
    </row>
    <row r="2563" spans="40:42" x14ac:dyDescent="0.3">
      <c r="AN2563">
        <v>2559</v>
      </c>
      <c r="AO2563" s="11">
        <v>20656.810000000001</v>
      </c>
      <c r="AP2563" s="9">
        <v>3.8369465692715852</v>
      </c>
    </row>
    <row r="2564" spans="40:42" x14ac:dyDescent="0.3">
      <c r="AN2564">
        <v>2560</v>
      </c>
      <c r="AO2564" s="11">
        <v>28578.22</v>
      </c>
      <c r="AP2564" s="9">
        <v>3.8953342695877295</v>
      </c>
    </row>
    <row r="2565" spans="40:42" x14ac:dyDescent="0.3">
      <c r="AN2565">
        <v>2561</v>
      </c>
      <c r="AO2565" s="11">
        <v>30658.79</v>
      </c>
      <c r="AP2565" s="9">
        <v>3.8783541558681298</v>
      </c>
    </row>
    <row r="2566" spans="40:42" x14ac:dyDescent="0.3">
      <c r="AN2566">
        <v>2562</v>
      </c>
      <c r="AO2566" s="11">
        <v>25779.77</v>
      </c>
      <c r="AP2566" s="9">
        <v>3.5797873424143836</v>
      </c>
    </row>
    <row r="2567" spans="40:42" x14ac:dyDescent="0.3">
      <c r="AN2567">
        <v>2563</v>
      </c>
      <c r="AO2567" s="11">
        <v>17880.400000000001</v>
      </c>
      <c r="AP2567" s="9">
        <v>2.8599261839167518</v>
      </c>
    </row>
    <row r="2568" spans="40:42" x14ac:dyDescent="0.3">
      <c r="AN2568">
        <v>2564</v>
      </c>
      <c r="AO2568" s="11">
        <v>24083.21</v>
      </c>
      <c r="AP2568" s="9">
        <v>3.0501742983293525</v>
      </c>
    </row>
    <row r="2569" spans="40:42" x14ac:dyDescent="0.3">
      <c r="AN2569">
        <v>2565</v>
      </c>
      <c r="AO2569" s="11">
        <v>44596.63</v>
      </c>
      <c r="AP2569" s="9">
        <v>3.9874493166966074</v>
      </c>
    </row>
    <row r="2570" spans="40:42" x14ac:dyDescent="0.3">
      <c r="AN2570">
        <v>2566</v>
      </c>
      <c r="AO2570" s="11">
        <v>31186.81</v>
      </c>
      <c r="AP2570" s="9">
        <v>3.0696268369430104</v>
      </c>
    </row>
    <row r="2571" spans="40:42" x14ac:dyDescent="0.3">
      <c r="AN2571">
        <v>2567</v>
      </c>
      <c r="AO2571" s="11">
        <v>39881.879999999997</v>
      </c>
      <c r="AP2571" s="9">
        <v>3.5813021146694504</v>
      </c>
    </row>
    <row r="2572" spans="40:42" x14ac:dyDescent="0.3">
      <c r="AN2572">
        <v>2568</v>
      </c>
      <c r="AO2572" s="11">
        <v>19055.009999999998</v>
      </c>
      <c r="AP2572" s="9">
        <v>3.1002028230733618</v>
      </c>
    </row>
    <row r="2573" spans="40:42" x14ac:dyDescent="0.3">
      <c r="AN2573">
        <v>2569</v>
      </c>
      <c r="AO2573" s="11">
        <v>30067.86</v>
      </c>
      <c r="AP2573" s="9">
        <v>3.2122994919770145</v>
      </c>
    </row>
    <row r="2574" spans="40:42" x14ac:dyDescent="0.3">
      <c r="AN2574">
        <v>2570</v>
      </c>
      <c r="AO2574" s="11">
        <v>24340.57</v>
      </c>
      <c r="AP2574" s="9">
        <v>3.086851072973793</v>
      </c>
    </row>
    <row r="2575" spans="40:42" x14ac:dyDescent="0.3">
      <c r="AN2575">
        <v>2571</v>
      </c>
      <c r="AO2575" s="11">
        <v>32254.43</v>
      </c>
      <c r="AP2575" s="9">
        <v>3.2883289506447659</v>
      </c>
    </row>
    <row r="2576" spans="40:42" x14ac:dyDescent="0.3">
      <c r="AN2576">
        <v>2572</v>
      </c>
      <c r="AO2576" s="11">
        <v>23864.15</v>
      </c>
      <c r="AP2576" s="9">
        <v>3.6409213731752255</v>
      </c>
    </row>
    <row r="2577" spans="40:42" x14ac:dyDescent="0.3">
      <c r="AN2577">
        <v>2573</v>
      </c>
      <c r="AO2577" s="11">
        <v>30205.48</v>
      </c>
      <c r="AP2577" s="9">
        <v>3.4570821874259301</v>
      </c>
    </row>
    <row r="2578" spans="40:42" x14ac:dyDescent="0.3">
      <c r="AN2578">
        <v>2574</v>
      </c>
      <c r="AO2578" s="11">
        <v>31031.38</v>
      </c>
      <c r="AP2578" s="9">
        <v>3.1579349315560874</v>
      </c>
    </row>
    <row r="2579" spans="40:42" x14ac:dyDescent="0.3">
      <c r="AN2579">
        <v>2575</v>
      </c>
      <c r="AO2579" s="11">
        <v>17638.55</v>
      </c>
      <c r="AP2579" s="9">
        <v>2.6435024957318252</v>
      </c>
    </row>
    <row r="2580" spans="40:42" x14ac:dyDescent="0.3">
      <c r="AN2580">
        <v>2576</v>
      </c>
      <c r="AO2580" s="11">
        <v>23377.7</v>
      </c>
      <c r="AP2580" s="9">
        <v>3.4329945640735304</v>
      </c>
    </row>
    <row r="2581" spans="40:42" x14ac:dyDescent="0.3">
      <c r="AN2581">
        <v>2577</v>
      </c>
      <c r="AO2581" s="11">
        <v>26265.77</v>
      </c>
      <c r="AP2581" s="9">
        <v>3.2909058856558362</v>
      </c>
    </row>
    <row r="2582" spans="40:42" x14ac:dyDescent="0.3">
      <c r="AN2582">
        <v>2578</v>
      </c>
      <c r="AO2582" s="11">
        <v>21613.49</v>
      </c>
      <c r="AP2582" s="9">
        <v>3.1344011591638576</v>
      </c>
    </row>
    <row r="2583" spans="40:42" x14ac:dyDescent="0.3">
      <c r="AN2583">
        <v>2579</v>
      </c>
      <c r="AO2583" s="11">
        <v>33268.33</v>
      </c>
      <c r="AP2583" s="9">
        <v>3.033408383615432</v>
      </c>
    </row>
    <row r="2584" spans="40:42" x14ac:dyDescent="0.3">
      <c r="AN2584">
        <v>2580</v>
      </c>
      <c r="AO2584" s="11">
        <v>31452.43</v>
      </c>
      <c r="AP2584" s="9">
        <v>3.7182581122513834</v>
      </c>
    </row>
    <row r="2585" spans="40:42" x14ac:dyDescent="0.3">
      <c r="AN2585">
        <v>2581</v>
      </c>
      <c r="AO2585" s="11">
        <v>27390.58</v>
      </c>
      <c r="AP2585" s="9">
        <v>3.8541467567175545</v>
      </c>
    </row>
    <row r="2586" spans="40:42" x14ac:dyDescent="0.3">
      <c r="AN2586">
        <v>2582</v>
      </c>
      <c r="AO2586" s="11">
        <v>22614.89</v>
      </c>
      <c r="AP2586" s="9">
        <v>3.2615488106614192</v>
      </c>
    </row>
    <row r="2587" spans="40:42" x14ac:dyDescent="0.3">
      <c r="AN2587">
        <v>2583</v>
      </c>
      <c r="AO2587" s="11">
        <v>20810</v>
      </c>
      <c r="AP2587" s="9">
        <v>2.8463703103152205</v>
      </c>
    </row>
    <row r="2588" spans="40:42" x14ac:dyDescent="0.3">
      <c r="AN2588">
        <v>2584</v>
      </c>
      <c r="AO2588" s="11">
        <v>34425.17</v>
      </c>
      <c r="AP2588" s="9">
        <v>3.4016395915638289</v>
      </c>
    </row>
    <row r="2589" spans="40:42" x14ac:dyDescent="0.3">
      <c r="AN2589">
        <v>2585</v>
      </c>
      <c r="AO2589" s="11">
        <v>28566.23</v>
      </c>
      <c r="AP2589" s="9">
        <v>3.4738714448446757</v>
      </c>
    </row>
    <row r="2590" spans="40:42" x14ac:dyDescent="0.3">
      <c r="AN2590">
        <v>2586</v>
      </c>
      <c r="AO2590" s="11">
        <v>28695.97</v>
      </c>
      <c r="AP2590" s="9">
        <v>3.1351179014085031</v>
      </c>
    </row>
    <row r="2591" spans="40:42" x14ac:dyDescent="0.3">
      <c r="AN2591">
        <v>2587</v>
      </c>
      <c r="AO2591" s="11">
        <v>33109.86</v>
      </c>
      <c r="AP2591" s="9">
        <v>3.4819581404019391</v>
      </c>
    </row>
    <row r="2592" spans="40:42" x14ac:dyDescent="0.3">
      <c r="AN2592">
        <v>2588</v>
      </c>
      <c r="AO2592" s="11">
        <v>28588.99</v>
      </c>
      <c r="AP2592" s="9">
        <v>3.602878987404559</v>
      </c>
    </row>
    <row r="2593" spans="40:42" x14ac:dyDescent="0.3">
      <c r="AN2593">
        <v>2589</v>
      </c>
      <c r="AO2593" s="11">
        <v>22056.34</v>
      </c>
      <c r="AP2593" s="9">
        <v>3.6817703585863777</v>
      </c>
    </row>
    <row r="2594" spans="40:42" x14ac:dyDescent="0.3">
      <c r="AN2594">
        <v>2590</v>
      </c>
      <c r="AO2594" s="11">
        <v>24850.240000000002</v>
      </c>
      <c r="AP2594" s="9">
        <v>3.1127423477304186</v>
      </c>
    </row>
    <row r="2595" spans="40:42" x14ac:dyDescent="0.3">
      <c r="AN2595">
        <v>2591</v>
      </c>
      <c r="AO2595" s="11">
        <v>25503.35</v>
      </c>
      <c r="AP2595" s="9">
        <v>2.6237881124945148</v>
      </c>
    </row>
    <row r="2596" spans="40:42" x14ac:dyDescent="0.3">
      <c r="AN2596">
        <v>2592</v>
      </c>
      <c r="AO2596" s="11">
        <v>28286.7</v>
      </c>
      <c r="AP2596" s="9">
        <v>2.993732726768779</v>
      </c>
    </row>
    <row r="2597" spans="40:42" x14ac:dyDescent="0.3">
      <c r="AN2597">
        <v>2593</v>
      </c>
      <c r="AO2597" s="11">
        <v>28317.87</v>
      </c>
      <c r="AP2597" s="9">
        <v>3.7860340941603736</v>
      </c>
    </row>
    <row r="2598" spans="40:42" x14ac:dyDescent="0.3">
      <c r="AN2598">
        <v>2594</v>
      </c>
      <c r="AO2598" s="11">
        <v>25705.360000000001</v>
      </c>
      <c r="AP2598" s="9">
        <v>3.0243232290385715</v>
      </c>
    </row>
    <row r="2599" spans="40:42" x14ac:dyDescent="0.3">
      <c r="AN2599">
        <v>2595</v>
      </c>
      <c r="AO2599" s="11">
        <v>24647.67</v>
      </c>
      <c r="AP2599" s="9">
        <v>3.5657888833254536</v>
      </c>
    </row>
    <row r="2600" spans="40:42" x14ac:dyDescent="0.3">
      <c r="AN2600">
        <v>2596</v>
      </c>
      <c r="AO2600" s="11">
        <v>22041.86</v>
      </c>
      <c r="AP2600" s="9">
        <v>3.0439349211420574</v>
      </c>
    </row>
    <row r="2601" spans="40:42" x14ac:dyDescent="0.3">
      <c r="AN2601">
        <v>2597</v>
      </c>
      <c r="AO2601" s="11">
        <v>24640.86</v>
      </c>
      <c r="AP2601" s="9">
        <v>2.8396565279957544</v>
      </c>
    </row>
    <row r="2602" spans="40:42" x14ac:dyDescent="0.3">
      <c r="AN2602">
        <v>2598</v>
      </c>
      <c r="AO2602" s="11">
        <v>27659.279999999999</v>
      </c>
      <c r="AP2602" s="9">
        <v>3.5990257753473327</v>
      </c>
    </row>
    <row r="2603" spans="40:42" x14ac:dyDescent="0.3">
      <c r="AN2603">
        <v>2599</v>
      </c>
      <c r="AO2603" s="11">
        <v>16142.52</v>
      </c>
      <c r="AP2603" s="9">
        <v>2.9938883153254534</v>
      </c>
    </row>
    <row r="2604" spans="40:42" x14ac:dyDescent="0.3">
      <c r="AN2604">
        <v>2600</v>
      </c>
      <c r="AO2604" s="11">
        <v>25572.84</v>
      </c>
      <c r="AP2604" s="9">
        <v>3.57636828208136</v>
      </c>
    </row>
    <row r="2605" spans="40:42" x14ac:dyDescent="0.3">
      <c r="AN2605">
        <v>2601</v>
      </c>
      <c r="AO2605" s="11">
        <v>27253.34</v>
      </c>
      <c r="AP2605" s="9">
        <v>3.1815914831495213</v>
      </c>
    </row>
    <row r="2606" spans="40:42" x14ac:dyDescent="0.3">
      <c r="AN2606">
        <v>2602</v>
      </c>
      <c r="AO2606" s="11">
        <v>26299.59</v>
      </c>
      <c r="AP2606" s="9">
        <v>3.1381159974853583</v>
      </c>
    </row>
    <row r="2607" spans="40:42" x14ac:dyDescent="0.3">
      <c r="AN2607">
        <v>2603</v>
      </c>
      <c r="AO2607" s="11">
        <v>30233.58</v>
      </c>
      <c r="AP2607" s="9">
        <v>3.5337161674558661</v>
      </c>
    </row>
    <row r="2608" spans="40:42" x14ac:dyDescent="0.3">
      <c r="AN2608">
        <v>2604</v>
      </c>
      <c r="AO2608" s="11">
        <v>27344.78</v>
      </c>
      <c r="AP2608" s="9">
        <v>2.9000040593561884</v>
      </c>
    </row>
    <row r="2609" spans="40:42" x14ac:dyDescent="0.3">
      <c r="AN2609">
        <v>2605</v>
      </c>
      <c r="AO2609" s="11">
        <v>29087.66</v>
      </c>
      <c r="AP2609" s="9">
        <v>3.2710210950759562</v>
      </c>
    </row>
    <row r="2610" spans="40:42" x14ac:dyDescent="0.3">
      <c r="AN2610">
        <v>2606</v>
      </c>
      <c r="AO2610" s="11">
        <v>35345.760000000002</v>
      </c>
      <c r="AP2610" s="9">
        <v>3.8029390944017307</v>
      </c>
    </row>
    <row r="2611" spans="40:42" x14ac:dyDescent="0.3">
      <c r="AN2611">
        <v>2607</v>
      </c>
      <c r="AO2611" s="11">
        <v>33176.550000000003</v>
      </c>
      <c r="AP2611" s="9">
        <v>3.5569098491661078</v>
      </c>
    </row>
    <row r="2612" spans="40:42" x14ac:dyDescent="0.3">
      <c r="AN2612">
        <v>2608</v>
      </c>
      <c r="AO2612" s="11">
        <v>32955.86</v>
      </c>
      <c r="AP2612" s="9">
        <v>3.5897618406072316</v>
      </c>
    </row>
    <row r="2613" spans="40:42" x14ac:dyDescent="0.3">
      <c r="AN2613">
        <v>2609</v>
      </c>
      <c r="AO2613" s="11">
        <v>34079.019999999997</v>
      </c>
      <c r="AP2613" s="9">
        <v>3.8781303461134202</v>
      </c>
    </row>
    <row r="2614" spans="40:42" x14ac:dyDescent="0.3">
      <c r="AN2614">
        <v>2610</v>
      </c>
      <c r="AO2614" s="11">
        <v>34362.959999999999</v>
      </c>
      <c r="AP2614" s="9">
        <v>4.0338307796294819</v>
      </c>
    </row>
    <row r="2615" spans="40:42" x14ac:dyDescent="0.3">
      <c r="AN2615">
        <v>2611</v>
      </c>
      <c r="AO2615" s="11">
        <v>31139.65</v>
      </c>
      <c r="AP2615" s="9">
        <v>3.8346128080959603</v>
      </c>
    </row>
    <row r="2616" spans="40:42" x14ac:dyDescent="0.3">
      <c r="AN2616">
        <v>2612</v>
      </c>
      <c r="AO2616" s="11">
        <v>24997.43</v>
      </c>
      <c r="AP2616" s="9">
        <v>3.3236639889249857</v>
      </c>
    </row>
    <row r="2617" spans="40:42" x14ac:dyDescent="0.3">
      <c r="AN2617">
        <v>2613</v>
      </c>
      <c r="AO2617" s="11">
        <v>30805.55</v>
      </c>
      <c r="AP2617" s="9">
        <v>3.9574528361425672</v>
      </c>
    </row>
    <row r="2618" spans="40:42" x14ac:dyDescent="0.3">
      <c r="AN2618">
        <v>2614</v>
      </c>
      <c r="AO2618" s="11">
        <v>25516.31</v>
      </c>
      <c r="AP2618" s="9">
        <v>3.4259639664079922</v>
      </c>
    </row>
    <row r="2619" spans="40:42" x14ac:dyDescent="0.3">
      <c r="AN2619">
        <v>2615</v>
      </c>
      <c r="AO2619" s="11">
        <v>22316.11</v>
      </c>
      <c r="AP2619" s="9">
        <v>3.2816154280218357</v>
      </c>
    </row>
    <row r="2620" spans="40:42" x14ac:dyDescent="0.3">
      <c r="AN2620">
        <v>2616</v>
      </c>
      <c r="AO2620" s="11">
        <v>27670.63</v>
      </c>
      <c r="AP2620" s="9">
        <v>3.9889003004060992</v>
      </c>
    </row>
    <row r="2621" spans="40:42" x14ac:dyDescent="0.3">
      <c r="AN2621">
        <v>2617</v>
      </c>
      <c r="AO2621" s="11">
        <v>17034.48</v>
      </c>
      <c r="AP2621" s="9">
        <v>3.3775519364478463</v>
      </c>
    </row>
    <row r="2622" spans="40:42" x14ac:dyDescent="0.3">
      <c r="AN2622">
        <v>2618</v>
      </c>
      <c r="AO2622" s="11">
        <v>18145.32</v>
      </c>
      <c r="AP2622" s="9">
        <v>3.0595221984019498</v>
      </c>
    </row>
    <row r="2623" spans="40:42" x14ac:dyDescent="0.3">
      <c r="AN2623">
        <v>2619</v>
      </c>
      <c r="AO2623" s="11">
        <v>31568.51</v>
      </c>
      <c r="AP2623" s="9">
        <v>3.6484489046977098</v>
      </c>
    </row>
    <row r="2624" spans="40:42" x14ac:dyDescent="0.3">
      <c r="AN2624">
        <v>2620</v>
      </c>
      <c r="AO2624" s="11">
        <v>30731.56</v>
      </c>
      <c r="AP2624" s="9">
        <v>2.7236983805360815</v>
      </c>
    </row>
    <row r="2625" spans="40:42" x14ac:dyDescent="0.3">
      <c r="AN2625">
        <v>2621</v>
      </c>
      <c r="AO2625" s="11">
        <v>25703.89</v>
      </c>
      <c r="AP2625" s="9">
        <v>2.9440137850371122</v>
      </c>
    </row>
    <row r="2626" spans="40:42" x14ac:dyDescent="0.3">
      <c r="AN2626">
        <v>2622</v>
      </c>
      <c r="AO2626" s="11">
        <v>44229.36</v>
      </c>
      <c r="AP2626" s="9">
        <v>3.4661998392430924</v>
      </c>
    </row>
    <row r="2627" spans="40:42" x14ac:dyDescent="0.3">
      <c r="AN2627">
        <v>2623</v>
      </c>
      <c r="AO2627" s="11">
        <v>26068.83</v>
      </c>
      <c r="AP2627" s="9">
        <v>3.2208892295265676</v>
      </c>
    </row>
    <row r="2628" spans="40:42" x14ac:dyDescent="0.3">
      <c r="AN2628">
        <v>2624</v>
      </c>
      <c r="AO2628" s="11">
        <v>31532.74</v>
      </c>
      <c r="AP2628" s="9">
        <v>3.4837152604904609</v>
      </c>
    </row>
    <row r="2629" spans="40:42" x14ac:dyDescent="0.3">
      <c r="AN2629">
        <v>2625</v>
      </c>
      <c r="AO2629" s="11">
        <v>23274.02</v>
      </c>
      <c r="AP2629" s="9">
        <v>2.9421796173322554</v>
      </c>
    </row>
    <row r="2630" spans="40:42" x14ac:dyDescent="0.3">
      <c r="AN2630">
        <v>2626</v>
      </c>
      <c r="AO2630" s="11">
        <v>27160.61</v>
      </c>
      <c r="AP2630" s="9">
        <v>3.4966526811612857</v>
      </c>
    </row>
    <row r="2631" spans="40:42" x14ac:dyDescent="0.3">
      <c r="AN2631">
        <v>2627</v>
      </c>
      <c r="AO2631" s="11">
        <v>36042.17</v>
      </c>
      <c r="AP2631" s="9">
        <v>3.7844797814704609</v>
      </c>
    </row>
    <row r="2632" spans="40:42" x14ac:dyDescent="0.3">
      <c r="AN2632">
        <v>2628</v>
      </c>
      <c r="AO2632" s="11">
        <v>17895.66</v>
      </c>
      <c r="AP2632" s="9">
        <v>3.1346800383852269</v>
      </c>
    </row>
    <row r="2633" spans="40:42" x14ac:dyDescent="0.3">
      <c r="AN2633">
        <v>2629</v>
      </c>
      <c r="AO2633" s="11">
        <v>29511.79</v>
      </c>
      <c r="AP2633" s="9">
        <v>3.463745209129665</v>
      </c>
    </row>
    <row r="2634" spans="40:42" x14ac:dyDescent="0.3">
      <c r="AN2634">
        <v>2630</v>
      </c>
      <c r="AO2634" s="11">
        <v>17526.55</v>
      </c>
      <c r="AP2634" s="9">
        <v>3.1183291364917474</v>
      </c>
    </row>
    <row r="2635" spans="40:42" x14ac:dyDescent="0.3">
      <c r="AN2635">
        <v>2631</v>
      </c>
      <c r="AO2635" s="11">
        <v>22930.27</v>
      </c>
      <c r="AP2635" s="9">
        <v>3.750368133948069</v>
      </c>
    </row>
    <row r="2636" spans="40:42" x14ac:dyDescent="0.3">
      <c r="AN2636">
        <v>2632</v>
      </c>
      <c r="AO2636" s="11">
        <v>17645.03</v>
      </c>
      <c r="AP2636" s="9">
        <v>2.7324854043448643</v>
      </c>
    </row>
    <row r="2637" spans="40:42" x14ac:dyDescent="0.3">
      <c r="AN2637">
        <v>2633</v>
      </c>
      <c r="AO2637" s="11">
        <v>21942.15</v>
      </c>
      <c r="AP2637" s="9">
        <v>3.0762414134370397</v>
      </c>
    </row>
    <row r="2638" spans="40:42" x14ac:dyDescent="0.3">
      <c r="AN2638">
        <v>2634</v>
      </c>
      <c r="AO2638" s="11">
        <v>32801.279999999999</v>
      </c>
      <c r="AP2638" s="9">
        <v>3.7879626812230476</v>
      </c>
    </row>
    <row r="2639" spans="40:42" x14ac:dyDescent="0.3">
      <c r="AN2639">
        <v>2635</v>
      </c>
      <c r="AO2639" s="11">
        <v>16476.75</v>
      </c>
      <c r="AP2639" s="9">
        <v>2.8732252145610317</v>
      </c>
    </row>
    <row r="2640" spans="40:42" x14ac:dyDescent="0.3">
      <c r="AN2640">
        <v>2636</v>
      </c>
      <c r="AO2640" s="11">
        <v>25772.240000000002</v>
      </c>
      <c r="AP2640" s="9">
        <v>3.1440739391635915</v>
      </c>
    </row>
    <row r="2641" spans="40:42" x14ac:dyDescent="0.3">
      <c r="AN2641">
        <v>2637</v>
      </c>
      <c r="AO2641" s="11">
        <v>30473.96</v>
      </c>
      <c r="AP2641" s="9">
        <v>3.8318670934153514</v>
      </c>
    </row>
    <row r="2642" spans="40:42" x14ac:dyDescent="0.3">
      <c r="AN2642">
        <v>2638</v>
      </c>
      <c r="AO2642" s="11">
        <v>21777.94</v>
      </c>
      <c r="AP2642" s="9">
        <v>3.6586939445013575</v>
      </c>
    </row>
    <row r="2643" spans="40:42" x14ac:dyDescent="0.3">
      <c r="AN2643">
        <v>2639</v>
      </c>
      <c r="AO2643" s="11">
        <v>29079.52</v>
      </c>
      <c r="AP2643" s="9">
        <v>3.493320850996493</v>
      </c>
    </row>
    <row r="2644" spans="40:42" x14ac:dyDescent="0.3">
      <c r="AN2644">
        <v>2640</v>
      </c>
      <c r="AO2644" s="11">
        <v>24603.29</v>
      </c>
      <c r="AP2644" s="9">
        <v>3.0160329986609797</v>
      </c>
    </row>
    <row r="2645" spans="40:42" x14ac:dyDescent="0.3">
      <c r="AN2645">
        <v>2641</v>
      </c>
      <c r="AO2645" s="11">
        <v>20602.849999999999</v>
      </c>
      <c r="AP2645" s="9">
        <v>3.6651109130719233</v>
      </c>
    </row>
    <row r="2646" spans="40:42" x14ac:dyDescent="0.3">
      <c r="AN2646">
        <v>2642</v>
      </c>
      <c r="AO2646" s="11">
        <v>17723.990000000002</v>
      </c>
      <c r="AP2646" s="9">
        <v>3.1353366318849702</v>
      </c>
    </row>
    <row r="2647" spans="40:42" x14ac:dyDescent="0.3">
      <c r="AN2647">
        <v>2643</v>
      </c>
      <c r="AO2647" s="11">
        <v>28568.5</v>
      </c>
      <c r="AP2647" s="9">
        <v>4.0357269841199725</v>
      </c>
    </row>
    <row r="2648" spans="40:42" x14ac:dyDescent="0.3">
      <c r="AN2648">
        <v>2644</v>
      </c>
      <c r="AO2648" s="11">
        <v>26034.46</v>
      </c>
      <c r="AP2648" s="9">
        <v>3.66159573992313</v>
      </c>
    </row>
    <row r="2649" spans="40:42" x14ac:dyDescent="0.3">
      <c r="AN2649">
        <v>2645</v>
      </c>
      <c r="AO2649" s="11">
        <v>25779.79</v>
      </c>
      <c r="AP2649" s="9">
        <v>3.635601313844163</v>
      </c>
    </row>
    <row r="2650" spans="40:42" x14ac:dyDescent="0.3">
      <c r="AN2650">
        <v>2646</v>
      </c>
      <c r="AO2650" s="11">
        <v>21102.14</v>
      </c>
      <c r="AP2650" s="9">
        <v>2.8096922928586787</v>
      </c>
    </row>
    <row r="2651" spans="40:42" x14ac:dyDescent="0.3">
      <c r="AN2651">
        <v>2647</v>
      </c>
      <c r="AO2651" s="11">
        <v>27203.81</v>
      </c>
      <c r="AP2651" s="9">
        <v>3.5422985448454734</v>
      </c>
    </row>
    <row r="2652" spans="40:42" x14ac:dyDescent="0.3">
      <c r="AN2652">
        <v>2648</v>
      </c>
      <c r="AO2652" s="11">
        <v>26205.72</v>
      </c>
      <c r="AP2652" s="9">
        <v>3.0696063313675488</v>
      </c>
    </row>
    <row r="2653" spans="40:42" x14ac:dyDescent="0.3">
      <c r="AN2653">
        <v>2649</v>
      </c>
      <c r="AO2653" s="11">
        <v>29040.33</v>
      </c>
      <c r="AP2653" s="9">
        <v>3.0463491925948203</v>
      </c>
    </row>
    <row r="2654" spans="40:42" x14ac:dyDescent="0.3">
      <c r="AN2654">
        <v>2650</v>
      </c>
      <c r="AO2654" s="11">
        <v>12411.06</v>
      </c>
      <c r="AP2654" s="9">
        <v>2.7345992550669798</v>
      </c>
    </row>
    <row r="2655" spans="40:42" x14ac:dyDescent="0.3">
      <c r="AN2655">
        <v>2651</v>
      </c>
      <c r="AO2655" s="11">
        <v>20911.84</v>
      </c>
      <c r="AP2655" s="9">
        <v>3.1004138750787291</v>
      </c>
    </row>
    <row r="2656" spans="40:42" x14ac:dyDescent="0.3">
      <c r="AN2656">
        <v>2652</v>
      </c>
      <c r="AO2656" s="11">
        <v>30152.03</v>
      </c>
      <c r="AP2656" s="9">
        <v>3.1057973566893913</v>
      </c>
    </row>
    <row r="2657" spans="40:42" x14ac:dyDescent="0.3">
      <c r="AN2657">
        <v>2653</v>
      </c>
      <c r="AO2657" s="11">
        <v>33141.83</v>
      </c>
      <c r="AP2657" s="9">
        <v>3.2203526056807026</v>
      </c>
    </row>
    <row r="2658" spans="40:42" x14ac:dyDescent="0.3">
      <c r="AN2658">
        <v>2654</v>
      </c>
      <c r="AO2658" s="11">
        <v>33269.24</v>
      </c>
      <c r="AP2658" s="9">
        <v>3.0646676255436649</v>
      </c>
    </row>
    <row r="2659" spans="40:42" x14ac:dyDescent="0.3">
      <c r="AN2659">
        <v>2655</v>
      </c>
      <c r="AO2659" s="11">
        <v>28050.27</v>
      </c>
      <c r="AP2659" s="9">
        <v>3.1289590489138055</v>
      </c>
    </row>
    <row r="2660" spans="40:42" x14ac:dyDescent="0.3">
      <c r="AN2660">
        <v>2656</v>
      </c>
      <c r="AO2660" s="11">
        <v>34674.449999999997</v>
      </c>
      <c r="AP2660" s="9">
        <v>3.0660562911973099</v>
      </c>
    </row>
    <row r="2661" spans="40:42" x14ac:dyDescent="0.3">
      <c r="AN2661">
        <v>2657</v>
      </c>
      <c r="AO2661" s="11">
        <v>29965.25</v>
      </c>
      <c r="AP2661" s="9">
        <v>3.5319265521628496</v>
      </c>
    </row>
    <row r="2662" spans="40:42" x14ac:dyDescent="0.3">
      <c r="AN2662">
        <v>2658</v>
      </c>
      <c r="AO2662" s="11">
        <v>27241.42</v>
      </c>
      <c r="AP2662" s="9">
        <v>3.7523028977828337</v>
      </c>
    </row>
    <row r="2663" spans="40:42" x14ac:dyDescent="0.3">
      <c r="AN2663">
        <v>2659</v>
      </c>
      <c r="AO2663" s="11">
        <v>21843.54</v>
      </c>
      <c r="AP2663" s="9">
        <v>3.1414578043730006</v>
      </c>
    </row>
    <row r="2664" spans="40:42" x14ac:dyDescent="0.3">
      <c r="AN2664">
        <v>2660</v>
      </c>
      <c r="AO2664" s="11">
        <v>32102.2</v>
      </c>
      <c r="AP2664" s="9">
        <v>3.3830777448730793</v>
      </c>
    </row>
    <row r="2665" spans="40:42" x14ac:dyDescent="0.3">
      <c r="AN2665">
        <v>2661</v>
      </c>
      <c r="AO2665" s="11">
        <v>23488.58</v>
      </c>
      <c r="AP2665" s="9">
        <v>2.8322428809893347</v>
      </c>
    </row>
    <row r="2666" spans="40:42" x14ac:dyDescent="0.3">
      <c r="AN2666">
        <v>2662</v>
      </c>
      <c r="AO2666" s="11">
        <v>35589.17</v>
      </c>
      <c r="AP2666" s="9">
        <v>3.0960237535818691</v>
      </c>
    </row>
    <row r="2667" spans="40:42" x14ac:dyDescent="0.3">
      <c r="AN2667">
        <v>2663</v>
      </c>
      <c r="AO2667" s="11">
        <v>29185.7</v>
      </c>
      <c r="AP2667" s="9">
        <v>3.2679928380952092</v>
      </c>
    </row>
    <row r="2668" spans="40:42" x14ac:dyDescent="0.3">
      <c r="AN2668">
        <v>2664</v>
      </c>
      <c r="AO2668" s="11">
        <v>40288.78</v>
      </c>
      <c r="AP2668" s="9">
        <v>3.6733306462642434</v>
      </c>
    </row>
    <row r="2669" spans="40:42" x14ac:dyDescent="0.3">
      <c r="AN2669">
        <v>2665</v>
      </c>
      <c r="AO2669" s="11">
        <v>21645.17</v>
      </c>
      <c r="AP2669" s="9">
        <v>3.5177806988118778</v>
      </c>
    </row>
    <row r="2670" spans="40:42" x14ac:dyDescent="0.3">
      <c r="AN2670">
        <v>2666</v>
      </c>
      <c r="AO2670" s="11">
        <v>28971.97</v>
      </c>
      <c r="AP2670" s="9">
        <v>3.321876788091616</v>
      </c>
    </row>
    <row r="2671" spans="40:42" x14ac:dyDescent="0.3">
      <c r="AN2671">
        <v>2667</v>
      </c>
      <c r="AO2671" s="11">
        <v>23750.240000000002</v>
      </c>
      <c r="AP2671" s="9">
        <v>3.3946674292023267</v>
      </c>
    </row>
    <row r="2672" spans="40:42" x14ac:dyDescent="0.3">
      <c r="AN2672">
        <v>2668</v>
      </c>
      <c r="AO2672" s="11">
        <v>19773.23</v>
      </c>
      <c r="AP2672" s="9">
        <v>3.3260001010619411</v>
      </c>
    </row>
    <row r="2673" spans="40:42" x14ac:dyDescent="0.3">
      <c r="AN2673">
        <v>2669</v>
      </c>
      <c r="AO2673" s="11">
        <v>28352.94</v>
      </c>
      <c r="AP2673" s="9">
        <v>3.5868424647596728</v>
      </c>
    </row>
    <row r="2674" spans="40:42" x14ac:dyDescent="0.3">
      <c r="AN2674">
        <v>2670</v>
      </c>
      <c r="AO2674" s="11">
        <v>34374.339999999997</v>
      </c>
      <c r="AP2674" s="9">
        <v>3.8640935757383494</v>
      </c>
    </row>
    <row r="2675" spans="40:42" x14ac:dyDescent="0.3">
      <c r="AN2675">
        <v>2671</v>
      </c>
      <c r="AO2675" s="11">
        <v>26755.55</v>
      </c>
      <c r="AP2675" s="9">
        <v>2.9685765789026002</v>
      </c>
    </row>
    <row r="2676" spans="40:42" x14ac:dyDescent="0.3">
      <c r="AN2676">
        <v>2672</v>
      </c>
      <c r="AO2676" s="11">
        <v>28707.5</v>
      </c>
      <c r="AP2676" s="9">
        <v>3.5459212266443831</v>
      </c>
    </row>
    <row r="2677" spans="40:42" x14ac:dyDescent="0.3">
      <c r="AN2677">
        <v>2673</v>
      </c>
      <c r="AO2677" s="11">
        <v>27701.39</v>
      </c>
      <c r="AP2677" s="9">
        <v>3.4032467359352694</v>
      </c>
    </row>
    <row r="2678" spans="40:42" x14ac:dyDescent="0.3">
      <c r="AN2678">
        <v>2674</v>
      </c>
      <c r="AO2678" s="11">
        <v>23273.96</v>
      </c>
      <c r="AP2678" s="9">
        <v>3.2393885621543772</v>
      </c>
    </row>
    <row r="2679" spans="40:42" x14ac:dyDescent="0.3">
      <c r="AN2679">
        <v>2675</v>
      </c>
      <c r="AO2679" s="11">
        <v>25215.64</v>
      </c>
      <c r="AP2679" s="9">
        <v>3.1537577532921208</v>
      </c>
    </row>
    <row r="2680" spans="40:42" x14ac:dyDescent="0.3">
      <c r="AN2680">
        <v>2676</v>
      </c>
      <c r="AO2680" s="11">
        <v>20803.52</v>
      </c>
      <c r="AP2680" s="9">
        <v>3.9548418742272036</v>
      </c>
    </row>
    <row r="2681" spans="40:42" x14ac:dyDescent="0.3">
      <c r="AN2681">
        <v>2677</v>
      </c>
      <c r="AO2681" s="11">
        <v>44329.760000000002</v>
      </c>
      <c r="AP2681" s="9">
        <v>3.5015081014049967</v>
      </c>
    </row>
    <row r="2682" spans="40:42" x14ac:dyDescent="0.3">
      <c r="AN2682">
        <v>2678</v>
      </c>
      <c r="AO2682" s="11">
        <v>31886.33</v>
      </c>
      <c r="AP2682" s="9">
        <v>3.4211599694057813</v>
      </c>
    </row>
    <row r="2683" spans="40:42" x14ac:dyDescent="0.3">
      <c r="AN2683">
        <v>2679</v>
      </c>
      <c r="AO2683" s="11">
        <v>29101.21</v>
      </c>
      <c r="AP2683" s="9">
        <v>3.1157739452450213</v>
      </c>
    </row>
    <row r="2684" spans="40:42" x14ac:dyDescent="0.3">
      <c r="AN2684">
        <v>2680</v>
      </c>
      <c r="AO2684" s="11">
        <v>20572.22</v>
      </c>
      <c r="AP2684" s="9">
        <v>3.3093340096595485</v>
      </c>
    </row>
    <row r="2685" spans="40:42" x14ac:dyDescent="0.3">
      <c r="AN2685">
        <v>2681</v>
      </c>
      <c r="AO2685" s="11">
        <v>28145.360000000001</v>
      </c>
      <c r="AP2685" s="9">
        <v>3.6743149439311669</v>
      </c>
    </row>
    <row r="2686" spans="40:42" x14ac:dyDescent="0.3">
      <c r="AN2686">
        <v>2682</v>
      </c>
      <c r="AO2686" s="11">
        <v>46329.11</v>
      </c>
      <c r="AP2686" s="9">
        <v>4.2137982909032425</v>
      </c>
    </row>
    <row r="2687" spans="40:42" x14ac:dyDescent="0.3">
      <c r="AN2687">
        <v>2683</v>
      </c>
      <c r="AO2687" s="11">
        <v>19954.91</v>
      </c>
      <c r="AP2687" s="9">
        <v>2.9351856556451796</v>
      </c>
    </row>
    <row r="2688" spans="40:42" x14ac:dyDescent="0.3">
      <c r="AN2688">
        <v>2684</v>
      </c>
      <c r="AO2688" s="11">
        <v>26272.93</v>
      </c>
      <c r="AP2688" s="9">
        <v>2.8408288199663447</v>
      </c>
    </row>
    <row r="2689" spans="40:42" x14ac:dyDescent="0.3">
      <c r="AN2689">
        <v>2685</v>
      </c>
      <c r="AO2689" s="11">
        <v>28186.46</v>
      </c>
      <c r="AP2689" s="9">
        <v>3.3358678513313986</v>
      </c>
    </row>
    <row r="2690" spans="40:42" x14ac:dyDescent="0.3">
      <c r="AN2690">
        <v>2686</v>
      </c>
      <c r="AO2690" s="11">
        <v>24271.65</v>
      </c>
      <c r="AP2690" s="9">
        <v>3.2480515814422719</v>
      </c>
    </row>
    <row r="2691" spans="40:42" x14ac:dyDescent="0.3">
      <c r="AN2691">
        <v>2687</v>
      </c>
      <c r="AO2691" s="11">
        <v>20352.400000000001</v>
      </c>
      <c r="AP2691" s="9">
        <v>3.3014524522819619</v>
      </c>
    </row>
    <row r="2692" spans="40:42" x14ac:dyDescent="0.3">
      <c r="AN2692">
        <v>2688</v>
      </c>
      <c r="AO2692" s="11">
        <v>16683.79</v>
      </c>
      <c r="AP2692" s="9">
        <v>3.1752037307937728</v>
      </c>
    </row>
    <row r="2693" spans="40:42" x14ac:dyDescent="0.3">
      <c r="AN2693">
        <v>2689</v>
      </c>
      <c r="AO2693" s="11">
        <v>15645.54</v>
      </c>
      <c r="AP2693" s="9">
        <v>3.1588916738118744</v>
      </c>
    </row>
    <row r="2694" spans="40:42" x14ac:dyDescent="0.3">
      <c r="AN2694">
        <v>2690</v>
      </c>
      <c r="AO2694" s="11">
        <v>30120.5</v>
      </c>
      <c r="AP2694" s="9">
        <v>4.5980063241301163</v>
      </c>
    </row>
    <row r="2695" spans="40:42" x14ac:dyDescent="0.3">
      <c r="AN2695">
        <v>2691</v>
      </c>
      <c r="AO2695" s="11">
        <v>36678.74</v>
      </c>
      <c r="AP2695" s="9">
        <v>3.8055477843373593</v>
      </c>
    </row>
    <row r="2696" spans="40:42" x14ac:dyDescent="0.3">
      <c r="AN2696">
        <v>2692</v>
      </c>
      <c r="AO2696" s="11">
        <v>32368.639999999999</v>
      </c>
      <c r="AP2696" s="9">
        <v>3.6410217313996975</v>
      </c>
    </row>
    <row r="2697" spans="40:42" x14ac:dyDescent="0.3">
      <c r="AN2697">
        <v>2693</v>
      </c>
      <c r="AO2697" s="11">
        <v>21024.69</v>
      </c>
      <c r="AP2697" s="9">
        <v>3.1826022049666656</v>
      </c>
    </row>
    <row r="2698" spans="40:42" x14ac:dyDescent="0.3">
      <c r="AN2698">
        <v>2694</v>
      </c>
      <c r="AO2698" s="11">
        <v>16836.919999999998</v>
      </c>
      <c r="AP2698" s="9">
        <v>3.0944447112268954</v>
      </c>
    </row>
    <row r="2699" spans="40:42" x14ac:dyDescent="0.3">
      <c r="AN2699">
        <v>2695</v>
      </c>
      <c r="AO2699" s="11">
        <v>40974.03</v>
      </c>
      <c r="AP2699" s="9">
        <v>4.0711188650234549</v>
      </c>
    </row>
    <row r="2700" spans="40:42" x14ac:dyDescent="0.3">
      <c r="AN2700">
        <v>2696</v>
      </c>
      <c r="AO2700" s="11">
        <v>63382</v>
      </c>
      <c r="AP2700" s="9">
        <v>4.2610364111977956</v>
      </c>
    </row>
    <row r="2701" spans="40:42" x14ac:dyDescent="0.3">
      <c r="AN2701">
        <v>2697</v>
      </c>
      <c r="AO2701" s="11">
        <v>36597.67</v>
      </c>
      <c r="AP2701" s="9">
        <v>4.3051290197654337</v>
      </c>
    </row>
    <row r="2702" spans="40:42" x14ac:dyDescent="0.3">
      <c r="AN2702">
        <v>2698</v>
      </c>
      <c r="AO2702" s="11">
        <v>22097.49</v>
      </c>
      <c r="AP2702" s="9">
        <v>3.5831313352083649</v>
      </c>
    </row>
    <row r="2703" spans="40:42" x14ac:dyDescent="0.3">
      <c r="AN2703">
        <v>2699</v>
      </c>
      <c r="AO2703" s="11">
        <v>33784.04</v>
      </c>
      <c r="AP2703" s="9">
        <v>3.1265756697730374</v>
      </c>
    </row>
    <row r="2704" spans="40:42" x14ac:dyDescent="0.3">
      <c r="AN2704">
        <v>2700</v>
      </c>
      <c r="AO2704" s="11">
        <v>22137.72</v>
      </c>
      <c r="AP2704" s="9">
        <v>2.9964957414787476</v>
      </c>
    </row>
    <row r="2705" spans="40:42" x14ac:dyDescent="0.3">
      <c r="AN2705">
        <v>2701</v>
      </c>
      <c r="AO2705" s="11">
        <v>25428.04</v>
      </c>
      <c r="AP2705" s="9">
        <v>3.1494345060848805</v>
      </c>
    </row>
    <row r="2706" spans="40:42" x14ac:dyDescent="0.3">
      <c r="AN2706">
        <v>2702</v>
      </c>
      <c r="AO2706" s="11">
        <v>21901.29</v>
      </c>
      <c r="AP2706" s="9">
        <v>3.893005323819557</v>
      </c>
    </row>
    <row r="2707" spans="40:42" x14ac:dyDescent="0.3">
      <c r="AN2707">
        <v>2703</v>
      </c>
      <c r="AO2707" s="11">
        <v>31719.53</v>
      </c>
      <c r="AP2707" s="9">
        <v>4.4033092291129741</v>
      </c>
    </row>
    <row r="2708" spans="40:42" x14ac:dyDescent="0.3">
      <c r="AN2708">
        <v>2704</v>
      </c>
      <c r="AO2708" s="11">
        <v>37135.300000000003</v>
      </c>
      <c r="AP2708" s="9">
        <v>3.298695355685954</v>
      </c>
    </row>
    <row r="2709" spans="40:42" x14ac:dyDescent="0.3">
      <c r="AN2709">
        <v>2705</v>
      </c>
      <c r="AO2709" s="11">
        <v>27884.58</v>
      </c>
      <c r="AP2709" s="9">
        <v>3.3936448556215919</v>
      </c>
    </row>
    <row r="2710" spans="40:42" x14ac:dyDescent="0.3">
      <c r="AN2710">
        <v>2706</v>
      </c>
      <c r="AO2710" s="11">
        <v>27209.599999999999</v>
      </c>
      <c r="AP2710" s="9">
        <v>3.1661866887530024</v>
      </c>
    </row>
    <row r="2711" spans="40:42" x14ac:dyDescent="0.3">
      <c r="AN2711">
        <v>2707</v>
      </c>
      <c r="AO2711" s="11">
        <v>29686.11</v>
      </c>
      <c r="AP2711" s="9">
        <v>3.6192649986833918</v>
      </c>
    </row>
    <row r="2712" spans="40:42" x14ac:dyDescent="0.3">
      <c r="AN2712">
        <v>2708</v>
      </c>
      <c r="AO2712" s="11">
        <v>31228.85</v>
      </c>
      <c r="AP2712" s="9">
        <v>3.0872589529917773</v>
      </c>
    </row>
    <row r="2713" spans="40:42" x14ac:dyDescent="0.3">
      <c r="AN2713">
        <v>2709</v>
      </c>
      <c r="AO2713" s="11">
        <v>24990.37</v>
      </c>
      <c r="AP2713" s="9">
        <v>3.8451006190659474</v>
      </c>
    </row>
    <row r="2714" spans="40:42" x14ac:dyDescent="0.3">
      <c r="AN2714">
        <v>2710</v>
      </c>
      <c r="AO2714" s="11">
        <v>35168.51</v>
      </c>
      <c r="AP2714" s="9">
        <v>3.3436148126339962</v>
      </c>
    </row>
    <row r="2715" spans="40:42" x14ac:dyDescent="0.3">
      <c r="AN2715">
        <v>2711</v>
      </c>
      <c r="AO2715" s="11">
        <v>29032.07</v>
      </c>
      <c r="AP2715" s="9">
        <v>3.3386512104118262</v>
      </c>
    </row>
    <row r="2716" spans="40:42" x14ac:dyDescent="0.3">
      <c r="AN2716">
        <v>2712</v>
      </c>
      <c r="AO2716" s="11">
        <v>20480.78</v>
      </c>
      <c r="AP2716" s="9">
        <v>2.8398218704202174</v>
      </c>
    </row>
    <row r="2717" spans="40:42" x14ac:dyDescent="0.3">
      <c r="AN2717">
        <v>2713</v>
      </c>
      <c r="AO2717" s="11">
        <v>17497.900000000001</v>
      </c>
      <c r="AP2717" s="9">
        <v>3.5137978171259636</v>
      </c>
    </row>
    <row r="2718" spans="40:42" x14ac:dyDescent="0.3">
      <c r="AN2718">
        <v>2714</v>
      </c>
      <c r="AO2718" s="11">
        <v>25946.35</v>
      </c>
      <c r="AP2718" s="9">
        <v>3.2589687746414535</v>
      </c>
    </row>
    <row r="2719" spans="40:42" x14ac:dyDescent="0.3">
      <c r="AN2719">
        <v>2715</v>
      </c>
      <c r="AO2719" s="11">
        <v>19831.05</v>
      </c>
      <c r="AP2719" s="9">
        <v>2.759764348687769</v>
      </c>
    </row>
    <row r="2720" spans="40:42" x14ac:dyDescent="0.3">
      <c r="AN2720">
        <v>2716</v>
      </c>
      <c r="AO2720" s="11">
        <v>20604.37</v>
      </c>
      <c r="AP2720" s="9">
        <v>2.9635464639205353</v>
      </c>
    </row>
    <row r="2721" spans="40:42" x14ac:dyDescent="0.3">
      <c r="AN2721">
        <v>2717</v>
      </c>
      <c r="AO2721" s="11">
        <v>27028.94</v>
      </c>
      <c r="AP2721" s="9">
        <v>3.6255785290261668</v>
      </c>
    </row>
    <row r="2722" spans="40:42" x14ac:dyDescent="0.3">
      <c r="AN2722">
        <v>2718</v>
      </c>
      <c r="AO2722" s="11">
        <v>25638.22</v>
      </c>
      <c r="AP2722" s="9">
        <v>3.8113682008673395</v>
      </c>
    </row>
    <row r="2723" spans="40:42" x14ac:dyDescent="0.3">
      <c r="AN2723">
        <v>2719</v>
      </c>
      <c r="AO2723" s="11">
        <v>21274.78</v>
      </c>
      <c r="AP2723" s="9">
        <v>2.8840697281257053</v>
      </c>
    </row>
    <row r="2724" spans="40:42" x14ac:dyDescent="0.3">
      <c r="AN2724">
        <v>2720</v>
      </c>
      <c r="AO2724" s="11">
        <v>16901.02</v>
      </c>
      <c r="AP2724" s="9">
        <v>2.8292592515682911</v>
      </c>
    </row>
    <row r="2725" spans="40:42" x14ac:dyDescent="0.3">
      <c r="AN2725">
        <v>2721</v>
      </c>
      <c r="AO2725" s="11">
        <v>22145.49</v>
      </c>
      <c r="AP2725" s="9">
        <v>3.4277939059455003</v>
      </c>
    </row>
    <row r="2726" spans="40:42" x14ac:dyDescent="0.3">
      <c r="AN2726">
        <v>2722</v>
      </c>
      <c r="AO2726" s="11">
        <v>36574.050000000003</v>
      </c>
      <c r="AP2726" s="9">
        <v>3.3481611916648242</v>
      </c>
    </row>
    <row r="2727" spans="40:42" x14ac:dyDescent="0.3">
      <c r="AN2727">
        <v>2723</v>
      </c>
      <c r="AO2727" s="11">
        <v>25404.91</v>
      </c>
      <c r="AP2727" s="9">
        <v>3.4612574071680995</v>
      </c>
    </row>
    <row r="2728" spans="40:42" x14ac:dyDescent="0.3">
      <c r="AN2728">
        <v>2724</v>
      </c>
      <c r="AO2728" s="11">
        <v>20407.78</v>
      </c>
      <c r="AP2728" s="9">
        <v>3.0102977199877201</v>
      </c>
    </row>
    <row r="2729" spans="40:42" x14ac:dyDescent="0.3">
      <c r="AN2729">
        <v>2725</v>
      </c>
      <c r="AO2729" s="11">
        <v>37107.4</v>
      </c>
      <c r="AP2729" s="9">
        <v>3.8078582407181827</v>
      </c>
    </row>
    <row r="2730" spans="40:42" x14ac:dyDescent="0.3">
      <c r="AN2730">
        <v>2726</v>
      </c>
      <c r="AO2730" s="11">
        <v>30059.55</v>
      </c>
      <c r="AP2730" s="9">
        <v>3.7682012727228815</v>
      </c>
    </row>
    <row r="2731" spans="40:42" x14ac:dyDescent="0.3">
      <c r="AN2731">
        <v>2727</v>
      </c>
      <c r="AO2731" s="11">
        <v>14491.29</v>
      </c>
      <c r="AP2731" s="9">
        <v>3.4798320555225541</v>
      </c>
    </row>
    <row r="2732" spans="40:42" x14ac:dyDescent="0.3">
      <c r="AN2732">
        <v>2728</v>
      </c>
      <c r="AO2732" s="11">
        <v>21356.86</v>
      </c>
      <c r="AP2732" s="9">
        <v>3.5319396636280289</v>
      </c>
    </row>
    <row r="2733" spans="40:42" x14ac:dyDescent="0.3">
      <c r="AN2733">
        <v>2729</v>
      </c>
      <c r="AO2733" s="11">
        <v>28004.400000000001</v>
      </c>
      <c r="AP2733" s="9">
        <v>3.6464825095374969</v>
      </c>
    </row>
    <row r="2734" spans="40:42" x14ac:dyDescent="0.3">
      <c r="AN2734">
        <v>2730</v>
      </c>
      <c r="AO2734" s="11">
        <v>33138.339999999997</v>
      </c>
      <c r="AP2734" s="9">
        <v>3.6535818851026463</v>
      </c>
    </row>
    <row r="2735" spans="40:42" x14ac:dyDescent="0.3">
      <c r="AN2735">
        <v>2731</v>
      </c>
      <c r="AO2735" s="11">
        <v>28503.360000000001</v>
      </c>
      <c r="AP2735" s="9">
        <v>3.2152624910204195</v>
      </c>
    </row>
    <row r="2736" spans="40:42" x14ac:dyDescent="0.3">
      <c r="AN2736">
        <v>2732</v>
      </c>
      <c r="AO2736" s="11">
        <v>26127.81</v>
      </c>
      <c r="AP2736" s="9">
        <v>3.5982480760314051</v>
      </c>
    </row>
    <row r="2737" spans="40:42" x14ac:dyDescent="0.3">
      <c r="AN2737">
        <v>2733</v>
      </c>
      <c r="AO2737" s="11">
        <v>29766.11</v>
      </c>
      <c r="AP2737" s="9">
        <v>2.9974328042876719</v>
      </c>
    </row>
    <row r="2738" spans="40:42" x14ac:dyDescent="0.3">
      <c r="AN2738">
        <v>2734</v>
      </c>
      <c r="AO2738" s="11">
        <v>23468.76</v>
      </c>
      <c r="AP2738" s="9">
        <v>3.0703227354586136</v>
      </c>
    </row>
    <row r="2739" spans="40:42" x14ac:dyDescent="0.3">
      <c r="AN2739">
        <v>2735</v>
      </c>
      <c r="AO2739" s="11">
        <v>24264.05</v>
      </c>
      <c r="AP2739" s="9">
        <v>3.1793973908640933</v>
      </c>
    </row>
    <row r="2740" spans="40:42" x14ac:dyDescent="0.3">
      <c r="AN2740">
        <v>2736</v>
      </c>
      <c r="AO2740" s="11">
        <v>21507.3</v>
      </c>
      <c r="AP2740" s="9">
        <v>3.5472802765593086</v>
      </c>
    </row>
    <row r="2741" spans="40:42" x14ac:dyDescent="0.3">
      <c r="AN2741">
        <v>2737</v>
      </c>
      <c r="AO2741" s="11">
        <v>25303.16</v>
      </c>
      <c r="AP2741" s="9">
        <v>4.4361006749579905</v>
      </c>
    </row>
    <row r="2742" spans="40:42" x14ac:dyDescent="0.3">
      <c r="AN2742">
        <v>2738</v>
      </c>
      <c r="AO2742" s="11">
        <v>15872.51</v>
      </c>
      <c r="AP2742" s="9">
        <v>2.9951854312868318</v>
      </c>
    </row>
    <row r="2743" spans="40:42" x14ac:dyDescent="0.3">
      <c r="AN2743">
        <v>2739</v>
      </c>
      <c r="AO2743" s="11">
        <v>32517.74</v>
      </c>
      <c r="AP2743" s="9">
        <v>3.412883908928968</v>
      </c>
    </row>
    <row r="2744" spans="40:42" x14ac:dyDescent="0.3">
      <c r="AN2744">
        <v>2740</v>
      </c>
      <c r="AO2744" s="11">
        <v>23624.36</v>
      </c>
      <c r="AP2744" s="9">
        <v>3.0304468730344629</v>
      </c>
    </row>
    <row r="2745" spans="40:42" x14ac:dyDescent="0.3">
      <c r="AN2745">
        <v>2741</v>
      </c>
      <c r="AO2745" s="11">
        <v>24109.05</v>
      </c>
      <c r="AP2745" s="9">
        <v>3.7051208247255523</v>
      </c>
    </row>
    <row r="2746" spans="40:42" x14ac:dyDescent="0.3">
      <c r="AN2746">
        <v>2742</v>
      </c>
      <c r="AO2746" s="11">
        <v>27583.79</v>
      </c>
      <c r="AP2746" s="9">
        <v>3.9466856884232873</v>
      </c>
    </row>
    <row r="2747" spans="40:42" x14ac:dyDescent="0.3">
      <c r="AN2747">
        <v>2743</v>
      </c>
      <c r="AO2747" s="11">
        <v>39396.51</v>
      </c>
      <c r="AP2747" s="9">
        <v>3.4404816531993294</v>
      </c>
    </row>
    <row r="2748" spans="40:42" x14ac:dyDescent="0.3">
      <c r="AN2748">
        <v>2744</v>
      </c>
      <c r="AO2748" s="11">
        <v>22060.720000000001</v>
      </c>
      <c r="AP2748" s="9">
        <v>2.7852269737508983</v>
      </c>
    </row>
    <row r="2749" spans="40:42" x14ac:dyDescent="0.3">
      <c r="AN2749">
        <v>2745</v>
      </c>
      <c r="AO2749" s="11">
        <v>30384.52</v>
      </c>
      <c r="AP2749" s="9">
        <v>3.2995461077888941</v>
      </c>
    </row>
    <row r="2750" spans="40:42" x14ac:dyDescent="0.3">
      <c r="AN2750">
        <v>2746</v>
      </c>
      <c r="AO2750" s="11">
        <v>35071.1</v>
      </c>
      <c r="AP2750" s="9">
        <v>3.3610504283327622</v>
      </c>
    </row>
    <row r="2751" spans="40:42" x14ac:dyDescent="0.3">
      <c r="AN2751">
        <v>2747</v>
      </c>
      <c r="AO2751" s="11">
        <v>20727.46</v>
      </c>
      <c r="AP2751" s="9">
        <v>3.5508344997205885</v>
      </c>
    </row>
    <row r="2752" spans="40:42" x14ac:dyDescent="0.3">
      <c r="AN2752">
        <v>2748</v>
      </c>
      <c r="AO2752" s="11">
        <v>30527.3</v>
      </c>
      <c r="AP2752" s="9">
        <v>3.3664209150186664</v>
      </c>
    </row>
    <row r="2753" spans="40:42" x14ac:dyDescent="0.3">
      <c r="AN2753">
        <v>2749</v>
      </c>
      <c r="AO2753" s="11">
        <v>37911.730000000003</v>
      </c>
      <c r="AP2753" s="9">
        <v>4.1119876056354911</v>
      </c>
    </row>
    <row r="2754" spans="40:42" x14ac:dyDescent="0.3">
      <c r="AN2754">
        <v>2750</v>
      </c>
      <c r="AO2754" s="11">
        <v>28352.68</v>
      </c>
      <c r="AP2754" s="9">
        <v>3.7462538196087674</v>
      </c>
    </row>
    <row r="2755" spans="40:42" x14ac:dyDescent="0.3">
      <c r="AN2755">
        <v>2751</v>
      </c>
      <c r="AO2755" s="11">
        <v>26035.67</v>
      </c>
      <c r="AP2755" s="9">
        <v>3.3445161906013188</v>
      </c>
    </row>
    <row r="2756" spans="40:42" x14ac:dyDescent="0.3">
      <c r="AN2756">
        <v>2752</v>
      </c>
      <c r="AO2756" s="11">
        <v>24775.15</v>
      </c>
      <c r="AP2756" s="9">
        <v>3.4032405680530564</v>
      </c>
    </row>
    <row r="2757" spans="40:42" x14ac:dyDescent="0.3">
      <c r="AN2757">
        <v>2753</v>
      </c>
      <c r="AO2757" s="11">
        <v>19787.689999999999</v>
      </c>
      <c r="AP2757" s="9">
        <v>2.7509050837862743</v>
      </c>
    </row>
    <row r="2758" spans="40:42" x14ac:dyDescent="0.3">
      <c r="AN2758">
        <v>2754</v>
      </c>
      <c r="AO2758" s="11">
        <v>18747.12</v>
      </c>
      <c r="AP2758" s="9">
        <v>3.0996621080507292</v>
      </c>
    </row>
    <row r="2759" spans="40:42" x14ac:dyDescent="0.3">
      <c r="AN2759">
        <v>2755</v>
      </c>
      <c r="AO2759" s="11">
        <v>17143.34</v>
      </c>
      <c r="AP2759" s="9">
        <v>4.1389561817819009</v>
      </c>
    </row>
    <row r="2760" spans="40:42" x14ac:dyDescent="0.3">
      <c r="AN2760">
        <v>2756</v>
      </c>
      <c r="AO2760" s="11">
        <v>31046.2</v>
      </c>
      <c r="AP2760" s="9">
        <v>3.7169537075328734</v>
      </c>
    </row>
    <row r="2761" spans="40:42" x14ac:dyDescent="0.3">
      <c r="AN2761">
        <v>2757</v>
      </c>
      <c r="AO2761" s="11">
        <v>27753</v>
      </c>
      <c r="AP2761" s="9">
        <v>3.4479492240735192</v>
      </c>
    </row>
    <row r="2762" spans="40:42" x14ac:dyDescent="0.3">
      <c r="AN2762">
        <v>2758</v>
      </c>
      <c r="AO2762" s="11">
        <v>40478.550000000003</v>
      </c>
      <c r="AP2762" s="9">
        <v>3.4922706062920317</v>
      </c>
    </row>
    <row r="2763" spans="40:42" x14ac:dyDescent="0.3">
      <c r="AN2763">
        <v>2759</v>
      </c>
      <c r="AO2763" s="11">
        <v>30066.92</v>
      </c>
      <c r="AP2763" s="9">
        <v>3.4244670233779444</v>
      </c>
    </row>
    <row r="2764" spans="40:42" x14ac:dyDescent="0.3">
      <c r="AN2764">
        <v>2760</v>
      </c>
      <c r="AO2764" s="11">
        <v>32348.01</v>
      </c>
      <c r="AP2764" s="9">
        <v>3.9643341533359635</v>
      </c>
    </row>
    <row r="2765" spans="40:42" x14ac:dyDescent="0.3">
      <c r="AN2765">
        <v>2761</v>
      </c>
      <c r="AO2765" s="11">
        <v>34858.33</v>
      </c>
      <c r="AP2765" s="9">
        <v>3.0119775664074502</v>
      </c>
    </row>
    <row r="2766" spans="40:42" x14ac:dyDescent="0.3">
      <c r="AN2766">
        <v>2762</v>
      </c>
      <c r="AO2766" s="11">
        <v>44455.08</v>
      </c>
      <c r="AP2766" s="9">
        <v>4.1245594925976228</v>
      </c>
    </row>
    <row r="2767" spans="40:42" x14ac:dyDescent="0.3">
      <c r="AN2767">
        <v>2763</v>
      </c>
      <c r="AO2767" s="11">
        <v>27416.15</v>
      </c>
      <c r="AP2767" s="9">
        <v>3.7942888499038498</v>
      </c>
    </row>
    <row r="2768" spans="40:42" x14ac:dyDescent="0.3">
      <c r="AN2768">
        <v>2764</v>
      </c>
      <c r="AO2768" s="11">
        <v>18628.21</v>
      </c>
      <c r="AP2768" s="9">
        <v>2.8730788953575019</v>
      </c>
    </row>
    <row r="2769" spans="40:42" x14ac:dyDescent="0.3">
      <c r="AN2769">
        <v>2765</v>
      </c>
      <c r="AO2769" s="11">
        <v>33910.78</v>
      </c>
      <c r="AP2769" s="9">
        <v>3.1535044427336967</v>
      </c>
    </row>
    <row r="2770" spans="40:42" x14ac:dyDescent="0.3">
      <c r="AN2770">
        <v>2766</v>
      </c>
      <c r="AO2770" s="11">
        <v>26372.36</v>
      </c>
      <c r="AP2770" s="9">
        <v>3.4549274757973554</v>
      </c>
    </row>
    <row r="2771" spans="40:42" x14ac:dyDescent="0.3">
      <c r="AN2771">
        <v>2767</v>
      </c>
      <c r="AO2771" s="11">
        <v>15679.8</v>
      </c>
      <c r="AP2771" s="9">
        <v>3.0250600988462062</v>
      </c>
    </row>
    <row r="2772" spans="40:42" x14ac:dyDescent="0.3">
      <c r="AN2772">
        <v>2768</v>
      </c>
      <c r="AO2772" s="11">
        <v>36524.79</v>
      </c>
      <c r="AP2772" s="9">
        <v>3.1077543747579117</v>
      </c>
    </row>
    <row r="2773" spans="40:42" x14ac:dyDescent="0.3">
      <c r="AN2773">
        <v>2769</v>
      </c>
      <c r="AO2773" s="11">
        <v>29882.97</v>
      </c>
      <c r="AP2773" s="9">
        <v>3.3782253467050611</v>
      </c>
    </row>
    <row r="2774" spans="40:42" x14ac:dyDescent="0.3">
      <c r="AN2774">
        <v>2770</v>
      </c>
      <c r="AO2774" s="11">
        <v>19753.64</v>
      </c>
      <c r="AP2774" s="9">
        <v>3.7005711875148664</v>
      </c>
    </row>
    <row r="2775" spans="40:42" x14ac:dyDescent="0.3">
      <c r="AN2775">
        <v>2771</v>
      </c>
      <c r="AO2775" s="11">
        <v>35234.120000000003</v>
      </c>
      <c r="AP2775" s="9">
        <v>4.2373645386938898</v>
      </c>
    </row>
    <row r="2776" spans="40:42" x14ac:dyDescent="0.3">
      <c r="AN2776">
        <v>2772</v>
      </c>
      <c r="AO2776" s="11">
        <v>29885.18</v>
      </c>
      <c r="AP2776" s="9">
        <v>3.8070159729388413</v>
      </c>
    </row>
    <row r="2777" spans="40:42" x14ac:dyDescent="0.3">
      <c r="AN2777">
        <v>2773</v>
      </c>
      <c r="AO2777" s="11">
        <v>20310.689999999999</v>
      </c>
      <c r="AP2777" s="9">
        <v>2.7327480729816349</v>
      </c>
    </row>
    <row r="2778" spans="40:42" x14ac:dyDescent="0.3">
      <c r="AN2778">
        <v>2774</v>
      </c>
      <c r="AO2778" s="11">
        <v>28532.07</v>
      </c>
      <c r="AP2778" s="9">
        <v>3.3883473830319386</v>
      </c>
    </row>
    <row r="2779" spans="40:42" x14ac:dyDescent="0.3">
      <c r="AN2779">
        <v>2775</v>
      </c>
      <c r="AO2779" s="11">
        <v>21647.09</v>
      </c>
      <c r="AP2779" s="9">
        <v>3.6564354638952326</v>
      </c>
    </row>
    <row r="2780" spans="40:42" x14ac:dyDescent="0.3">
      <c r="AN2780">
        <v>2776</v>
      </c>
      <c r="AO2780" s="11">
        <v>16101.33</v>
      </c>
      <c r="AP2780" s="9">
        <v>3.598637974914821</v>
      </c>
    </row>
    <row r="2781" spans="40:42" x14ac:dyDescent="0.3">
      <c r="AN2781">
        <v>2777</v>
      </c>
      <c r="AO2781" s="11">
        <v>20064.240000000002</v>
      </c>
      <c r="AP2781" s="9">
        <v>3.0469433558315138</v>
      </c>
    </row>
    <row r="2782" spans="40:42" x14ac:dyDescent="0.3">
      <c r="AN2782">
        <v>2778</v>
      </c>
      <c r="AO2782" s="11">
        <v>22789.99</v>
      </c>
      <c r="AP2782" s="9">
        <v>2.9764933916791745</v>
      </c>
    </row>
    <row r="2783" spans="40:42" x14ac:dyDescent="0.3">
      <c r="AN2783">
        <v>2779</v>
      </c>
      <c r="AO2783" s="11">
        <v>16481.509999999998</v>
      </c>
      <c r="AP2783" s="9">
        <v>2.8445263014198896</v>
      </c>
    </row>
    <row r="2784" spans="40:42" x14ac:dyDescent="0.3">
      <c r="AN2784">
        <v>2780</v>
      </c>
      <c r="AO2784" s="11">
        <v>25621.47</v>
      </c>
      <c r="AP2784" s="9">
        <v>3.4552498298215735</v>
      </c>
    </row>
    <row r="2785" spans="40:42" x14ac:dyDescent="0.3">
      <c r="AN2785">
        <v>2781</v>
      </c>
      <c r="AO2785" s="11">
        <v>26006.26</v>
      </c>
      <c r="AP2785" s="9">
        <v>3.1873545844906643</v>
      </c>
    </row>
    <row r="2786" spans="40:42" x14ac:dyDescent="0.3">
      <c r="AN2786">
        <v>2782</v>
      </c>
      <c r="AO2786" s="11">
        <v>42899.28</v>
      </c>
      <c r="AP2786" s="9">
        <v>3.8961108524159274</v>
      </c>
    </row>
    <row r="2787" spans="40:42" x14ac:dyDescent="0.3">
      <c r="AN2787">
        <v>2783</v>
      </c>
      <c r="AO2787" s="11">
        <v>27789.93</v>
      </c>
      <c r="AP2787" s="9">
        <v>3.0622503067102573</v>
      </c>
    </row>
    <row r="2788" spans="40:42" x14ac:dyDescent="0.3">
      <c r="AN2788">
        <v>2784</v>
      </c>
      <c r="AO2788" s="11">
        <v>32607.58</v>
      </c>
      <c r="AP2788" s="9">
        <v>3.7434449898145989</v>
      </c>
    </row>
    <row r="2789" spans="40:42" x14ac:dyDescent="0.3">
      <c r="AN2789">
        <v>2785</v>
      </c>
      <c r="AO2789" s="11">
        <v>29308.58</v>
      </c>
      <c r="AP2789" s="9">
        <v>4.2941312041556872</v>
      </c>
    </row>
    <row r="2790" spans="40:42" x14ac:dyDescent="0.3">
      <c r="AN2790">
        <v>2786</v>
      </c>
      <c r="AO2790" s="11">
        <v>16026.98</v>
      </c>
      <c r="AP2790" s="9">
        <v>2.7969909964330375</v>
      </c>
    </row>
    <row r="2791" spans="40:42" x14ac:dyDescent="0.3">
      <c r="AN2791">
        <v>2787</v>
      </c>
      <c r="AO2791" s="11">
        <v>21148.23</v>
      </c>
      <c r="AP2791" s="9">
        <v>3.3552578305735916</v>
      </c>
    </row>
    <row r="2792" spans="40:42" x14ac:dyDescent="0.3">
      <c r="AN2792">
        <v>2788</v>
      </c>
      <c r="AO2792" s="11">
        <v>14083.57</v>
      </c>
      <c r="AP2792" s="9">
        <v>2.9042097725753968</v>
      </c>
    </row>
    <row r="2793" spans="40:42" x14ac:dyDescent="0.3">
      <c r="AN2793">
        <v>2789</v>
      </c>
      <c r="AO2793" s="11">
        <v>26259.11</v>
      </c>
      <c r="AP2793" s="9">
        <v>3.3765110245494276</v>
      </c>
    </row>
    <row r="2794" spans="40:42" x14ac:dyDescent="0.3">
      <c r="AN2794">
        <v>2790</v>
      </c>
      <c r="AO2794" s="11">
        <v>27827.26</v>
      </c>
      <c r="AP2794" s="9">
        <v>3.3260985274093375</v>
      </c>
    </row>
    <row r="2795" spans="40:42" x14ac:dyDescent="0.3">
      <c r="AN2795">
        <v>2791</v>
      </c>
      <c r="AO2795" s="11">
        <v>34876.07</v>
      </c>
      <c r="AP2795" s="9">
        <v>3.0044691691180305</v>
      </c>
    </row>
    <row r="2796" spans="40:42" x14ac:dyDescent="0.3">
      <c r="AN2796">
        <v>2792</v>
      </c>
      <c r="AO2796" s="11">
        <v>38944.04</v>
      </c>
      <c r="AP2796" s="9">
        <v>3.8163787499903075</v>
      </c>
    </row>
    <row r="2797" spans="40:42" x14ac:dyDescent="0.3">
      <c r="AN2797">
        <v>2793</v>
      </c>
      <c r="AO2797" s="11">
        <v>35678.800000000003</v>
      </c>
      <c r="AP2797" s="9">
        <v>3.5501387371792887</v>
      </c>
    </row>
    <row r="2798" spans="40:42" x14ac:dyDescent="0.3">
      <c r="AN2798">
        <v>2794</v>
      </c>
      <c r="AO2798" s="11">
        <v>44856.49</v>
      </c>
      <c r="AP2798" s="9">
        <v>3.6712302009074569</v>
      </c>
    </row>
    <row r="2799" spans="40:42" x14ac:dyDescent="0.3">
      <c r="AN2799">
        <v>2795</v>
      </c>
      <c r="AO2799" s="11">
        <v>19510.84</v>
      </c>
      <c r="AP2799" s="9">
        <v>3.4405396695300445</v>
      </c>
    </row>
    <row r="2800" spans="40:42" x14ac:dyDescent="0.3">
      <c r="AN2800">
        <v>2796</v>
      </c>
      <c r="AO2800" s="11">
        <v>21696.41</v>
      </c>
      <c r="AP2800" s="9">
        <v>3.8289361954795735</v>
      </c>
    </row>
    <row r="2801" spans="40:42" x14ac:dyDescent="0.3">
      <c r="AN2801">
        <v>2797</v>
      </c>
      <c r="AO2801" s="11">
        <v>31348.35</v>
      </c>
      <c r="AP2801" s="9">
        <v>2.9718892329252462</v>
      </c>
    </row>
    <row r="2802" spans="40:42" x14ac:dyDescent="0.3">
      <c r="AN2802">
        <v>2798</v>
      </c>
      <c r="AO2802" s="11">
        <v>37712.97</v>
      </c>
      <c r="AP2802" s="9">
        <v>3.0623332435633404</v>
      </c>
    </row>
    <row r="2803" spans="40:42" x14ac:dyDescent="0.3">
      <c r="AN2803">
        <v>2799</v>
      </c>
      <c r="AO2803" s="11">
        <v>28469.16</v>
      </c>
      <c r="AP2803" s="9">
        <v>3.5955174242886803</v>
      </c>
    </row>
    <row r="2804" spans="40:42" x14ac:dyDescent="0.3">
      <c r="AN2804">
        <v>2800</v>
      </c>
      <c r="AO2804" s="11">
        <v>29466.5</v>
      </c>
      <c r="AP2804" s="9">
        <v>3.6565271464336377</v>
      </c>
    </row>
    <row r="2805" spans="40:42" x14ac:dyDescent="0.3">
      <c r="AN2805">
        <v>2801</v>
      </c>
      <c r="AO2805" s="11">
        <v>27254.44</v>
      </c>
      <c r="AP2805" s="9">
        <v>3.127195592874584</v>
      </c>
    </row>
    <row r="2806" spans="40:42" x14ac:dyDescent="0.3">
      <c r="AN2806">
        <v>2802</v>
      </c>
      <c r="AO2806" s="11">
        <v>12827.09</v>
      </c>
      <c r="AP2806" s="9">
        <v>2.9216703825410151</v>
      </c>
    </row>
    <row r="2807" spans="40:42" x14ac:dyDescent="0.3">
      <c r="AN2807">
        <v>2803</v>
      </c>
      <c r="AO2807" s="11">
        <v>23868.89</v>
      </c>
      <c r="AP2807" s="9">
        <v>3.385783211821483</v>
      </c>
    </row>
    <row r="2808" spans="40:42" x14ac:dyDescent="0.3">
      <c r="AN2808">
        <v>2804</v>
      </c>
      <c r="AO2808" s="11">
        <v>24237.24</v>
      </c>
      <c r="AP2808" s="9">
        <v>3.0513438240018695</v>
      </c>
    </row>
    <row r="2809" spans="40:42" x14ac:dyDescent="0.3">
      <c r="AN2809">
        <v>2805</v>
      </c>
      <c r="AO2809" s="11">
        <v>28395.8</v>
      </c>
      <c r="AP2809" s="9">
        <v>3.0315975596024534</v>
      </c>
    </row>
    <row r="2810" spans="40:42" x14ac:dyDescent="0.3">
      <c r="AN2810">
        <v>2806</v>
      </c>
      <c r="AO2810" s="11">
        <v>35241.49</v>
      </c>
      <c r="AP2810" s="9">
        <v>3.3888412529034642</v>
      </c>
    </row>
    <row r="2811" spans="40:42" x14ac:dyDescent="0.3">
      <c r="AN2811">
        <v>2807</v>
      </c>
      <c r="AO2811" s="11">
        <v>16921.060000000001</v>
      </c>
      <c r="AP2811" s="9">
        <v>2.6981738715811741</v>
      </c>
    </row>
    <row r="2812" spans="40:42" x14ac:dyDescent="0.3">
      <c r="AN2812">
        <v>2808</v>
      </c>
      <c r="AO2812" s="11">
        <v>30182.400000000001</v>
      </c>
      <c r="AP2812" s="9">
        <v>3.6589289870959556</v>
      </c>
    </row>
    <row r="2813" spans="40:42" x14ac:dyDescent="0.3">
      <c r="AN2813">
        <v>2809</v>
      </c>
      <c r="AO2813" s="11">
        <v>16648.66</v>
      </c>
      <c r="AP2813" s="9">
        <v>3.2398320056154</v>
      </c>
    </row>
    <row r="2814" spans="40:42" x14ac:dyDescent="0.3">
      <c r="AN2814">
        <v>2810</v>
      </c>
      <c r="AO2814" s="11">
        <v>22421.41</v>
      </c>
      <c r="AP2814" s="9">
        <v>3.4960456356773735</v>
      </c>
    </row>
    <row r="2815" spans="40:42" x14ac:dyDescent="0.3">
      <c r="AN2815">
        <v>2811</v>
      </c>
      <c r="AO2815" s="11">
        <v>23973.49</v>
      </c>
      <c r="AP2815" s="9">
        <v>3.0743889019499564</v>
      </c>
    </row>
    <row r="2816" spans="40:42" x14ac:dyDescent="0.3">
      <c r="AN2816">
        <v>2812</v>
      </c>
      <c r="AO2816" s="11">
        <v>28800.82</v>
      </c>
      <c r="AP2816" s="9">
        <v>3.3514477320576685</v>
      </c>
    </row>
    <row r="2817" spans="40:42" x14ac:dyDescent="0.3">
      <c r="AN2817">
        <v>2813</v>
      </c>
      <c r="AO2817" s="11">
        <v>29509.96</v>
      </c>
      <c r="AP2817" s="9">
        <v>3.3759950385083064</v>
      </c>
    </row>
    <row r="2818" spans="40:42" x14ac:dyDescent="0.3">
      <c r="AN2818">
        <v>2814</v>
      </c>
      <c r="AO2818" s="11">
        <v>26705.11</v>
      </c>
      <c r="AP2818" s="9">
        <v>3.4273201400071494</v>
      </c>
    </row>
    <row r="2819" spans="40:42" x14ac:dyDescent="0.3">
      <c r="AN2819">
        <v>2815</v>
      </c>
      <c r="AO2819" s="11">
        <v>25658.47</v>
      </c>
      <c r="AP2819" s="9">
        <v>2.727822570754276</v>
      </c>
    </row>
    <row r="2820" spans="40:42" x14ac:dyDescent="0.3">
      <c r="AN2820">
        <v>2816</v>
      </c>
      <c r="AO2820" s="11">
        <v>34987.08</v>
      </c>
      <c r="AP2820" s="9">
        <v>3.4491909824993185</v>
      </c>
    </row>
    <row r="2821" spans="40:42" x14ac:dyDescent="0.3">
      <c r="AN2821">
        <v>2817</v>
      </c>
      <c r="AO2821" s="11">
        <v>26018.52</v>
      </c>
      <c r="AP2821" s="9">
        <v>4.0113272972331888</v>
      </c>
    </row>
    <row r="2822" spans="40:42" x14ac:dyDescent="0.3">
      <c r="AN2822">
        <v>2818</v>
      </c>
      <c r="AO2822" s="11">
        <v>22090.84</v>
      </c>
      <c r="AP2822" s="9">
        <v>3.4251468428538101</v>
      </c>
    </row>
    <row r="2823" spans="40:42" x14ac:dyDescent="0.3">
      <c r="AN2823">
        <v>2819</v>
      </c>
      <c r="AO2823" s="11">
        <v>26924.21</v>
      </c>
      <c r="AP2823" s="9">
        <v>3.6758688185076323</v>
      </c>
    </row>
    <row r="2824" spans="40:42" x14ac:dyDescent="0.3">
      <c r="AN2824">
        <v>2820</v>
      </c>
      <c r="AO2824" s="11">
        <v>27344.25</v>
      </c>
      <c r="AP2824" s="9">
        <v>3.5054559813181068</v>
      </c>
    </row>
    <row r="2825" spans="40:42" x14ac:dyDescent="0.3">
      <c r="AN2825">
        <v>2821</v>
      </c>
      <c r="AO2825" s="11">
        <v>30456</v>
      </c>
      <c r="AP2825" s="9">
        <v>3.0585037633124794</v>
      </c>
    </row>
    <row r="2826" spans="40:42" x14ac:dyDescent="0.3">
      <c r="AN2826">
        <v>2822</v>
      </c>
      <c r="AO2826" s="11">
        <v>25097.4</v>
      </c>
      <c r="AP2826" s="9">
        <v>3.3000738799515474</v>
      </c>
    </row>
    <row r="2827" spans="40:42" x14ac:dyDescent="0.3">
      <c r="AN2827">
        <v>2823</v>
      </c>
      <c r="AO2827" s="11">
        <v>34736.1</v>
      </c>
      <c r="AP2827" s="9">
        <v>4.0108211733213821</v>
      </c>
    </row>
    <row r="2828" spans="40:42" x14ac:dyDescent="0.3">
      <c r="AN2828">
        <v>2824</v>
      </c>
      <c r="AO2828" s="11">
        <v>27390.71</v>
      </c>
      <c r="AP2828" s="9">
        <v>3.5691526916938763</v>
      </c>
    </row>
    <row r="2829" spans="40:42" x14ac:dyDescent="0.3">
      <c r="AN2829">
        <v>2825</v>
      </c>
      <c r="AO2829" s="11">
        <v>21609.19</v>
      </c>
      <c r="AP2829" s="9">
        <v>3.1003904983387525</v>
      </c>
    </row>
    <row r="2830" spans="40:42" x14ac:dyDescent="0.3">
      <c r="AN2830">
        <v>2826</v>
      </c>
      <c r="AO2830" s="11">
        <v>24432.28</v>
      </c>
      <c r="AP2830" s="9">
        <v>3.4645472832577222</v>
      </c>
    </row>
    <row r="2831" spans="40:42" x14ac:dyDescent="0.3">
      <c r="AN2831">
        <v>2827</v>
      </c>
      <c r="AO2831" s="11">
        <v>37713.75</v>
      </c>
      <c r="AP2831" s="9">
        <v>4.2263494460102216</v>
      </c>
    </row>
    <row r="2832" spans="40:42" x14ac:dyDescent="0.3">
      <c r="AN2832">
        <v>2828</v>
      </c>
      <c r="AO2832" s="11">
        <v>21811.91</v>
      </c>
      <c r="AP2832" s="9">
        <v>2.7779427824368867</v>
      </c>
    </row>
    <row r="2833" spans="40:42" x14ac:dyDescent="0.3">
      <c r="AN2833">
        <v>2829</v>
      </c>
      <c r="AO2833" s="11">
        <v>24796.57</v>
      </c>
      <c r="AP2833" s="9">
        <v>2.9971979191119362</v>
      </c>
    </row>
    <row r="2834" spans="40:42" x14ac:dyDescent="0.3">
      <c r="AN2834">
        <v>2830</v>
      </c>
      <c r="AO2834" s="11">
        <v>27682.79</v>
      </c>
      <c r="AP2834" s="9">
        <v>3.7482188636005058</v>
      </c>
    </row>
    <row r="2835" spans="40:42" x14ac:dyDescent="0.3">
      <c r="AN2835">
        <v>2831</v>
      </c>
      <c r="AO2835" s="11">
        <v>28718.32</v>
      </c>
      <c r="AP2835" s="9">
        <v>3.6744405417509238</v>
      </c>
    </row>
    <row r="2836" spans="40:42" x14ac:dyDescent="0.3">
      <c r="AN2836">
        <v>2832</v>
      </c>
      <c r="AO2836" s="11">
        <v>20824.650000000001</v>
      </c>
      <c r="AP2836" s="9">
        <v>3.4721167812583524</v>
      </c>
    </row>
    <row r="2837" spans="40:42" x14ac:dyDescent="0.3">
      <c r="AN2837">
        <v>2833</v>
      </c>
      <c r="AO2837" s="11">
        <v>31605.15</v>
      </c>
      <c r="AP2837" s="9">
        <v>4.2442434266758662</v>
      </c>
    </row>
    <row r="2838" spans="40:42" x14ac:dyDescent="0.3">
      <c r="AN2838">
        <v>2834</v>
      </c>
      <c r="AO2838" s="11">
        <v>20892.810000000001</v>
      </c>
      <c r="AP2838" s="9">
        <v>2.744638364275032</v>
      </c>
    </row>
    <row r="2839" spans="40:42" x14ac:dyDescent="0.3">
      <c r="AN2839">
        <v>2835</v>
      </c>
      <c r="AO2839" s="11">
        <v>34596.06</v>
      </c>
      <c r="AP2839" s="9">
        <v>3.8879477449056035</v>
      </c>
    </row>
    <row r="2840" spans="40:42" x14ac:dyDescent="0.3">
      <c r="AN2840">
        <v>2836</v>
      </c>
      <c r="AO2840" s="11">
        <v>40830.65</v>
      </c>
      <c r="AP2840" s="9">
        <v>4.380094426592156</v>
      </c>
    </row>
    <row r="2841" spans="40:42" x14ac:dyDescent="0.3">
      <c r="AN2841">
        <v>2837</v>
      </c>
      <c r="AO2841" s="11">
        <v>33148.79</v>
      </c>
      <c r="AP2841" s="9">
        <v>3.6996213342573516</v>
      </c>
    </row>
    <row r="2842" spans="40:42" x14ac:dyDescent="0.3">
      <c r="AN2842">
        <v>2838</v>
      </c>
      <c r="AO2842" s="11">
        <v>16582.75</v>
      </c>
      <c r="AP2842" s="9">
        <v>3.4669391968736334</v>
      </c>
    </row>
    <row r="2843" spans="40:42" x14ac:dyDescent="0.3">
      <c r="AN2843">
        <v>2839</v>
      </c>
      <c r="AO2843" s="11">
        <v>39586.49</v>
      </c>
      <c r="AP2843" s="9">
        <v>3.5327351329433672</v>
      </c>
    </row>
    <row r="2844" spans="40:42" x14ac:dyDescent="0.3">
      <c r="AN2844">
        <v>2840</v>
      </c>
      <c r="AO2844" s="11">
        <v>21257.96</v>
      </c>
      <c r="AP2844" s="9">
        <v>3.098477673258512</v>
      </c>
    </row>
    <row r="2845" spans="40:42" x14ac:dyDescent="0.3">
      <c r="AN2845">
        <v>2841</v>
      </c>
      <c r="AO2845" s="11">
        <v>21712.639999999999</v>
      </c>
      <c r="AP2845" s="9">
        <v>3.2079642834653614</v>
      </c>
    </row>
    <row r="2846" spans="40:42" x14ac:dyDescent="0.3">
      <c r="AN2846">
        <v>2842</v>
      </c>
      <c r="AO2846" s="11">
        <v>21477.93</v>
      </c>
      <c r="AP2846" s="9">
        <v>3.4118863888939042</v>
      </c>
    </row>
    <row r="2847" spans="40:42" x14ac:dyDescent="0.3">
      <c r="AN2847">
        <v>2843</v>
      </c>
      <c r="AO2847" s="11">
        <v>27608.6</v>
      </c>
      <c r="AP2847" s="9">
        <v>4.0331562038491526</v>
      </c>
    </row>
    <row r="2848" spans="40:42" x14ac:dyDescent="0.3">
      <c r="AN2848">
        <v>2844</v>
      </c>
      <c r="AO2848" s="11">
        <v>21529.66</v>
      </c>
      <c r="AP2848" s="9">
        <v>3.6161775238597422</v>
      </c>
    </row>
    <row r="2849" spans="40:42" x14ac:dyDescent="0.3">
      <c r="AN2849">
        <v>2845</v>
      </c>
      <c r="AO2849" s="11">
        <v>43213.98</v>
      </c>
      <c r="AP2849" s="9">
        <v>3.6406998413661285</v>
      </c>
    </row>
    <row r="2850" spans="40:42" x14ac:dyDescent="0.3">
      <c r="AN2850">
        <v>2846</v>
      </c>
      <c r="AO2850" s="11">
        <v>26205.61</v>
      </c>
      <c r="AP2850" s="9">
        <v>3.1866448129594591</v>
      </c>
    </row>
    <row r="2851" spans="40:42" x14ac:dyDescent="0.3">
      <c r="AN2851">
        <v>2847</v>
      </c>
      <c r="AO2851" s="11">
        <v>27873.94</v>
      </c>
      <c r="AP2851" s="9">
        <v>3.7423524700910256</v>
      </c>
    </row>
    <row r="2852" spans="40:42" x14ac:dyDescent="0.3">
      <c r="AN2852">
        <v>2848</v>
      </c>
      <c r="AO2852" s="11">
        <v>25507.65</v>
      </c>
      <c r="AP2852" s="9">
        <v>3.5175614928823307</v>
      </c>
    </row>
    <row r="2853" spans="40:42" x14ac:dyDescent="0.3">
      <c r="AN2853">
        <v>2849</v>
      </c>
      <c r="AO2853" s="11">
        <v>23176.6</v>
      </c>
      <c r="AP2853" s="9">
        <v>3.1166300534235458</v>
      </c>
    </row>
    <row r="2854" spans="40:42" x14ac:dyDescent="0.3">
      <c r="AN2854">
        <v>2850</v>
      </c>
      <c r="AO2854" s="11">
        <v>25066.42</v>
      </c>
      <c r="AP2854" s="9">
        <v>4.0166558571716315</v>
      </c>
    </row>
    <row r="2855" spans="40:42" x14ac:dyDescent="0.3">
      <c r="AN2855">
        <v>2851</v>
      </c>
      <c r="AO2855" s="11">
        <v>32027.3</v>
      </c>
      <c r="AP2855" s="9">
        <v>3.545388050444386</v>
      </c>
    </row>
    <row r="2856" spans="40:42" x14ac:dyDescent="0.3">
      <c r="AN2856">
        <v>2852</v>
      </c>
      <c r="AO2856" s="11">
        <v>36808.11</v>
      </c>
      <c r="AP2856" s="9">
        <v>3.4376968141773676</v>
      </c>
    </row>
    <row r="2857" spans="40:42" x14ac:dyDescent="0.3">
      <c r="AN2857">
        <v>2853</v>
      </c>
      <c r="AO2857" s="11">
        <v>23202.38</v>
      </c>
      <c r="AP2857" s="9">
        <v>3.236406407227173</v>
      </c>
    </row>
    <row r="2858" spans="40:42" x14ac:dyDescent="0.3">
      <c r="AN2858">
        <v>2854</v>
      </c>
      <c r="AO2858" s="11">
        <v>27357.31</v>
      </c>
      <c r="AP2858" s="9">
        <v>3.3650322658161707</v>
      </c>
    </row>
    <row r="2859" spans="40:42" x14ac:dyDescent="0.3">
      <c r="AN2859">
        <v>2855</v>
      </c>
      <c r="AO2859" s="11">
        <v>30306.05</v>
      </c>
      <c r="AP2859" s="9">
        <v>2.9936182098706858</v>
      </c>
    </row>
    <row r="2860" spans="40:42" x14ac:dyDescent="0.3">
      <c r="AN2860">
        <v>2856</v>
      </c>
      <c r="AO2860" s="11">
        <v>19234.95</v>
      </c>
      <c r="AP2860" s="9">
        <v>2.81790605855634</v>
      </c>
    </row>
    <row r="2861" spans="40:42" x14ac:dyDescent="0.3">
      <c r="AN2861">
        <v>2857</v>
      </c>
      <c r="AO2861" s="11">
        <v>19143.830000000002</v>
      </c>
      <c r="AP2861" s="9">
        <v>3.2121880222350345</v>
      </c>
    </row>
    <row r="2862" spans="40:42" x14ac:dyDescent="0.3">
      <c r="AN2862">
        <v>2858</v>
      </c>
      <c r="AO2862" s="11">
        <v>28734.2</v>
      </c>
      <c r="AP2862" s="9">
        <v>2.9551057465073232</v>
      </c>
    </row>
    <row r="2863" spans="40:42" x14ac:dyDescent="0.3">
      <c r="AN2863">
        <v>2859</v>
      </c>
      <c r="AO2863" s="11">
        <v>31454.98</v>
      </c>
      <c r="AP2863" s="9">
        <v>3.5596748477559843</v>
      </c>
    </row>
    <row r="2864" spans="40:42" x14ac:dyDescent="0.3">
      <c r="AN2864">
        <v>2860</v>
      </c>
      <c r="AO2864" s="11">
        <v>24865.72</v>
      </c>
      <c r="AP2864" s="9">
        <v>3.8556345821155618</v>
      </c>
    </row>
    <row r="2865" spans="40:42" x14ac:dyDescent="0.3">
      <c r="AN2865">
        <v>2861</v>
      </c>
      <c r="AO2865" s="11">
        <v>18652.509999999998</v>
      </c>
      <c r="AP2865" s="9">
        <v>3.9093303336540872</v>
      </c>
    </row>
    <row r="2866" spans="40:42" x14ac:dyDescent="0.3">
      <c r="AN2866">
        <v>2862</v>
      </c>
      <c r="AO2866" s="11">
        <v>23424.639999999999</v>
      </c>
      <c r="AP2866" s="9">
        <v>2.870141966533029</v>
      </c>
    </row>
    <row r="2867" spans="40:42" x14ac:dyDescent="0.3">
      <c r="AN2867">
        <v>2863</v>
      </c>
      <c r="AO2867" s="11">
        <v>34642.949999999997</v>
      </c>
      <c r="AP2867" s="9">
        <v>3.4606135670319667</v>
      </c>
    </row>
    <row r="2868" spans="40:42" x14ac:dyDescent="0.3">
      <c r="AN2868">
        <v>2864</v>
      </c>
      <c r="AO2868" s="11">
        <v>23952.5</v>
      </c>
      <c r="AP2868" s="9">
        <v>2.8339371684603392</v>
      </c>
    </row>
    <row r="2869" spans="40:42" x14ac:dyDescent="0.3">
      <c r="AN2869">
        <v>2865</v>
      </c>
      <c r="AO2869" s="11">
        <v>27075.85</v>
      </c>
      <c r="AP2869" s="9">
        <v>3.3994733088507845</v>
      </c>
    </row>
    <row r="2870" spans="40:42" x14ac:dyDescent="0.3">
      <c r="AN2870">
        <v>2866</v>
      </c>
      <c r="AO2870" s="11">
        <v>21762.87</v>
      </c>
      <c r="AP2870" s="9">
        <v>3.3148776858960414</v>
      </c>
    </row>
    <row r="2871" spans="40:42" x14ac:dyDescent="0.3">
      <c r="AN2871">
        <v>2867</v>
      </c>
      <c r="AO2871" s="11">
        <v>25303.279999999999</v>
      </c>
      <c r="AP2871" s="9">
        <v>3.0747566424872708</v>
      </c>
    </row>
    <row r="2872" spans="40:42" x14ac:dyDescent="0.3">
      <c r="AN2872">
        <v>2868</v>
      </c>
      <c r="AO2872" s="11">
        <v>28674.41</v>
      </c>
      <c r="AP2872" s="9">
        <v>3.7247854468318105</v>
      </c>
    </row>
    <row r="2873" spans="40:42" x14ac:dyDescent="0.3">
      <c r="AN2873">
        <v>2869</v>
      </c>
      <c r="AO2873" s="11">
        <v>25008.87</v>
      </c>
      <c r="AP2873" s="9">
        <v>2.7844135062321724</v>
      </c>
    </row>
    <row r="2874" spans="40:42" x14ac:dyDescent="0.3">
      <c r="AN2874">
        <v>2870</v>
      </c>
      <c r="AO2874" s="11">
        <v>27491.439999999999</v>
      </c>
      <c r="AP2874" s="9">
        <v>3.4199411378995359</v>
      </c>
    </row>
    <row r="2875" spans="40:42" x14ac:dyDescent="0.3">
      <c r="AN2875">
        <v>2871</v>
      </c>
      <c r="AO2875" s="11">
        <v>29344.07</v>
      </c>
      <c r="AP2875" s="9">
        <v>3.3279249258171637</v>
      </c>
    </row>
    <row r="2876" spans="40:42" x14ac:dyDescent="0.3">
      <c r="AN2876">
        <v>2872</v>
      </c>
      <c r="AO2876" s="11">
        <v>29876.94</v>
      </c>
      <c r="AP2876" s="9">
        <v>3.1172925945521399</v>
      </c>
    </row>
    <row r="2877" spans="40:42" x14ac:dyDescent="0.3">
      <c r="AN2877">
        <v>2873</v>
      </c>
      <c r="AO2877" s="11">
        <v>42654.9</v>
      </c>
      <c r="AP2877" s="9">
        <v>3.9296774165677983</v>
      </c>
    </row>
    <row r="2878" spans="40:42" x14ac:dyDescent="0.3">
      <c r="AN2878">
        <v>2874</v>
      </c>
      <c r="AO2878" s="11">
        <v>22338.82</v>
      </c>
      <c r="AP2878" s="9">
        <v>3.1444911473144153</v>
      </c>
    </row>
    <row r="2879" spans="40:42" x14ac:dyDescent="0.3">
      <c r="AN2879">
        <v>2875</v>
      </c>
      <c r="AO2879" s="11">
        <v>21569.91</v>
      </c>
      <c r="AP2879" s="9">
        <v>3.2594138731343243</v>
      </c>
    </row>
    <row r="2880" spans="40:42" x14ac:dyDescent="0.3">
      <c r="AN2880">
        <v>2876</v>
      </c>
      <c r="AO2880" s="11">
        <v>21468.42</v>
      </c>
      <c r="AP2880" s="9">
        <v>3.0154940152245997</v>
      </c>
    </row>
    <row r="2881" spans="40:42" x14ac:dyDescent="0.3">
      <c r="AN2881">
        <v>2877</v>
      </c>
      <c r="AO2881" s="11">
        <v>24970.52</v>
      </c>
      <c r="AP2881" s="9">
        <v>3.0283337515634061</v>
      </c>
    </row>
    <row r="2882" spans="40:42" x14ac:dyDescent="0.3">
      <c r="AN2882">
        <v>2878</v>
      </c>
      <c r="AO2882" s="11">
        <v>25044.01</v>
      </c>
      <c r="AP2882" s="9">
        <v>3.1254933789434358</v>
      </c>
    </row>
    <row r="2883" spans="40:42" x14ac:dyDescent="0.3">
      <c r="AN2883">
        <v>2879</v>
      </c>
      <c r="AO2883" s="11">
        <v>30915.61</v>
      </c>
      <c r="AP2883" s="9">
        <v>3.2779610704183284</v>
      </c>
    </row>
    <row r="2884" spans="40:42" x14ac:dyDescent="0.3">
      <c r="AN2884">
        <v>2880</v>
      </c>
      <c r="AO2884" s="11">
        <v>17260.21</v>
      </c>
      <c r="AP2884" s="9">
        <v>3.0677646311609141</v>
      </c>
    </row>
    <row r="2885" spans="40:42" x14ac:dyDescent="0.3">
      <c r="AN2885">
        <v>2881</v>
      </c>
      <c r="AO2885" s="11">
        <v>26197.38</v>
      </c>
      <c r="AP2885" s="9">
        <v>3.1811457503368792</v>
      </c>
    </row>
    <row r="2886" spans="40:42" x14ac:dyDescent="0.3">
      <c r="AN2886">
        <v>2882</v>
      </c>
      <c r="AO2886" s="11">
        <v>32913.71</v>
      </c>
      <c r="AP2886" s="9">
        <v>3.8057298682695819</v>
      </c>
    </row>
    <row r="2887" spans="40:42" x14ac:dyDescent="0.3">
      <c r="AN2887">
        <v>2883</v>
      </c>
      <c r="AO2887" s="11">
        <v>20890.91</v>
      </c>
      <c r="AP2887" s="9">
        <v>3.2669369818507143</v>
      </c>
    </row>
    <row r="2888" spans="40:42" x14ac:dyDescent="0.3">
      <c r="AN2888">
        <v>2884</v>
      </c>
      <c r="AO2888" s="11">
        <v>30157.75</v>
      </c>
      <c r="AP2888" s="9">
        <v>3.2066224461261208</v>
      </c>
    </row>
    <row r="2889" spans="40:42" x14ac:dyDescent="0.3">
      <c r="AN2889">
        <v>2885</v>
      </c>
      <c r="AO2889" s="11">
        <v>36836.65</v>
      </c>
      <c r="AP2889" s="9">
        <v>4.280039479273519</v>
      </c>
    </row>
    <row r="2890" spans="40:42" x14ac:dyDescent="0.3">
      <c r="AN2890">
        <v>2886</v>
      </c>
      <c r="AO2890" s="11">
        <v>27093.08</v>
      </c>
      <c r="AP2890" s="9">
        <v>3.384329260887029</v>
      </c>
    </row>
    <row r="2891" spans="40:42" x14ac:dyDescent="0.3">
      <c r="AN2891">
        <v>2887</v>
      </c>
      <c r="AO2891" s="11">
        <v>25956.33</v>
      </c>
      <c r="AP2891" s="9">
        <v>3.1300541113965581</v>
      </c>
    </row>
    <row r="2892" spans="40:42" x14ac:dyDescent="0.3">
      <c r="AN2892">
        <v>2888</v>
      </c>
      <c r="AO2892" s="11">
        <v>28588.97</v>
      </c>
      <c r="AP2892" s="9">
        <v>3.0017172256508529</v>
      </c>
    </row>
    <row r="2893" spans="40:42" x14ac:dyDescent="0.3">
      <c r="AN2893">
        <v>2889</v>
      </c>
      <c r="AO2893" s="11">
        <v>17836.46</v>
      </c>
      <c r="AP2893" s="9">
        <v>3.2294738158132703</v>
      </c>
    </row>
    <row r="2894" spans="40:42" x14ac:dyDescent="0.3">
      <c r="AN2894">
        <v>2890</v>
      </c>
      <c r="AO2894" s="11">
        <v>15595.45</v>
      </c>
      <c r="AP2894" s="9">
        <v>2.8387276953542466</v>
      </c>
    </row>
    <row r="2895" spans="40:42" x14ac:dyDescent="0.3">
      <c r="AN2895">
        <v>2891</v>
      </c>
      <c r="AO2895" s="11">
        <v>30421.45</v>
      </c>
      <c r="AP2895" s="9">
        <v>3.3047783811673876</v>
      </c>
    </row>
    <row r="2896" spans="40:42" x14ac:dyDescent="0.3">
      <c r="AN2896">
        <v>2892</v>
      </c>
      <c r="AO2896" s="11">
        <v>27234.98</v>
      </c>
      <c r="AP2896" s="9">
        <v>2.8380596618577996</v>
      </c>
    </row>
    <row r="2897" spans="40:42" x14ac:dyDescent="0.3">
      <c r="AN2897">
        <v>2893</v>
      </c>
      <c r="AO2897" s="11">
        <v>22267.32</v>
      </c>
      <c r="AP2897" s="9">
        <v>2.7050386478651727</v>
      </c>
    </row>
    <row r="2898" spans="40:42" x14ac:dyDescent="0.3">
      <c r="AN2898">
        <v>2894</v>
      </c>
      <c r="AO2898" s="11">
        <v>20319.09</v>
      </c>
      <c r="AP2898" s="9">
        <v>3.4734685304834372</v>
      </c>
    </row>
    <row r="2899" spans="40:42" x14ac:dyDescent="0.3">
      <c r="AN2899">
        <v>2895</v>
      </c>
      <c r="AO2899" s="11">
        <v>19291.13</v>
      </c>
      <c r="AP2899" s="9">
        <v>2.9809933985970263</v>
      </c>
    </row>
    <row r="2900" spans="40:42" x14ac:dyDescent="0.3">
      <c r="AN2900">
        <v>2896</v>
      </c>
      <c r="AO2900" s="11">
        <v>26321.45</v>
      </c>
      <c r="AP2900" s="9">
        <v>3.3907612202174482</v>
      </c>
    </row>
    <row r="2901" spans="40:42" x14ac:dyDescent="0.3">
      <c r="AN2901">
        <v>2897</v>
      </c>
      <c r="AO2901" s="11">
        <v>26805.79</v>
      </c>
      <c r="AP2901" s="9">
        <v>4.4994841606435241</v>
      </c>
    </row>
    <row r="2902" spans="40:42" x14ac:dyDescent="0.3">
      <c r="AN2902">
        <v>2898</v>
      </c>
      <c r="AO2902" s="11">
        <v>25862.65</v>
      </c>
      <c r="AP2902" s="9">
        <v>3.2447687941304664</v>
      </c>
    </row>
    <row r="2903" spans="40:42" x14ac:dyDescent="0.3">
      <c r="AN2903">
        <v>2899</v>
      </c>
      <c r="AO2903" s="11">
        <v>29576.61</v>
      </c>
      <c r="AP2903" s="9">
        <v>3.363874340203127</v>
      </c>
    </row>
    <row r="2904" spans="40:42" x14ac:dyDescent="0.3">
      <c r="AN2904">
        <v>2900</v>
      </c>
      <c r="AO2904" s="11">
        <v>39579.65</v>
      </c>
      <c r="AP2904" s="9">
        <v>3.8685484892751236</v>
      </c>
    </row>
    <row r="2905" spans="40:42" x14ac:dyDescent="0.3">
      <c r="AN2905">
        <v>2901</v>
      </c>
      <c r="AO2905" s="11">
        <v>26399.02</v>
      </c>
      <c r="AP2905" s="9">
        <v>3.5331342192914765</v>
      </c>
    </row>
    <row r="2906" spans="40:42" x14ac:dyDescent="0.3">
      <c r="AN2906">
        <v>2902</v>
      </c>
      <c r="AO2906" s="11">
        <v>34388.86</v>
      </c>
      <c r="AP2906" s="9">
        <v>3.903404036923678</v>
      </c>
    </row>
    <row r="2907" spans="40:42" x14ac:dyDescent="0.3">
      <c r="AN2907">
        <v>2903</v>
      </c>
      <c r="AO2907" s="11">
        <v>36149.279999999999</v>
      </c>
      <c r="AP2907" s="9">
        <v>3.8926532550665454</v>
      </c>
    </row>
    <row r="2908" spans="40:42" x14ac:dyDescent="0.3">
      <c r="AN2908">
        <v>2904</v>
      </c>
      <c r="AO2908" s="11">
        <v>25946.25</v>
      </c>
      <c r="AP2908" s="9">
        <v>4.0250658354443916</v>
      </c>
    </row>
    <row r="2909" spans="40:42" x14ac:dyDescent="0.3">
      <c r="AN2909">
        <v>2905</v>
      </c>
      <c r="AO2909" s="11">
        <v>31364.7</v>
      </c>
      <c r="AP2909" s="9">
        <v>3.8841865472523249</v>
      </c>
    </row>
    <row r="2910" spans="40:42" x14ac:dyDescent="0.3">
      <c r="AN2910">
        <v>2906</v>
      </c>
      <c r="AO2910" s="11">
        <v>19517.39</v>
      </c>
      <c r="AP2910" s="9">
        <v>3.180364496878493</v>
      </c>
    </row>
    <row r="2911" spans="40:42" x14ac:dyDescent="0.3">
      <c r="AN2911">
        <v>2907</v>
      </c>
      <c r="AO2911" s="11">
        <v>14323.03</v>
      </c>
      <c r="AP2911" s="9">
        <v>3.4007425256464399</v>
      </c>
    </row>
    <row r="2912" spans="40:42" x14ac:dyDescent="0.3">
      <c r="AN2912">
        <v>2908</v>
      </c>
      <c r="AO2912" s="11">
        <v>18731.86</v>
      </c>
      <c r="AP2912" s="9">
        <v>3.0796309869122367</v>
      </c>
    </row>
    <row r="2913" spans="40:42" x14ac:dyDescent="0.3">
      <c r="AN2913">
        <v>2909</v>
      </c>
      <c r="AO2913" s="11">
        <v>22706.3</v>
      </c>
      <c r="AP2913" s="9">
        <v>2.8493498334758809</v>
      </c>
    </row>
    <row r="2914" spans="40:42" x14ac:dyDescent="0.3">
      <c r="AN2914">
        <v>2910</v>
      </c>
      <c r="AO2914" s="11">
        <v>38676</v>
      </c>
      <c r="AP2914" s="9">
        <v>3.3978672960677918</v>
      </c>
    </row>
    <row r="2915" spans="40:42" x14ac:dyDescent="0.3">
      <c r="AN2915">
        <v>2911</v>
      </c>
      <c r="AO2915" s="11">
        <v>30427.06</v>
      </c>
      <c r="AP2915" s="9">
        <v>3.9431617392414524</v>
      </c>
    </row>
    <row r="2916" spans="40:42" x14ac:dyDescent="0.3">
      <c r="AN2916">
        <v>2912</v>
      </c>
      <c r="AO2916" s="11">
        <v>34612.9</v>
      </c>
      <c r="AP2916" s="9">
        <v>3.6175603501374534</v>
      </c>
    </row>
    <row r="2917" spans="40:42" x14ac:dyDescent="0.3">
      <c r="AN2917">
        <v>2913</v>
      </c>
      <c r="AO2917" s="11">
        <v>18684</v>
      </c>
      <c r="AP2917" s="9">
        <v>3.727376923622491</v>
      </c>
    </row>
    <row r="2918" spans="40:42" x14ac:dyDescent="0.3">
      <c r="AN2918">
        <v>2914</v>
      </c>
      <c r="AO2918" s="11">
        <v>22718.38</v>
      </c>
      <c r="AP2918" s="9">
        <v>3.9852650830716811</v>
      </c>
    </row>
    <row r="2919" spans="40:42" x14ac:dyDescent="0.3">
      <c r="AN2919">
        <v>2915</v>
      </c>
      <c r="AO2919" s="11">
        <v>14634.85</v>
      </c>
      <c r="AP2919" s="9">
        <v>3.3633176994144307</v>
      </c>
    </row>
    <row r="2920" spans="40:42" x14ac:dyDescent="0.3">
      <c r="AN2920">
        <v>2916</v>
      </c>
      <c r="AO2920" s="11">
        <v>17130.150000000001</v>
      </c>
      <c r="AP2920" s="9">
        <v>4.0465530025875012</v>
      </c>
    </row>
    <row r="2921" spans="40:42" x14ac:dyDescent="0.3">
      <c r="AN2921">
        <v>2917</v>
      </c>
      <c r="AO2921" s="11">
        <v>25927.4</v>
      </c>
      <c r="AP2921" s="9">
        <v>3.6205077445689766</v>
      </c>
    </row>
    <row r="2922" spans="40:42" x14ac:dyDescent="0.3">
      <c r="AN2922">
        <v>2918</v>
      </c>
      <c r="AO2922" s="11">
        <v>22189.119999999999</v>
      </c>
      <c r="AP2922" s="9">
        <v>3.057796272419202</v>
      </c>
    </row>
    <row r="2923" spans="40:42" x14ac:dyDescent="0.3">
      <c r="AN2923">
        <v>2919</v>
      </c>
      <c r="AO2923" s="11">
        <v>27419.02</v>
      </c>
      <c r="AP2923" s="9">
        <v>3.0017343354930355</v>
      </c>
    </row>
    <row r="2924" spans="40:42" x14ac:dyDescent="0.3">
      <c r="AN2924">
        <v>2920</v>
      </c>
      <c r="AO2924" s="11">
        <v>24668.53</v>
      </c>
      <c r="AP2924" s="9">
        <v>3.4059913393918375</v>
      </c>
    </row>
    <row r="2925" spans="40:42" x14ac:dyDescent="0.3">
      <c r="AN2925">
        <v>2921</v>
      </c>
      <c r="AO2925" s="11">
        <v>25386.35</v>
      </c>
      <c r="AP2925" s="9">
        <v>2.8245603097407108</v>
      </c>
    </row>
    <row r="2926" spans="40:42" x14ac:dyDescent="0.3">
      <c r="AN2926">
        <v>2922</v>
      </c>
      <c r="AO2926" s="11">
        <v>27269.8</v>
      </c>
      <c r="AP2926" s="9">
        <v>2.7966346000151394</v>
      </c>
    </row>
    <row r="2927" spans="40:42" x14ac:dyDescent="0.3">
      <c r="AN2927">
        <v>2923</v>
      </c>
      <c r="AO2927" s="11">
        <v>37752.120000000003</v>
      </c>
      <c r="AP2927" s="9">
        <v>4.0060288920770644</v>
      </c>
    </row>
    <row r="2928" spans="40:42" x14ac:dyDescent="0.3">
      <c r="AN2928">
        <v>2924</v>
      </c>
      <c r="AO2928" s="11">
        <v>21870.01</v>
      </c>
      <c r="AP2928" s="9">
        <v>3.0107427045298958</v>
      </c>
    </row>
    <row r="2929" spans="40:42" x14ac:dyDescent="0.3">
      <c r="AN2929">
        <v>2925</v>
      </c>
      <c r="AO2929" s="11">
        <v>27733.88</v>
      </c>
      <c r="AP2929" s="9">
        <v>3.2604435511381515</v>
      </c>
    </row>
    <row r="2930" spans="40:42" x14ac:dyDescent="0.3">
      <c r="AN2930">
        <v>2926</v>
      </c>
      <c r="AO2930" s="11">
        <v>27438.14</v>
      </c>
      <c r="AP2930" s="9">
        <v>3.3091330792931939</v>
      </c>
    </row>
    <row r="2931" spans="40:42" x14ac:dyDescent="0.3">
      <c r="AN2931">
        <v>2927</v>
      </c>
      <c r="AO2931" s="11">
        <v>22890.880000000001</v>
      </c>
      <c r="AP2931" s="9">
        <v>3.2150768422113352</v>
      </c>
    </row>
    <row r="2932" spans="40:42" x14ac:dyDescent="0.3">
      <c r="AN2932">
        <v>2928</v>
      </c>
      <c r="AO2932" s="11">
        <v>37732.32</v>
      </c>
      <c r="AP2932" s="9">
        <v>3.8900590667231034</v>
      </c>
    </row>
    <row r="2933" spans="40:42" x14ac:dyDescent="0.3">
      <c r="AN2933">
        <v>2929</v>
      </c>
      <c r="AO2933" s="11">
        <v>28127.78</v>
      </c>
      <c r="AP2933" s="9">
        <v>3.2525260497225807</v>
      </c>
    </row>
    <row r="2934" spans="40:42" x14ac:dyDescent="0.3">
      <c r="AN2934">
        <v>2930</v>
      </c>
      <c r="AO2934" s="11">
        <v>34985.230000000003</v>
      </c>
      <c r="AP2934" s="9">
        <v>3.3877680882271344</v>
      </c>
    </row>
    <row r="2935" spans="40:42" x14ac:dyDescent="0.3">
      <c r="AN2935">
        <v>2931</v>
      </c>
      <c r="AO2935" s="11">
        <v>32070.89</v>
      </c>
      <c r="AP2935" s="9">
        <v>3.7496721986430357</v>
      </c>
    </row>
    <row r="2936" spans="40:42" x14ac:dyDescent="0.3">
      <c r="AN2936">
        <v>2932</v>
      </c>
      <c r="AO2936" s="11">
        <v>28508.33</v>
      </c>
      <c r="AP2936" s="9">
        <v>3.3312587820252544</v>
      </c>
    </row>
    <row r="2937" spans="40:42" x14ac:dyDescent="0.3">
      <c r="AN2937">
        <v>2933</v>
      </c>
      <c r="AO2937" s="11">
        <v>32655.73</v>
      </c>
      <c r="AP2937" s="9">
        <v>3.5562701644918935</v>
      </c>
    </row>
    <row r="2938" spans="40:42" x14ac:dyDescent="0.3">
      <c r="AN2938">
        <v>2934</v>
      </c>
      <c r="AO2938" s="11">
        <v>32178.82</v>
      </c>
      <c r="AP2938" s="9">
        <v>3.2318958459275575</v>
      </c>
    </row>
    <row r="2939" spans="40:42" x14ac:dyDescent="0.3">
      <c r="AN2939">
        <v>2935</v>
      </c>
      <c r="AO2939" s="11">
        <v>39126.11</v>
      </c>
      <c r="AP2939" s="9">
        <v>3.5152746332876621</v>
      </c>
    </row>
    <row r="2940" spans="40:42" x14ac:dyDescent="0.3">
      <c r="AN2940">
        <v>2936</v>
      </c>
      <c r="AO2940" s="11">
        <v>25982.57</v>
      </c>
      <c r="AP2940" s="9">
        <v>3.0688762255755919</v>
      </c>
    </row>
    <row r="2941" spans="40:42" x14ac:dyDescent="0.3">
      <c r="AN2941">
        <v>2937</v>
      </c>
      <c r="AO2941" s="11">
        <v>22783.72</v>
      </c>
      <c r="AP2941" s="9">
        <v>3.1699284489037565</v>
      </c>
    </row>
    <row r="2942" spans="40:42" x14ac:dyDescent="0.3">
      <c r="AN2942">
        <v>2938</v>
      </c>
      <c r="AO2942" s="11">
        <v>28554.69</v>
      </c>
      <c r="AP2942" s="9">
        <v>3.2158959431103655</v>
      </c>
    </row>
    <row r="2943" spans="40:42" x14ac:dyDescent="0.3">
      <c r="AN2943">
        <v>2939</v>
      </c>
      <c r="AO2943" s="11">
        <v>24185.17</v>
      </c>
      <c r="AP2943" s="9">
        <v>2.821001415626037</v>
      </c>
    </row>
    <row r="2944" spans="40:42" x14ac:dyDescent="0.3">
      <c r="AN2944">
        <v>2940</v>
      </c>
      <c r="AO2944" s="11">
        <v>21666.81</v>
      </c>
      <c r="AP2944" s="9">
        <v>2.8812408016988802</v>
      </c>
    </row>
    <row r="2945" spans="40:42" x14ac:dyDescent="0.3">
      <c r="AN2945">
        <v>2941</v>
      </c>
      <c r="AO2945" s="11">
        <v>20599.560000000001</v>
      </c>
      <c r="AP2945" s="9">
        <v>3.1725106322131245</v>
      </c>
    </row>
    <row r="2946" spans="40:42" x14ac:dyDescent="0.3">
      <c r="AN2946">
        <v>2942</v>
      </c>
      <c r="AO2946" s="11">
        <v>24316.61</v>
      </c>
      <c r="AP2946" s="9">
        <v>2.9865239038735556</v>
      </c>
    </row>
    <row r="2947" spans="40:42" x14ac:dyDescent="0.3">
      <c r="AN2947">
        <v>2943</v>
      </c>
      <c r="AO2947" s="11">
        <v>24167.01</v>
      </c>
      <c r="AP2947" s="9">
        <v>3.5608121488880013</v>
      </c>
    </row>
    <row r="2948" spans="40:42" x14ac:dyDescent="0.3">
      <c r="AN2948">
        <v>2944</v>
      </c>
      <c r="AO2948" s="11">
        <v>24143.57</v>
      </c>
      <c r="AP2948" s="9">
        <v>3.0692185635553013</v>
      </c>
    </row>
    <row r="2949" spans="40:42" x14ac:dyDescent="0.3">
      <c r="AN2949">
        <v>2945</v>
      </c>
      <c r="AO2949" s="11">
        <v>25549.58</v>
      </c>
      <c r="AP2949" s="9">
        <v>3.0851177329293167</v>
      </c>
    </row>
    <row r="2950" spans="40:42" x14ac:dyDescent="0.3">
      <c r="AN2950">
        <v>2946</v>
      </c>
      <c r="AO2950" s="11">
        <v>37816.61</v>
      </c>
      <c r="AP2950" s="9">
        <v>3.8078764715981057</v>
      </c>
    </row>
    <row r="2951" spans="40:42" x14ac:dyDescent="0.3">
      <c r="AN2951">
        <v>2947</v>
      </c>
      <c r="AO2951" s="11">
        <v>28280.94</v>
      </c>
      <c r="AP2951" s="9">
        <v>3.6879480977133587</v>
      </c>
    </row>
    <row r="2952" spans="40:42" x14ac:dyDescent="0.3">
      <c r="AN2952">
        <v>2948</v>
      </c>
      <c r="AO2952" s="11">
        <v>21025.69</v>
      </c>
      <c r="AP2952" s="9">
        <v>3.2954051347997328</v>
      </c>
    </row>
    <row r="2953" spans="40:42" x14ac:dyDescent="0.3">
      <c r="AN2953">
        <v>2949</v>
      </c>
      <c r="AO2953" s="11">
        <v>27532.74</v>
      </c>
      <c r="AP2953" s="9">
        <v>3.8368552159799982</v>
      </c>
    </row>
    <row r="2954" spans="40:42" x14ac:dyDescent="0.3">
      <c r="AN2954">
        <v>2950</v>
      </c>
      <c r="AO2954" s="11">
        <v>28552.41</v>
      </c>
      <c r="AP2954" s="9">
        <v>3.9274283089688296</v>
      </c>
    </row>
    <row r="2955" spans="40:42" x14ac:dyDescent="0.3">
      <c r="AN2955">
        <v>2951</v>
      </c>
      <c r="AO2955" s="11">
        <v>38241.94</v>
      </c>
      <c r="AP2955" s="9">
        <v>3.7379125173045056</v>
      </c>
    </row>
    <row r="2956" spans="40:42" x14ac:dyDescent="0.3">
      <c r="AN2956">
        <v>2952</v>
      </c>
      <c r="AO2956" s="11">
        <v>29173.48</v>
      </c>
      <c r="AP2956" s="9">
        <v>2.7277860125012645</v>
      </c>
    </row>
    <row r="2957" spans="40:42" x14ac:dyDescent="0.3">
      <c r="AN2957">
        <v>2953</v>
      </c>
      <c r="AO2957" s="11">
        <v>38252.65</v>
      </c>
      <c r="AP2957" s="9">
        <v>3.8449248188425988</v>
      </c>
    </row>
    <row r="2958" spans="40:42" x14ac:dyDescent="0.3">
      <c r="AN2958">
        <v>2954</v>
      </c>
      <c r="AO2958" s="11">
        <v>13185.05</v>
      </c>
      <c r="AP2958" s="9">
        <v>2.5801609376592416</v>
      </c>
    </row>
    <row r="2959" spans="40:42" x14ac:dyDescent="0.3">
      <c r="AN2959">
        <v>2955</v>
      </c>
      <c r="AO2959" s="11">
        <v>35118.080000000002</v>
      </c>
      <c r="AP2959" s="9">
        <v>3.4207542260484955</v>
      </c>
    </row>
    <row r="2960" spans="40:42" x14ac:dyDescent="0.3">
      <c r="AN2960">
        <v>2956</v>
      </c>
      <c r="AO2960" s="11">
        <v>34144.699999999997</v>
      </c>
      <c r="AP2960" s="9">
        <v>3.1821097488254781</v>
      </c>
    </row>
    <row r="2961" spans="40:42" x14ac:dyDescent="0.3">
      <c r="AN2961">
        <v>2957</v>
      </c>
      <c r="AO2961" s="11">
        <v>37265.760000000002</v>
      </c>
      <c r="AP2961" s="9">
        <v>3.5121183116281252</v>
      </c>
    </row>
    <row r="2962" spans="40:42" x14ac:dyDescent="0.3">
      <c r="AN2962">
        <v>2958</v>
      </c>
      <c r="AO2962" s="11">
        <v>21897.24</v>
      </c>
      <c r="AP2962" s="9">
        <v>2.8034232685738938</v>
      </c>
    </row>
    <row r="2963" spans="40:42" x14ac:dyDescent="0.3">
      <c r="AN2963">
        <v>2959</v>
      </c>
      <c r="AO2963" s="11">
        <v>33533.370000000003</v>
      </c>
      <c r="AP2963" s="9">
        <v>3.2561832255241154</v>
      </c>
    </row>
    <row r="2964" spans="40:42" x14ac:dyDescent="0.3">
      <c r="AN2964">
        <v>2960</v>
      </c>
      <c r="AO2964" s="11">
        <v>33572.15</v>
      </c>
      <c r="AP2964" s="9">
        <v>3.4799459642640076</v>
      </c>
    </row>
    <row r="2965" spans="40:42" x14ac:dyDescent="0.3">
      <c r="AN2965">
        <v>2961</v>
      </c>
      <c r="AO2965" s="11">
        <v>25208.3</v>
      </c>
      <c r="AP2965" s="9">
        <v>3.5152079267808234</v>
      </c>
    </row>
    <row r="2966" spans="40:42" x14ac:dyDescent="0.3">
      <c r="AN2966">
        <v>2962</v>
      </c>
      <c r="AO2966" s="11">
        <v>30120.05</v>
      </c>
      <c r="AP2966" s="9">
        <v>3.7804053489553713</v>
      </c>
    </row>
    <row r="2967" spans="40:42" x14ac:dyDescent="0.3">
      <c r="AN2967">
        <v>2963</v>
      </c>
      <c r="AO2967" s="11">
        <v>29034.799999999999</v>
      </c>
      <c r="AP2967" s="9">
        <v>4.1767535844094388</v>
      </c>
    </row>
    <row r="2968" spans="40:42" x14ac:dyDescent="0.3">
      <c r="AN2968">
        <v>2964</v>
      </c>
      <c r="AO2968" s="11">
        <v>27291.759999999998</v>
      </c>
      <c r="AP2968" s="9">
        <v>3.3480115566318362</v>
      </c>
    </row>
    <row r="2969" spans="40:42" x14ac:dyDescent="0.3">
      <c r="AN2969">
        <v>2965</v>
      </c>
      <c r="AO2969" s="11">
        <v>16923.04</v>
      </c>
      <c r="AP2969" s="9">
        <v>2.9895283099914893</v>
      </c>
    </row>
    <row r="2970" spans="40:42" x14ac:dyDescent="0.3">
      <c r="AN2970">
        <v>2966</v>
      </c>
      <c r="AO2970" s="11">
        <v>18546.28</v>
      </c>
      <c r="AP2970" s="9">
        <v>3.5087096849291357</v>
      </c>
    </row>
    <row r="2971" spans="40:42" x14ac:dyDescent="0.3">
      <c r="AN2971">
        <v>2967</v>
      </c>
      <c r="AO2971" s="11">
        <v>32820.519999999997</v>
      </c>
      <c r="AP2971" s="9">
        <v>3.7898568975719038</v>
      </c>
    </row>
    <row r="2972" spans="40:42" x14ac:dyDescent="0.3">
      <c r="AN2972">
        <v>2968</v>
      </c>
      <c r="AO2972" s="11">
        <v>22080.1</v>
      </c>
      <c r="AP2972" s="9">
        <v>3.0927709677610506</v>
      </c>
    </row>
    <row r="2973" spans="40:42" x14ac:dyDescent="0.3">
      <c r="AN2973">
        <v>2969</v>
      </c>
      <c r="AO2973" s="11">
        <v>20089.68</v>
      </c>
      <c r="AP2973" s="9">
        <v>3.2058419356943366</v>
      </c>
    </row>
    <row r="2974" spans="40:42" x14ac:dyDescent="0.3">
      <c r="AN2974">
        <v>2970</v>
      </c>
      <c r="AO2974" s="11">
        <v>19144.57</v>
      </c>
      <c r="AP2974" s="9">
        <v>3.0820583315791046</v>
      </c>
    </row>
    <row r="2975" spans="40:42" x14ac:dyDescent="0.3">
      <c r="AN2975">
        <v>2971</v>
      </c>
      <c r="AO2975" s="11">
        <v>23922.240000000002</v>
      </c>
      <c r="AP2975" s="9">
        <v>2.9894369767171796</v>
      </c>
    </row>
    <row r="2976" spans="40:42" x14ac:dyDescent="0.3">
      <c r="AN2976">
        <v>2972</v>
      </c>
      <c r="AO2976" s="11">
        <v>31552.65</v>
      </c>
      <c r="AP2976" s="9">
        <v>3.3442979666497159</v>
      </c>
    </row>
    <row r="2977" spans="40:42" x14ac:dyDescent="0.3">
      <c r="AN2977">
        <v>2973</v>
      </c>
      <c r="AO2977" s="11">
        <v>21049.360000000001</v>
      </c>
      <c r="AP2977" s="9">
        <v>3.172458543695488</v>
      </c>
    </row>
    <row r="2978" spans="40:42" x14ac:dyDescent="0.3">
      <c r="AN2978">
        <v>2974</v>
      </c>
      <c r="AO2978" s="11">
        <v>34520.15</v>
      </c>
      <c r="AP2978" s="9">
        <v>3.5775904451397214</v>
      </c>
    </row>
    <row r="2979" spans="40:42" x14ac:dyDescent="0.3">
      <c r="AN2979">
        <v>2975</v>
      </c>
      <c r="AO2979" s="11">
        <v>33063.75</v>
      </c>
      <c r="AP2979" s="9">
        <v>3.2254418873646244</v>
      </c>
    </row>
    <row r="2980" spans="40:42" x14ac:dyDescent="0.3">
      <c r="AN2980">
        <v>2976</v>
      </c>
      <c r="AO2980" s="11">
        <v>29797.63</v>
      </c>
      <c r="AP2980" s="9">
        <v>3.4955582634328906</v>
      </c>
    </row>
    <row r="2981" spans="40:42" x14ac:dyDescent="0.3">
      <c r="AN2981">
        <v>2977</v>
      </c>
      <c r="AO2981" s="11">
        <v>32843.86</v>
      </c>
      <c r="AP2981" s="9">
        <v>3.0715844874090261</v>
      </c>
    </row>
    <row r="2982" spans="40:42" x14ac:dyDescent="0.3">
      <c r="AN2982">
        <v>2978</v>
      </c>
      <c r="AO2982" s="11">
        <v>28971.84</v>
      </c>
      <c r="AP2982" s="9">
        <v>3.1250995390437666</v>
      </c>
    </row>
    <row r="2983" spans="40:42" x14ac:dyDescent="0.3">
      <c r="AN2983">
        <v>2979</v>
      </c>
      <c r="AO2983" s="11">
        <v>32815.58</v>
      </c>
      <c r="AP2983" s="9">
        <v>3.8110864135589462</v>
      </c>
    </row>
    <row r="2984" spans="40:42" x14ac:dyDescent="0.3">
      <c r="AN2984">
        <v>2980</v>
      </c>
      <c r="AO2984" s="11">
        <v>17742.05</v>
      </c>
      <c r="AP2984" s="9">
        <v>3.4389158610948578</v>
      </c>
    </row>
    <row r="2985" spans="40:42" x14ac:dyDescent="0.3">
      <c r="AN2985">
        <v>2981</v>
      </c>
      <c r="AO2985" s="11">
        <v>20494.39</v>
      </c>
      <c r="AP2985" s="9">
        <v>3.2366206233550807</v>
      </c>
    </row>
    <row r="2986" spans="40:42" x14ac:dyDescent="0.3">
      <c r="AN2986">
        <v>2982</v>
      </c>
      <c r="AO2986" s="11">
        <v>38395.78</v>
      </c>
      <c r="AP2986" s="9">
        <v>3.689794013889014</v>
      </c>
    </row>
    <row r="2987" spans="40:42" x14ac:dyDescent="0.3">
      <c r="AN2987">
        <v>2983</v>
      </c>
      <c r="AO2987" s="11">
        <v>27148.29</v>
      </c>
      <c r="AP2987" s="9">
        <v>4.015330409706193</v>
      </c>
    </row>
    <row r="2988" spans="40:42" x14ac:dyDescent="0.3">
      <c r="AN2988">
        <v>2984</v>
      </c>
      <c r="AO2988" s="11">
        <v>40472.86</v>
      </c>
      <c r="AP2988" s="9">
        <v>3.7307290488536471</v>
      </c>
    </row>
    <row r="2989" spans="40:42" x14ac:dyDescent="0.3">
      <c r="AN2989">
        <v>2985</v>
      </c>
      <c r="AO2989" s="11">
        <v>27502.25</v>
      </c>
      <c r="AP2989" s="9">
        <v>3.3980248948581862</v>
      </c>
    </row>
    <row r="2990" spans="40:42" x14ac:dyDescent="0.3">
      <c r="AN2990">
        <v>2986</v>
      </c>
      <c r="AO2990" s="11">
        <v>34723.29</v>
      </c>
      <c r="AP2990" s="9">
        <v>4.0008505932599885</v>
      </c>
    </row>
    <row r="2991" spans="40:42" x14ac:dyDescent="0.3">
      <c r="AN2991">
        <v>2987</v>
      </c>
      <c r="AO2991" s="11">
        <v>28061.78</v>
      </c>
      <c r="AP2991" s="9">
        <v>2.8413323808488578</v>
      </c>
    </row>
    <row r="2992" spans="40:42" x14ac:dyDescent="0.3">
      <c r="AN2992">
        <v>2988</v>
      </c>
      <c r="AO2992" s="11">
        <v>22006.04</v>
      </c>
      <c r="AP2992" s="9">
        <v>3.6822034669466635</v>
      </c>
    </row>
    <row r="2993" spans="40:42" x14ac:dyDescent="0.3">
      <c r="AN2993">
        <v>2989</v>
      </c>
      <c r="AO2993" s="11">
        <v>25365.75</v>
      </c>
      <c r="AP2993" s="9">
        <v>3.0203488957646822</v>
      </c>
    </row>
    <row r="2994" spans="40:42" x14ac:dyDescent="0.3">
      <c r="AN2994">
        <v>2990</v>
      </c>
      <c r="AO2994" s="11">
        <v>31327.74</v>
      </c>
      <c r="AP2994" s="9">
        <v>3.9033856568618446</v>
      </c>
    </row>
    <row r="2995" spans="40:42" x14ac:dyDescent="0.3">
      <c r="AN2995">
        <v>2991</v>
      </c>
      <c r="AO2995" s="11">
        <v>49860.47</v>
      </c>
      <c r="AP2995" s="9">
        <v>3.8322456072011692</v>
      </c>
    </row>
    <row r="2996" spans="40:42" x14ac:dyDescent="0.3">
      <c r="AN2996">
        <v>2992</v>
      </c>
      <c r="AO2996" s="11">
        <v>25778.36</v>
      </c>
      <c r="AP2996" s="9">
        <v>3.462484498464935</v>
      </c>
    </row>
    <row r="2997" spans="40:42" x14ac:dyDescent="0.3">
      <c r="AN2997">
        <v>2993</v>
      </c>
      <c r="AO2997" s="11">
        <v>52914.51</v>
      </c>
      <c r="AP2997" s="9">
        <v>3.785690396331109</v>
      </c>
    </row>
    <row r="2998" spans="40:42" x14ac:dyDescent="0.3">
      <c r="AN2998">
        <v>2994</v>
      </c>
      <c r="AO2998" s="11">
        <v>40608.94</v>
      </c>
      <c r="AP2998" s="9">
        <v>3.9155598646903096</v>
      </c>
    </row>
    <row r="2999" spans="40:42" x14ac:dyDescent="0.3">
      <c r="AN2999">
        <v>2995</v>
      </c>
      <c r="AO2999" s="11">
        <v>19420.37</v>
      </c>
      <c r="AP2999" s="9">
        <v>3.3149119514641718</v>
      </c>
    </row>
    <row r="3000" spans="40:42" x14ac:dyDescent="0.3">
      <c r="AN3000">
        <v>2996</v>
      </c>
      <c r="AO3000" s="11">
        <v>24868.01</v>
      </c>
      <c r="AP3000" s="9">
        <v>4.1730802268998524</v>
      </c>
    </row>
    <row r="3001" spans="40:42" x14ac:dyDescent="0.3">
      <c r="AN3001">
        <v>2997</v>
      </c>
      <c r="AO3001" s="11">
        <v>34583.32</v>
      </c>
      <c r="AP3001" s="9">
        <v>3.2187549399163076</v>
      </c>
    </row>
    <row r="3002" spans="40:42" x14ac:dyDescent="0.3">
      <c r="AN3002">
        <v>2998</v>
      </c>
      <c r="AO3002" s="11">
        <v>18835.59</v>
      </c>
      <c r="AP3002" s="9">
        <v>2.8830221165708951</v>
      </c>
    </row>
    <row r="3003" spans="40:42" x14ac:dyDescent="0.3">
      <c r="AN3003">
        <v>2999</v>
      </c>
      <c r="AO3003" s="11">
        <v>26410.02</v>
      </c>
      <c r="AP3003" s="9">
        <v>3.0739948936148633</v>
      </c>
    </row>
    <row r="3004" spans="40:42" x14ac:dyDescent="0.3">
      <c r="AN3004">
        <v>3000</v>
      </c>
      <c r="AO3004" s="11">
        <v>18635.14</v>
      </c>
      <c r="AP3004" s="9">
        <v>3.3296822413957701</v>
      </c>
    </row>
    <row r="3005" spans="40:42" x14ac:dyDescent="0.3">
      <c r="AN3005">
        <v>3001</v>
      </c>
      <c r="AO3005" s="11">
        <v>35907.440000000002</v>
      </c>
      <c r="AP3005" s="9">
        <v>3.3977944711176806</v>
      </c>
    </row>
    <row r="3006" spans="40:42" x14ac:dyDescent="0.3">
      <c r="AN3006">
        <v>3002</v>
      </c>
      <c r="AO3006" s="11">
        <v>25844.43</v>
      </c>
      <c r="AP3006" s="9">
        <v>3.2019809123848422</v>
      </c>
    </row>
    <row r="3007" spans="40:42" x14ac:dyDescent="0.3">
      <c r="AN3007">
        <v>3003</v>
      </c>
      <c r="AO3007" s="11">
        <v>35120.959999999999</v>
      </c>
      <c r="AP3007" s="9">
        <v>3.4103976501185427</v>
      </c>
    </row>
    <row r="3008" spans="40:42" x14ac:dyDescent="0.3">
      <c r="AN3008">
        <v>3004</v>
      </c>
      <c r="AO3008" s="11">
        <v>30322.03</v>
      </c>
      <c r="AP3008" s="9">
        <v>3.5250115379317317</v>
      </c>
    </row>
    <row r="3009" spans="40:42" x14ac:dyDescent="0.3">
      <c r="AN3009">
        <v>3005</v>
      </c>
      <c r="AO3009" s="11">
        <v>29595.16</v>
      </c>
      <c r="AP3009" s="9">
        <v>3.5653190418467977</v>
      </c>
    </row>
    <row r="3010" spans="40:42" x14ac:dyDescent="0.3">
      <c r="AN3010">
        <v>3006</v>
      </c>
      <c r="AO3010" s="11">
        <v>22588.6</v>
      </c>
      <c r="AP3010" s="9">
        <v>3.3944127514234479</v>
      </c>
    </row>
    <row r="3011" spans="40:42" x14ac:dyDescent="0.3">
      <c r="AN3011">
        <v>3007</v>
      </c>
      <c r="AO3011" s="11">
        <v>18800.169999999998</v>
      </c>
      <c r="AP3011" s="9">
        <v>2.8223084963949372</v>
      </c>
    </row>
    <row r="3012" spans="40:42" x14ac:dyDescent="0.3">
      <c r="AN3012">
        <v>3008</v>
      </c>
      <c r="AO3012" s="11">
        <v>27683.85</v>
      </c>
      <c r="AP3012" s="9">
        <v>3.7561924276072949</v>
      </c>
    </row>
    <row r="3013" spans="40:42" x14ac:dyDescent="0.3">
      <c r="AN3013">
        <v>3009</v>
      </c>
      <c r="AO3013" s="11">
        <v>34889.620000000003</v>
      </c>
      <c r="AP3013" s="9">
        <v>3.3270014954553755</v>
      </c>
    </row>
    <row r="3014" spans="40:42" x14ac:dyDescent="0.3">
      <c r="AN3014">
        <v>3010</v>
      </c>
      <c r="AO3014" s="11">
        <v>40061.379999999997</v>
      </c>
      <c r="AP3014" s="9">
        <v>4.3960631239979273</v>
      </c>
    </row>
    <row r="3015" spans="40:42" x14ac:dyDescent="0.3">
      <c r="AN3015">
        <v>3011</v>
      </c>
      <c r="AO3015" s="11">
        <v>44349.05</v>
      </c>
      <c r="AP3015" s="9">
        <v>3.9411850328496589</v>
      </c>
    </row>
    <row r="3016" spans="40:42" x14ac:dyDescent="0.3">
      <c r="AN3016">
        <v>3012</v>
      </c>
      <c r="AO3016" s="11">
        <v>25194.83</v>
      </c>
      <c r="AP3016" s="9">
        <v>2.594166138951004</v>
      </c>
    </row>
    <row r="3017" spans="40:42" x14ac:dyDescent="0.3">
      <c r="AN3017">
        <v>3013</v>
      </c>
      <c r="AO3017" s="11">
        <v>38345.25</v>
      </c>
      <c r="AP3017" s="9">
        <v>3.1461639987083361</v>
      </c>
    </row>
    <row r="3018" spans="40:42" x14ac:dyDescent="0.3">
      <c r="AN3018">
        <v>3014</v>
      </c>
      <c r="AO3018" s="11">
        <v>30644.47</v>
      </c>
      <c r="AP3018" s="9">
        <v>3.6544414064745201</v>
      </c>
    </row>
    <row r="3019" spans="40:42" x14ac:dyDescent="0.3">
      <c r="AN3019">
        <v>3015</v>
      </c>
      <c r="AO3019" s="11">
        <v>18432.87</v>
      </c>
      <c r="AP3019" s="9">
        <v>2.8685069227202313</v>
      </c>
    </row>
    <row r="3020" spans="40:42" x14ac:dyDescent="0.3">
      <c r="AN3020">
        <v>3016</v>
      </c>
      <c r="AO3020" s="11">
        <v>30582.080000000002</v>
      </c>
      <c r="AP3020" s="9">
        <v>2.7568651967794078</v>
      </c>
    </row>
    <row r="3021" spans="40:42" x14ac:dyDescent="0.3">
      <c r="AN3021">
        <v>3017</v>
      </c>
      <c r="AO3021" s="11">
        <v>22522.61</v>
      </c>
      <c r="AP3021" s="9">
        <v>3.1023514958904621</v>
      </c>
    </row>
    <row r="3022" spans="40:42" x14ac:dyDescent="0.3">
      <c r="AN3022">
        <v>3018</v>
      </c>
      <c r="AO3022" s="11">
        <v>15823.88</v>
      </c>
      <c r="AP3022" s="9">
        <v>3.5443439371504457</v>
      </c>
    </row>
    <row r="3023" spans="40:42" x14ac:dyDescent="0.3">
      <c r="AN3023">
        <v>3019</v>
      </c>
      <c r="AO3023" s="11">
        <v>35443.81</v>
      </c>
      <c r="AP3023" s="9">
        <v>3.4459066331696038</v>
      </c>
    </row>
    <row r="3024" spans="40:42" x14ac:dyDescent="0.3">
      <c r="AN3024">
        <v>3020</v>
      </c>
      <c r="AO3024" s="11">
        <v>29547.7</v>
      </c>
      <c r="AP3024" s="9">
        <v>3.6055375816487221</v>
      </c>
    </row>
    <row r="3025" spans="40:42" x14ac:dyDescent="0.3">
      <c r="AN3025">
        <v>3021</v>
      </c>
      <c r="AO3025" s="11">
        <v>42870.65</v>
      </c>
      <c r="AP3025" s="9">
        <v>3.7793199407681159</v>
      </c>
    </row>
    <row r="3026" spans="40:42" x14ac:dyDescent="0.3">
      <c r="AN3026">
        <v>3022</v>
      </c>
      <c r="AO3026" s="11">
        <v>38099.39</v>
      </c>
      <c r="AP3026" s="9">
        <v>3.8232031193946368</v>
      </c>
    </row>
    <row r="3027" spans="40:42" x14ac:dyDescent="0.3">
      <c r="AN3027">
        <v>3023</v>
      </c>
      <c r="AO3027" s="11">
        <v>36896.870000000003</v>
      </c>
      <c r="AP3027" s="9">
        <v>4.0401414654509802</v>
      </c>
    </row>
    <row r="3028" spans="40:42" x14ac:dyDescent="0.3">
      <c r="AN3028">
        <v>3024</v>
      </c>
      <c r="AO3028" s="11">
        <v>21687.38</v>
      </c>
      <c r="AP3028" s="9">
        <v>3.2685726970950846</v>
      </c>
    </row>
    <row r="3029" spans="40:42" x14ac:dyDescent="0.3">
      <c r="AN3029">
        <v>3025</v>
      </c>
      <c r="AO3029" s="11">
        <v>29090.58</v>
      </c>
      <c r="AP3029" s="9">
        <v>3.4334388540423961</v>
      </c>
    </row>
    <row r="3030" spans="40:42" x14ac:dyDescent="0.3">
      <c r="AN3030">
        <v>3026</v>
      </c>
      <c r="AO3030" s="11">
        <v>40628.129999999997</v>
      </c>
      <c r="AP3030" s="9">
        <v>3.6764596964768002</v>
      </c>
    </row>
    <row r="3031" spans="40:42" x14ac:dyDescent="0.3">
      <c r="AN3031">
        <v>3027</v>
      </c>
      <c r="AO3031" s="11">
        <v>26321.64</v>
      </c>
      <c r="AP3031" s="9">
        <v>3.8758560092519336</v>
      </c>
    </row>
    <row r="3032" spans="40:42" x14ac:dyDescent="0.3">
      <c r="AN3032">
        <v>3028</v>
      </c>
      <c r="AO3032" s="11">
        <v>20107.52</v>
      </c>
      <c r="AP3032" s="9">
        <v>2.9270832015837054</v>
      </c>
    </row>
    <row r="3033" spans="40:42" x14ac:dyDescent="0.3">
      <c r="AN3033">
        <v>3029</v>
      </c>
      <c r="AO3033" s="11">
        <v>28095.599999999999</v>
      </c>
      <c r="AP3033" s="9">
        <v>4.4371919912967837</v>
      </c>
    </row>
    <row r="3034" spans="40:42" x14ac:dyDescent="0.3">
      <c r="AN3034">
        <v>3030</v>
      </c>
      <c r="AO3034" s="11">
        <v>27173.43</v>
      </c>
      <c r="AP3034" s="9">
        <v>3.4512568288113887</v>
      </c>
    </row>
    <row r="3035" spans="40:42" x14ac:dyDescent="0.3">
      <c r="AN3035">
        <v>3031</v>
      </c>
      <c r="AO3035" s="11">
        <v>30083.51</v>
      </c>
      <c r="AP3035" s="9">
        <v>3.2794485883236115</v>
      </c>
    </row>
    <row r="3036" spans="40:42" x14ac:dyDescent="0.3">
      <c r="AN3036">
        <v>3032</v>
      </c>
      <c r="AO3036" s="11">
        <v>32164.720000000001</v>
      </c>
      <c r="AP3036" s="9">
        <v>3.6877957310842726</v>
      </c>
    </row>
    <row r="3037" spans="40:42" x14ac:dyDescent="0.3">
      <c r="AN3037">
        <v>3033</v>
      </c>
      <c r="AO3037" s="11">
        <v>19580.349999999999</v>
      </c>
      <c r="AP3037" s="9">
        <v>3.0344236481787088</v>
      </c>
    </row>
    <row r="3038" spans="40:42" x14ac:dyDescent="0.3">
      <c r="AN3038">
        <v>3034</v>
      </c>
      <c r="AO3038" s="11">
        <v>28411</v>
      </c>
      <c r="AP3038" s="9">
        <v>3.4852844122871676</v>
      </c>
    </row>
    <row r="3039" spans="40:42" x14ac:dyDescent="0.3">
      <c r="AN3039">
        <v>3035</v>
      </c>
      <c r="AO3039" s="11">
        <v>25763.69</v>
      </c>
      <c r="AP3039" s="9">
        <v>3.2819600333481604</v>
      </c>
    </row>
    <row r="3040" spans="40:42" x14ac:dyDescent="0.3">
      <c r="AN3040">
        <v>3036</v>
      </c>
      <c r="AO3040" s="11">
        <v>25041.18</v>
      </c>
      <c r="AP3040" s="9">
        <v>3.7325272765866573</v>
      </c>
    </row>
    <row r="3041" spans="40:42" x14ac:dyDescent="0.3">
      <c r="AN3041">
        <v>3037</v>
      </c>
      <c r="AO3041" s="11">
        <v>18763.32</v>
      </c>
      <c r="AP3041" s="9">
        <v>3.7588464052230055</v>
      </c>
    </row>
    <row r="3042" spans="40:42" x14ac:dyDescent="0.3">
      <c r="AN3042">
        <v>3038</v>
      </c>
      <c r="AO3042" s="11">
        <v>26977.16</v>
      </c>
      <c r="AP3042" s="9">
        <v>2.9190746442650322</v>
      </c>
    </row>
    <row r="3043" spans="40:42" x14ac:dyDescent="0.3">
      <c r="AN3043">
        <v>3039</v>
      </c>
      <c r="AO3043" s="11">
        <v>33314.339999999997</v>
      </c>
      <c r="AP3043" s="9">
        <v>3.4558775725916795</v>
      </c>
    </row>
    <row r="3044" spans="40:42" x14ac:dyDescent="0.3">
      <c r="AN3044">
        <v>3040</v>
      </c>
      <c r="AO3044" s="11">
        <v>17303.45</v>
      </c>
      <c r="AP3044" s="9">
        <v>3.7074621580628069</v>
      </c>
    </row>
    <row r="3045" spans="40:42" x14ac:dyDescent="0.3">
      <c r="AN3045">
        <v>3041</v>
      </c>
      <c r="AO3045" s="11">
        <v>26190.93</v>
      </c>
      <c r="AP3045" s="9">
        <v>3.4988031267223967</v>
      </c>
    </row>
    <row r="3046" spans="40:42" x14ac:dyDescent="0.3">
      <c r="AN3046">
        <v>3042</v>
      </c>
      <c r="AO3046" s="11">
        <v>20014.939999999999</v>
      </c>
      <c r="AP3046" s="9">
        <v>3.1326063338750001</v>
      </c>
    </row>
    <row r="3047" spans="40:42" x14ac:dyDescent="0.3">
      <c r="AN3047">
        <v>3043</v>
      </c>
      <c r="AO3047" s="11">
        <v>22983.03</v>
      </c>
      <c r="AP3047" s="9">
        <v>3.0513211158026348</v>
      </c>
    </row>
    <row r="3048" spans="40:42" x14ac:dyDescent="0.3">
      <c r="AN3048">
        <v>3044</v>
      </c>
      <c r="AO3048" s="11">
        <v>22744.46</v>
      </c>
      <c r="AP3048" s="9">
        <v>3.0290374640789421</v>
      </c>
    </row>
    <row r="3049" spans="40:42" x14ac:dyDescent="0.3">
      <c r="AN3049">
        <v>3045</v>
      </c>
      <c r="AO3049" s="11">
        <v>31948.06</v>
      </c>
      <c r="AP3049" s="9">
        <v>4.1880411426382826</v>
      </c>
    </row>
    <row r="3050" spans="40:42" x14ac:dyDescent="0.3">
      <c r="AN3050">
        <v>3046</v>
      </c>
      <c r="AO3050" s="11">
        <v>30158.28</v>
      </c>
      <c r="AP3050" s="9">
        <v>3.5681016592340336</v>
      </c>
    </row>
    <row r="3051" spans="40:42" x14ac:dyDescent="0.3">
      <c r="AN3051">
        <v>3047</v>
      </c>
      <c r="AO3051" s="11">
        <v>28275.1</v>
      </c>
      <c r="AP3051" s="9">
        <v>3.1089640403663035</v>
      </c>
    </row>
    <row r="3052" spans="40:42" x14ac:dyDescent="0.3">
      <c r="AN3052">
        <v>3048</v>
      </c>
      <c r="AO3052" s="11">
        <v>22533.57</v>
      </c>
      <c r="AP3052" s="9">
        <v>3.5215136618302627</v>
      </c>
    </row>
    <row r="3053" spans="40:42" x14ac:dyDescent="0.3">
      <c r="AN3053">
        <v>3049</v>
      </c>
      <c r="AO3053" s="11">
        <v>27522.6</v>
      </c>
      <c r="AP3053" s="9">
        <v>2.9274541974918518</v>
      </c>
    </row>
    <row r="3054" spans="40:42" x14ac:dyDescent="0.3">
      <c r="AN3054">
        <v>3050</v>
      </c>
      <c r="AO3054" s="11">
        <v>31862.34</v>
      </c>
      <c r="AP3054" s="9">
        <v>3.3244664088012819</v>
      </c>
    </row>
    <row r="3055" spans="40:42" x14ac:dyDescent="0.3">
      <c r="AN3055">
        <v>3051</v>
      </c>
      <c r="AO3055" s="11">
        <v>32550.05</v>
      </c>
      <c r="AP3055" s="9">
        <v>3.7372531192257297</v>
      </c>
    </row>
    <row r="3056" spans="40:42" x14ac:dyDescent="0.3">
      <c r="AN3056">
        <v>3052</v>
      </c>
      <c r="AO3056" s="11">
        <v>24237.35</v>
      </c>
      <c r="AP3056" s="9">
        <v>3.6901253910946448</v>
      </c>
    </row>
    <row r="3057" spans="40:42" x14ac:dyDescent="0.3">
      <c r="AN3057">
        <v>3053</v>
      </c>
      <c r="AO3057" s="11">
        <v>24646.83</v>
      </c>
      <c r="AP3057" s="9">
        <v>2.9190197074265769</v>
      </c>
    </row>
    <row r="3058" spans="40:42" x14ac:dyDescent="0.3">
      <c r="AN3058">
        <v>3054</v>
      </c>
      <c r="AO3058" s="11">
        <v>28791.360000000001</v>
      </c>
      <c r="AP3058" s="9">
        <v>3.5574274715195604</v>
      </c>
    </row>
    <row r="3059" spans="40:42" x14ac:dyDescent="0.3">
      <c r="AN3059">
        <v>3055</v>
      </c>
      <c r="AO3059" s="11">
        <v>22860.400000000001</v>
      </c>
      <c r="AP3059" s="9">
        <v>2.9063693132670876</v>
      </c>
    </row>
    <row r="3060" spans="40:42" x14ac:dyDescent="0.3">
      <c r="AN3060">
        <v>3056</v>
      </c>
      <c r="AO3060" s="11">
        <v>31598.77</v>
      </c>
      <c r="AP3060" s="9">
        <v>4.2207881275226402</v>
      </c>
    </row>
    <row r="3061" spans="40:42" x14ac:dyDescent="0.3">
      <c r="AN3061">
        <v>3057</v>
      </c>
      <c r="AO3061" s="11">
        <v>15337.37</v>
      </c>
      <c r="AP3061" s="9">
        <v>3.3347316870962072</v>
      </c>
    </row>
    <row r="3062" spans="40:42" x14ac:dyDescent="0.3">
      <c r="AN3062">
        <v>3058</v>
      </c>
      <c r="AO3062" s="11">
        <v>20205.03</v>
      </c>
      <c r="AP3062" s="9">
        <v>2.7996997382494704</v>
      </c>
    </row>
    <row r="3063" spans="40:42" x14ac:dyDescent="0.3">
      <c r="AN3063">
        <v>3059</v>
      </c>
      <c r="AO3063" s="11">
        <v>47302.239999999998</v>
      </c>
      <c r="AP3063" s="9">
        <v>4.003342676744813</v>
      </c>
    </row>
    <row r="3064" spans="40:42" x14ac:dyDescent="0.3">
      <c r="AN3064">
        <v>3060</v>
      </c>
      <c r="AO3064" s="11">
        <v>20522.71</v>
      </c>
      <c r="AP3064" s="9">
        <v>3.1836957573229134</v>
      </c>
    </row>
    <row r="3065" spans="40:42" x14ac:dyDescent="0.3">
      <c r="AN3065">
        <v>3061</v>
      </c>
      <c r="AO3065" s="11">
        <v>24578.32</v>
      </c>
      <c r="AP3065" s="9">
        <v>3.2476416690384453</v>
      </c>
    </row>
    <row r="3066" spans="40:42" x14ac:dyDescent="0.3">
      <c r="AN3066">
        <v>3062</v>
      </c>
      <c r="AO3066" s="11">
        <v>28988.82</v>
      </c>
      <c r="AP3066" s="9">
        <v>3.6503760537045071</v>
      </c>
    </row>
    <row r="3067" spans="40:42" x14ac:dyDescent="0.3">
      <c r="AN3067">
        <v>3063</v>
      </c>
      <c r="AO3067" s="11">
        <v>37226.129999999997</v>
      </c>
      <c r="AP3067" s="9">
        <v>4.112670202033037</v>
      </c>
    </row>
    <row r="3068" spans="40:42" x14ac:dyDescent="0.3">
      <c r="AN3068">
        <v>3064</v>
      </c>
      <c r="AO3068" s="11">
        <v>21247.56</v>
      </c>
      <c r="AP3068" s="9">
        <v>3.2336571015334323</v>
      </c>
    </row>
    <row r="3069" spans="40:42" x14ac:dyDescent="0.3">
      <c r="AN3069">
        <v>3065</v>
      </c>
      <c r="AO3069" s="11">
        <v>25176.83</v>
      </c>
      <c r="AP3069" s="9">
        <v>3.0427201163103978</v>
      </c>
    </row>
    <row r="3070" spans="40:42" x14ac:dyDescent="0.3">
      <c r="AN3070">
        <v>3066</v>
      </c>
      <c r="AO3070" s="11">
        <v>27387.68</v>
      </c>
      <c r="AP3070" s="9">
        <v>2.8743753609712903</v>
      </c>
    </row>
    <row r="3071" spans="40:42" x14ac:dyDescent="0.3">
      <c r="AN3071">
        <v>3067</v>
      </c>
      <c r="AO3071" s="11">
        <v>21040.14</v>
      </c>
      <c r="AP3071" s="9">
        <v>3.0836452075610601</v>
      </c>
    </row>
    <row r="3072" spans="40:42" x14ac:dyDescent="0.3">
      <c r="AN3072">
        <v>3068</v>
      </c>
      <c r="AO3072" s="11">
        <v>32913.93</v>
      </c>
      <c r="AP3072" s="9">
        <v>3.679053220993866</v>
      </c>
    </row>
    <row r="3073" spans="40:42" x14ac:dyDescent="0.3">
      <c r="AN3073">
        <v>3069</v>
      </c>
      <c r="AO3073" s="11">
        <v>30290.1</v>
      </c>
      <c r="AP3073" s="9">
        <v>3.4340142325428054</v>
      </c>
    </row>
    <row r="3074" spans="40:42" x14ac:dyDescent="0.3">
      <c r="AN3074">
        <v>3070</v>
      </c>
      <c r="AO3074" s="11">
        <v>20176.740000000002</v>
      </c>
      <c r="AP3074" s="9">
        <v>3.7050566560083786</v>
      </c>
    </row>
    <row r="3075" spans="40:42" x14ac:dyDescent="0.3">
      <c r="AN3075">
        <v>3071</v>
      </c>
      <c r="AO3075" s="11">
        <v>32978.449999999997</v>
      </c>
      <c r="AP3075" s="9">
        <v>2.9489742370270715</v>
      </c>
    </row>
    <row r="3076" spans="40:42" x14ac:dyDescent="0.3">
      <c r="AN3076">
        <v>3072</v>
      </c>
      <c r="AO3076" s="11">
        <v>26359.200000000001</v>
      </c>
      <c r="AP3076" s="9">
        <v>3.1410424188016437</v>
      </c>
    </row>
    <row r="3077" spans="40:42" x14ac:dyDescent="0.3">
      <c r="AN3077">
        <v>3073</v>
      </c>
      <c r="AO3077" s="11">
        <v>25178.49</v>
      </c>
      <c r="AP3077" s="9">
        <v>4.2662982120860518</v>
      </c>
    </row>
    <row r="3078" spans="40:42" x14ac:dyDescent="0.3">
      <c r="AN3078">
        <v>3074</v>
      </c>
      <c r="AO3078" s="11">
        <v>16818.07</v>
      </c>
      <c r="AP3078" s="9">
        <v>3.3574010422868832</v>
      </c>
    </row>
    <row r="3079" spans="40:42" x14ac:dyDescent="0.3">
      <c r="AN3079">
        <v>3075</v>
      </c>
      <c r="AO3079" s="11">
        <v>44729.07</v>
      </c>
      <c r="AP3079" s="9">
        <v>4.4997840453532989</v>
      </c>
    </row>
    <row r="3080" spans="40:42" x14ac:dyDescent="0.3">
      <c r="AN3080">
        <v>3076</v>
      </c>
      <c r="AO3080" s="11">
        <v>30268.91</v>
      </c>
      <c r="AP3080" s="9">
        <v>3.1754693395800451</v>
      </c>
    </row>
    <row r="3081" spans="40:42" x14ac:dyDescent="0.3">
      <c r="AN3081">
        <v>3077</v>
      </c>
      <c r="AO3081" s="11">
        <v>26226.31</v>
      </c>
      <c r="AP3081" s="9">
        <v>3.7339036506899821</v>
      </c>
    </row>
    <row r="3082" spans="40:42" x14ac:dyDescent="0.3">
      <c r="AN3082">
        <v>3078</v>
      </c>
      <c r="AO3082" s="11">
        <v>49714.9</v>
      </c>
      <c r="AP3082" s="9">
        <v>3.8128079824482564</v>
      </c>
    </row>
    <row r="3083" spans="40:42" x14ac:dyDescent="0.3">
      <c r="AN3083">
        <v>3079</v>
      </c>
      <c r="AO3083" s="11">
        <v>28423.27</v>
      </c>
      <c r="AP3083" s="9">
        <v>3.1401496763304491</v>
      </c>
    </row>
    <row r="3084" spans="40:42" x14ac:dyDescent="0.3">
      <c r="AN3084">
        <v>3080</v>
      </c>
      <c r="AO3084" s="11">
        <v>44482.95</v>
      </c>
      <c r="AP3084" s="9">
        <v>3.7660595717392349</v>
      </c>
    </row>
    <row r="3085" spans="40:42" x14ac:dyDescent="0.3">
      <c r="AN3085">
        <v>3081</v>
      </c>
      <c r="AO3085" s="11">
        <v>23448.240000000002</v>
      </c>
      <c r="AP3085" s="9">
        <v>3.2704390023257606</v>
      </c>
    </row>
    <row r="3086" spans="40:42" x14ac:dyDescent="0.3">
      <c r="AN3086">
        <v>3082</v>
      </c>
      <c r="AO3086" s="11">
        <v>17586.810000000001</v>
      </c>
      <c r="AP3086" s="9">
        <v>3.0395501149928119</v>
      </c>
    </row>
    <row r="3087" spans="40:42" x14ac:dyDescent="0.3">
      <c r="AN3087">
        <v>3083</v>
      </c>
      <c r="AO3087" s="11">
        <v>29438.95</v>
      </c>
      <c r="AP3087" s="9">
        <v>3.7807629233405522</v>
      </c>
    </row>
    <row r="3088" spans="40:42" x14ac:dyDescent="0.3">
      <c r="AN3088">
        <v>3084</v>
      </c>
      <c r="AO3088" s="11">
        <v>25229.81</v>
      </c>
      <c r="AP3088" s="9">
        <v>2.9914268320837301</v>
      </c>
    </row>
    <row r="3089" spans="40:42" x14ac:dyDescent="0.3">
      <c r="AN3089">
        <v>3085</v>
      </c>
      <c r="AO3089" s="11">
        <v>25570.57</v>
      </c>
      <c r="AP3089" s="9">
        <v>3.101996727747784</v>
      </c>
    </row>
    <row r="3090" spans="40:42" x14ac:dyDescent="0.3">
      <c r="AN3090">
        <v>3086</v>
      </c>
      <c r="AO3090" s="11">
        <v>19575.96</v>
      </c>
      <c r="AP3090" s="9">
        <v>2.9166394319763302</v>
      </c>
    </row>
    <row r="3091" spans="40:42" x14ac:dyDescent="0.3">
      <c r="AN3091">
        <v>3087</v>
      </c>
      <c r="AO3091" s="11">
        <v>33264.879999999997</v>
      </c>
      <c r="AP3091" s="9">
        <v>3.5419199434582018</v>
      </c>
    </row>
    <row r="3092" spans="40:42" x14ac:dyDescent="0.3">
      <c r="AN3092">
        <v>3088</v>
      </c>
      <c r="AO3092" s="11">
        <v>34807.199999999997</v>
      </c>
      <c r="AP3092" s="9">
        <v>3.7615992750389262</v>
      </c>
    </row>
    <row r="3093" spans="40:42" x14ac:dyDescent="0.3">
      <c r="AN3093">
        <v>3089</v>
      </c>
      <c r="AO3093" s="11">
        <v>18458.53</v>
      </c>
      <c r="AP3093" s="9">
        <v>3.0330806493064322</v>
      </c>
    </row>
    <row r="3094" spans="40:42" x14ac:dyDescent="0.3">
      <c r="AN3094">
        <v>3090</v>
      </c>
      <c r="AO3094" s="11">
        <v>31518.17</v>
      </c>
      <c r="AP3094" s="9">
        <v>3.1029528533578894</v>
      </c>
    </row>
    <row r="3095" spans="40:42" x14ac:dyDescent="0.3">
      <c r="AN3095">
        <v>3091</v>
      </c>
      <c r="AO3095" s="11">
        <v>31145.31</v>
      </c>
      <c r="AP3095" s="9">
        <v>3.5272334945815826</v>
      </c>
    </row>
    <row r="3096" spans="40:42" x14ac:dyDescent="0.3">
      <c r="AN3096">
        <v>3092</v>
      </c>
      <c r="AO3096" s="11">
        <v>27143.06</v>
      </c>
      <c r="AP3096" s="9">
        <v>3.3125899122432654</v>
      </c>
    </row>
    <row r="3097" spans="40:42" x14ac:dyDescent="0.3">
      <c r="AN3097">
        <v>3093</v>
      </c>
      <c r="AO3097" s="11">
        <v>39269.769999999997</v>
      </c>
      <c r="AP3097" s="9">
        <v>3.5351370975136662</v>
      </c>
    </row>
    <row r="3098" spans="40:42" x14ac:dyDescent="0.3">
      <c r="AN3098">
        <v>3094</v>
      </c>
      <c r="AO3098" s="11">
        <v>28604.080000000002</v>
      </c>
      <c r="AP3098" s="9">
        <v>2.9375906466967781</v>
      </c>
    </row>
    <row r="3099" spans="40:42" x14ac:dyDescent="0.3">
      <c r="AN3099">
        <v>3095</v>
      </c>
      <c r="AO3099" s="11">
        <v>23698.720000000001</v>
      </c>
      <c r="AP3099" s="9">
        <v>2.9751378482850686</v>
      </c>
    </row>
    <row r="3100" spans="40:42" x14ac:dyDescent="0.3">
      <c r="AN3100">
        <v>3096</v>
      </c>
      <c r="AO3100" s="11">
        <v>20031.990000000002</v>
      </c>
      <c r="AP3100" s="9">
        <v>3.1234133697340769</v>
      </c>
    </row>
    <row r="3101" spans="40:42" x14ac:dyDescent="0.3">
      <c r="AN3101">
        <v>3097</v>
      </c>
      <c r="AO3101" s="11">
        <v>28009.96</v>
      </c>
      <c r="AP3101" s="9">
        <v>3.6344825731392407</v>
      </c>
    </row>
    <row r="3102" spans="40:42" x14ac:dyDescent="0.3">
      <c r="AN3102">
        <v>3098</v>
      </c>
      <c r="AO3102" s="11">
        <v>21885.06</v>
      </c>
      <c r="AP3102" s="9">
        <v>3.2854839614870905</v>
      </c>
    </row>
    <row r="3103" spans="40:42" x14ac:dyDescent="0.3">
      <c r="AN3103">
        <v>3099</v>
      </c>
      <c r="AO3103" s="11">
        <v>35114.04</v>
      </c>
      <c r="AP3103" s="9">
        <v>4.1890821574634467</v>
      </c>
    </row>
    <row r="3104" spans="40:42" x14ac:dyDescent="0.3">
      <c r="AN3104">
        <v>3100</v>
      </c>
      <c r="AO3104" s="11">
        <v>26555.18</v>
      </c>
      <c r="AP3104" s="9">
        <v>3.692686969254106</v>
      </c>
    </row>
    <row r="3105" spans="40:42" x14ac:dyDescent="0.3">
      <c r="AN3105">
        <v>3101</v>
      </c>
      <c r="AO3105" s="11">
        <v>18374.05</v>
      </c>
      <c r="AP3105" s="9">
        <v>3.1511468576761867</v>
      </c>
    </row>
    <row r="3106" spans="40:42" x14ac:dyDescent="0.3">
      <c r="AN3106">
        <v>3102</v>
      </c>
      <c r="AO3106" s="11">
        <v>17218.72</v>
      </c>
      <c r="AP3106" s="9">
        <v>3.3845618727547508</v>
      </c>
    </row>
    <row r="3107" spans="40:42" x14ac:dyDescent="0.3">
      <c r="AN3107">
        <v>3103</v>
      </c>
      <c r="AO3107" s="11">
        <v>19186.03</v>
      </c>
      <c r="AP3107" s="9">
        <v>2.9396485979828682</v>
      </c>
    </row>
    <row r="3108" spans="40:42" x14ac:dyDescent="0.3">
      <c r="AN3108">
        <v>3104</v>
      </c>
      <c r="AO3108" s="11">
        <v>18344</v>
      </c>
      <c r="AP3108" s="9">
        <v>3.3690865834608994</v>
      </c>
    </row>
    <row r="3109" spans="40:42" x14ac:dyDescent="0.3">
      <c r="AN3109">
        <v>3105</v>
      </c>
      <c r="AO3109" s="11">
        <v>16570.939999999999</v>
      </c>
      <c r="AP3109" s="9">
        <v>3.0571913940557551</v>
      </c>
    </row>
    <row r="3110" spans="40:42" x14ac:dyDescent="0.3">
      <c r="AN3110">
        <v>3106</v>
      </c>
      <c r="AO3110" s="11">
        <v>49491.92</v>
      </c>
      <c r="AP3110" s="9">
        <v>4.3458608346747072</v>
      </c>
    </row>
    <row r="3111" spans="40:42" x14ac:dyDescent="0.3">
      <c r="AN3111">
        <v>3107</v>
      </c>
      <c r="AO3111" s="11">
        <v>29511.79</v>
      </c>
      <c r="AP3111" s="9">
        <v>3.4488255800981262</v>
      </c>
    </row>
    <row r="3112" spans="40:42" x14ac:dyDescent="0.3">
      <c r="AN3112">
        <v>3108</v>
      </c>
      <c r="AO3112" s="11">
        <v>29866.21</v>
      </c>
      <c r="AP3112" s="9">
        <v>3.483932492196939</v>
      </c>
    </row>
    <row r="3113" spans="40:42" x14ac:dyDescent="0.3">
      <c r="AN3113">
        <v>3109</v>
      </c>
      <c r="AO3113" s="11">
        <v>22773.52</v>
      </c>
      <c r="AP3113" s="9">
        <v>3.3782417465024768</v>
      </c>
    </row>
    <row r="3114" spans="40:42" x14ac:dyDescent="0.3">
      <c r="AN3114">
        <v>3110</v>
      </c>
      <c r="AO3114" s="11">
        <v>32446.39</v>
      </c>
      <c r="AP3114" s="9">
        <v>3.5650409738742725</v>
      </c>
    </row>
    <row r="3115" spans="40:42" x14ac:dyDescent="0.3">
      <c r="AN3115">
        <v>3111</v>
      </c>
      <c r="AO3115" s="11">
        <v>18458.64</v>
      </c>
      <c r="AP3115" s="9">
        <v>3.2318255457513727</v>
      </c>
    </row>
    <row r="3116" spans="40:42" x14ac:dyDescent="0.3">
      <c r="AN3116">
        <v>3112</v>
      </c>
      <c r="AO3116" s="11">
        <v>28313.33</v>
      </c>
      <c r="AP3116" s="9">
        <v>3.4734482384742642</v>
      </c>
    </row>
    <row r="3117" spans="40:42" x14ac:dyDescent="0.3">
      <c r="AN3117">
        <v>3113</v>
      </c>
      <c r="AO3117" s="11">
        <v>18222.97</v>
      </c>
      <c r="AP3117" s="9">
        <v>3.0396773612198364</v>
      </c>
    </row>
    <row r="3118" spans="40:42" x14ac:dyDescent="0.3">
      <c r="AN3118">
        <v>3114</v>
      </c>
      <c r="AO3118" s="11">
        <v>30256.01</v>
      </c>
      <c r="AP3118" s="9">
        <v>3.3976540091825878</v>
      </c>
    </row>
    <row r="3119" spans="40:42" x14ac:dyDescent="0.3">
      <c r="AN3119">
        <v>3115</v>
      </c>
      <c r="AO3119" s="11">
        <v>33481.65</v>
      </c>
      <c r="AP3119" s="9">
        <v>3.8534337506883056</v>
      </c>
    </row>
    <row r="3120" spans="40:42" x14ac:dyDescent="0.3">
      <c r="AN3120">
        <v>3116</v>
      </c>
      <c r="AO3120" s="11">
        <v>18963.36</v>
      </c>
      <c r="AP3120" s="9">
        <v>3.1725360477633751</v>
      </c>
    </row>
    <row r="3121" spans="40:42" x14ac:dyDescent="0.3">
      <c r="AN3121">
        <v>3117</v>
      </c>
      <c r="AO3121" s="11">
        <v>24806.27</v>
      </c>
      <c r="AP3121" s="9">
        <v>3.3464252638220247</v>
      </c>
    </row>
    <row r="3122" spans="40:42" x14ac:dyDescent="0.3">
      <c r="AN3122">
        <v>3118</v>
      </c>
      <c r="AO3122" s="11">
        <v>15027.44</v>
      </c>
      <c r="AP3122" s="9">
        <v>2.8096648621750284</v>
      </c>
    </row>
    <row r="3123" spans="40:42" x14ac:dyDescent="0.3">
      <c r="AN3123">
        <v>3119</v>
      </c>
      <c r="AO3123" s="11">
        <v>20706.580000000002</v>
      </c>
      <c r="AP3123" s="9">
        <v>2.6297444947933188</v>
      </c>
    </row>
    <row r="3124" spans="40:42" x14ac:dyDescent="0.3">
      <c r="AN3124">
        <v>3120</v>
      </c>
      <c r="AO3124" s="11">
        <v>25455.52</v>
      </c>
      <c r="AP3124" s="9">
        <v>3.1603313276675657</v>
      </c>
    </row>
    <row r="3125" spans="40:42" x14ac:dyDescent="0.3">
      <c r="AN3125">
        <v>3121</v>
      </c>
      <c r="AO3125" s="11">
        <v>19561.88</v>
      </c>
      <c r="AP3125" s="9">
        <v>3.4218864441997692</v>
      </c>
    </row>
    <row r="3126" spans="40:42" x14ac:dyDescent="0.3">
      <c r="AN3126">
        <v>3122</v>
      </c>
      <c r="AO3126" s="11">
        <v>23170.43</v>
      </c>
      <c r="AP3126" s="9">
        <v>3.5938451153593252</v>
      </c>
    </row>
    <row r="3127" spans="40:42" x14ac:dyDescent="0.3">
      <c r="AN3127">
        <v>3123</v>
      </c>
      <c r="AO3127" s="11">
        <v>32396.74</v>
      </c>
      <c r="AP3127" s="9">
        <v>3.4312201138520182</v>
      </c>
    </row>
    <row r="3128" spans="40:42" x14ac:dyDescent="0.3">
      <c r="AN3128">
        <v>3124</v>
      </c>
      <c r="AO3128" s="11">
        <v>29424.03</v>
      </c>
      <c r="AP3128" s="9">
        <v>3.9351405869414866</v>
      </c>
    </row>
    <row r="3129" spans="40:42" x14ac:dyDescent="0.3">
      <c r="AN3129">
        <v>3125</v>
      </c>
      <c r="AO3129" s="11">
        <v>22162.57</v>
      </c>
      <c r="AP3129" s="9">
        <v>2.9590937638165653</v>
      </c>
    </row>
    <row r="3130" spans="40:42" x14ac:dyDescent="0.3">
      <c r="AN3130">
        <v>3126</v>
      </c>
      <c r="AO3130" s="11">
        <v>22688.560000000001</v>
      </c>
      <c r="AP3130" s="9">
        <v>3.0814255861292388</v>
      </c>
    </row>
    <row r="3131" spans="40:42" x14ac:dyDescent="0.3">
      <c r="AN3131">
        <v>3127</v>
      </c>
      <c r="AO3131" s="11">
        <v>24372.54</v>
      </c>
      <c r="AP3131" s="9">
        <v>3.7006029406594765</v>
      </c>
    </row>
    <row r="3132" spans="40:42" x14ac:dyDescent="0.3">
      <c r="AN3132">
        <v>3128</v>
      </c>
      <c r="AO3132" s="11">
        <v>22545.52</v>
      </c>
      <c r="AP3132" s="9">
        <v>3.3340512459467337</v>
      </c>
    </row>
    <row r="3133" spans="40:42" x14ac:dyDescent="0.3">
      <c r="AN3133">
        <v>3129</v>
      </c>
      <c r="AO3133" s="11">
        <v>36656.03</v>
      </c>
      <c r="AP3133" s="9">
        <v>3.3717212558736795</v>
      </c>
    </row>
    <row r="3134" spans="40:42" x14ac:dyDescent="0.3">
      <c r="AN3134">
        <v>3130</v>
      </c>
      <c r="AO3134" s="11">
        <v>38838.120000000003</v>
      </c>
      <c r="AP3134" s="9">
        <v>4.4423153495274788</v>
      </c>
    </row>
    <row r="3135" spans="40:42" x14ac:dyDescent="0.3">
      <c r="AN3135">
        <v>3131</v>
      </c>
      <c r="AO3135" s="11">
        <v>35952.79</v>
      </c>
      <c r="AP3135" s="9">
        <v>3.383319182419203</v>
      </c>
    </row>
    <row r="3136" spans="40:42" x14ac:dyDescent="0.3">
      <c r="AN3136">
        <v>3132</v>
      </c>
      <c r="AO3136" s="11">
        <v>22048.65</v>
      </c>
      <c r="AP3136" s="9">
        <v>3.8327166404160313</v>
      </c>
    </row>
    <row r="3137" spans="40:42" x14ac:dyDescent="0.3">
      <c r="AN3137">
        <v>3133</v>
      </c>
      <c r="AO3137" s="11">
        <v>20965.91</v>
      </c>
      <c r="AP3137" s="9">
        <v>2.7931460721849004</v>
      </c>
    </row>
    <row r="3138" spans="40:42" x14ac:dyDescent="0.3">
      <c r="AN3138">
        <v>3134</v>
      </c>
      <c r="AO3138" s="11">
        <v>26706.33</v>
      </c>
      <c r="AP3138" s="9">
        <v>2.953013107654118</v>
      </c>
    </row>
    <row r="3139" spans="40:42" x14ac:dyDescent="0.3">
      <c r="AN3139">
        <v>3135</v>
      </c>
      <c r="AO3139" s="11">
        <v>28902.73</v>
      </c>
      <c r="AP3139" s="9">
        <v>3.1665607283840886</v>
      </c>
    </row>
    <row r="3140" spans="40:42" x14ac:dyDescent="0.3">
      <c r="AN3140">
        <v>3136</v>
      </c>
      <c r="AO3140" s="11">
        <v>26600.46</v>
      </c>
      <c r="AP3140" s="9">
        <v>4.0807274997178853</v>
      </c>
    </row>
    <row r="3141" spans="40:42" x14ac:dyDescent="0.3">
      <c r="AN3141">
        <v>3137</v>
      </c>
      <c r="AO3141" s="11">
        <v>19699.509999999998</v>
      </c>
      <c r="AP3141" s="9">
        <v>3.1555830599519963</v>
      </c>
    </row>
    <row r="3142" spans="40:42" x14ac:dyDescent="0.3">
      <c r="AN3142">
        <v>3138</v>
      </c>
      <c r="AO3142" s="11">
        <v>23855.59</v>
      </c>
      <c r="AP3142" s="9">
        <v>2.972741911609337</v>
      </c>
    </row>
    <row r="3143" spans="40:42" x14ac:dyDescent="0.3">
      <c r="AN3143">
        <v>3139</v>
      </c>
      <c r="AO3143" s="11">
        <v>22433.599999999999</v>
      </c>
      <c r="AP3143" s="9">
        <v>3.3916592878473391</v>
      </c>
    </row>
    <row r="3144" spans="40:42" x14ac:dyDescent="0.3">
      <c r="AN3144">
        <v>3140</v>
      </c>
      <c r="AO3144" s="11">
        <v>18935.07</v>
      </c>
      <c r="AP3144" s="9">
        <v>2.8988376535316265</v>
      </c>
    </row>
    <row r="3145" spans="40:42" x14ac:dyDescent="0.3">
      <c r="AN3145">
        <v>3141</v>
      </c>
      <c r="AO3145" s="11">
        <v>27830.84</v>
      </c>
      <c r="AP3145" s="9">
        <v>2.6463798422374865</v>
      </c>
    </row>
    <row r="3146" spans="40:42" x14ac:dyDescent="0.3">
      <c r="AN3146">
        <v>3142</v>
      </c>
      <c r="AO3146" s="11">
        <v>22740.03</v>
      </c>
      <c r="AP3146" s="9">
        <v>3.4580556061882453</v>
      </c>
    </row>
    <row r="3147" spans="40:42" x14ac:dyDescent="0.3">
      <c r="AN3147">
        <v>3143</v>
      </c>
      <c r="AO3147" s="11">
        <v>17195.61</v>
      </c>
      <c r="AP3147" s="9">
        <v>2.9562575244469667</v>
      </c>
    </row>
    <row r="3148" spans="40:42" x14ac:dyDescent="0.3">
      <c r="AN3148">
        <v>3144</v>
      </c>
      <c r="AO3148" s="11">
        <v>21637.35</v>
      </c>
      <c r="AP3148" s="9">
        <v>2.7483887727857974</v>
      </c>
    </row>
    <row r="3149" spans="40:42" x14ac:dyDescent="0.3">
      <c r="AN3149">
        <v>3145</v>
      </c>
      <c r="AO3149" s="11">
        <v>34017.75</v>
      </c>
      <c r="AP3149" s="9">
        <v>4.1254244687363908</v>
      </c>
    </row>
    <row r="3150" spans="40:42" x14ac:dyDescent="0.3">
      <c r="AN3150">
        <v>3146</v>
      </c>
      <c r="AO3150" s="11">
        <v>40614.019999999997</v>
      </c>
      <c r="AP3150" s="9">
        <v>4.231232983914011</v>
      </c>
    </row>
    <row r="3151" spans="40:42" x14ac:dyDescent="0.3">
      <c r="AN3151">
        <v>3147</v>
      </c>
      <c r="AO3151" s="11">
        <v>28847.22</v>
      </c>
      <c r="AP3151" s="9">
        <v>3.4803624232790162</v>
      </c>
    </row>
    <row r="3152" spans="40:42" x14ac:dyDescent="0.3">
      <c r="AN3152">
        <v>3148</v>
      </c>
      <c r="AO3152" s="11">
        <v>23355.3</v>
      </c>
      <c r="AP3152" s="9">
        <v>3.3797632831722018</v>
      </c>
    </row>
    <row r="3153" spans="40:42" x14ac:dyDescent="0.3">
      <c r="AN3153">
        <v>3149</v>
      </c>
      <c r="AO3153" s="11">
        <v>29928.32</v>
      </c>
      <c r="AP3153" s="9">
        <v>3.5804119872734494</v>
      </c>
    </row>
    <row r="3154" spans="40:42" x14ac:dyDescent="0.3">
      <c r="AN3154">
        <v>3150</v>
      </c>
      <c r="AO3154" s="11">
        <v>22237.26</v>
      </c>
      <c r="AP3154" s="9">
        <v>3.6965561213531726</v>
      </c>
    </row>
    <row r="3155" spans="40:42" x14ac:dyDescent="0.3">
      <c r="AN3155">
        <v>3151</v>
      </c>
      <c r="AO3155" s="11">
        <v>24094</v>
      </c>
      <c r="AP3155" s="9">
        <v>3.2100207087642509</v>
      </c>
    </row>
    <row r="3156" spans="40:42" x14ac:dyDescent="0.3">
      <c r="AN3156">
        <v>3152</v>
      </c>
      <c r="AO3156" s="11">
        <v>26289.65</v>
      </c>
      <c r="AP3156" s="9">
        <v>4.142108275510493</v>
      </c>
    </row>
    <row r="3157" spans="40:42" x14ac:dyDescent="0.3">
      <c r="AN3157">
        <v>3153</v>
      </c>
      <c r="AO3157" s="11">
        <v>22059.69</v>
      </c>
      <c r="AP3157" s="9">
        <v>3.4139212690605563</v>
      </c>
    </row>
    <row r="3158" spans="40:42" x14ac:dyDescent="0.3">
      <c r="AN3158">
        <v>3154</v>
      </c>
      <c r="AO3158" s="11">
        <v>37093.51</v>
      </c>
      <c r="AP3158" s="9">
        <v>3.2799756321312392</v>
      </c>
    </row>
    <row r="3159" spans="40:42" x14ac:dyDescent="0.3">
      <c r="AN3159">
        <v>3155</v>
      </c>
      <c r="AO3159" s="11">
        <v>32927.120000000003</v>
      </c>
      <c r="AP3159" s="9">
        <v>3.045668803263248</v>
      </c>
    </row>
    <row r="3160" spans="40:42" x14ac:dyDescent="0.3">
      <c r="AN3160">
        <v>3156</v>
      </c>
      <c r="AO3160" s="11">
        <v>24036.880000000001</v>
      </c>
      <c r="AP3160" s="9">
        <v>3.9284356714185882</v>
      </c>
    </row>
    <row r="3161" spans="40:42" x14ac:dyDescent="0.3">
      <c r="AN3161">
        <v>3157</v>
      </c>
      <c r="AO3161" s="11">
        <v>34406.730000000003</v>
      </c>
      <c r="AP3161" s="9">
        <v>3.7288082291661877</v>
      </c>
    </row>
    <row r="3162" spans="40:42" x14ac:dyDescent="0.3">
      <c r="AN3162">
        <v>3158</v>
      </c>
      <c r="AO3162" s="11">
        <v>19324.689999999999</v>
      </c>
      <c r="AP3162" s="9">
        <v>2.9942278808405032</v>
      </c>
    </row>
    <row r="3163" spans="40:42" x14ac:dyDescent="0.3">
      <c r="AN3163">
        <v>3159</v>
      </c>
      <c r="AO3163" s="11">
        <v>22553.279999999999</v>
      </c>
      <c r="AP3163" s="9">
        <v>3.5578479017196911</v>
      </c>
    </row>
    <row r="3164" spans="40:42" x14ac:dyDescent="0.3">
      <c r="AN3164">
        <v>3160</v>
      </c>
      <c r="AO3164" s="11">
        <v>19778.59</v>
      </c>
      <c r="AP3164" s="9">
        <v>3.244811025438334</v>
      </c>
    </row>
    <row r="3165" spans="40:42" x14ac:dyDescent="0.3">
      <c r="AN3165">
        <v>3161</v>
      </c>
      <c r="AO3165" s="11">
        <v>22207.35</v>
      </c>
      <c r="AP3165" s="9">
        <v>3.3652973693595323</v>
      </c>
    </row>
    <row r="3166" spans="40:42" x14ac:dyDescent="0.3">
      <c r="AN3166">
        <v>3162</v>
      </c>
      <c r="AO3166" s="11">
        <v>27341.85</v>
      </c>
      <c r="AP3166" s="9">
        <v>3.8726277352890808</v>
      </c>
    </row>
    <row r="3167" spans="40:42" x14ac:dyDescent="0.3">
      <c r="AN3167">
        <v>3163</v>
      </c>
      <c r="AO3167" s="11">
        <v>20276.13</v>
      </c>
      <c r="AP3167" s="9">
        <v>2.9098019664596264</v>
      </c>
    </row>
    <row r="3168" spans="40:42" x14ac:dyDescent="0.3">
      <c r="AN3168">
        <v>3164</v>
      </c>
      <c r="AO3168" s="11">
        <v>41333.760000000002</v>
      </c>
      <c r="AP3168" s="9">
        <v>3.0885010479744417</v>
      </c>
    </row>
    <row r="3169" spans="40:42" x14ac:dyDescent="0.3">
      <c r="AN3169">
        <v>3165</v>
      </c>
      <c r="AO3169" s="11">
        <v>25694.28</v>
      </c>
      <c r="AP3169" s="9">
        <v>3.3363392320358214</v>
      </c>
    </row>
    <row r="3170" spans="40:42" x14ac:dyDescent="0.3">
      <c r="AN3170">
        <v>3166</v>
      </c>
      <c r="AO3170" s="11">
        <v>39163.58</v>
      </c>
      <c r="AP3170" s="9">
        <v>3.6152969306778386</v>
      </c>
    </row>
    <row r="3171" spans="40:42" x14ac:dyDescent="0.3">
      <c r="AN3171">
        <v>3167</v>
      </c>
      <c r="AO3171" s="11">
        <v>21967.42</v>
      </c>
      <c r="AP3171" s="9">
        <v>3.1460646252140152</v>
      </c>
    </row>
    <row r="3172" spans="40:42" x14ac:dyDescent="0.3">
      <c r="AN3172">
        <v>3168</v>
      </c>
      <c r="AO3172" s="11">
        <v>21837.439999999999</v>
      </c>
      <c r="AP3172" s="9">
        <v>3.6257902580376444</v>
      </c>
    </row>
    <row r="3173" spans="40:42" x14ac:dyDescent="0.3">
      <c r="AN3173">
        <v>3169</v>
      </c>
      <c r="AO3173" s="11">
        <v>23783.18</v>
      </c>
      <c r="AP3173" s="9">
        <v>3.5411415752728064</v>
      </c>
    </row>
    <row r="3174" spans="40:42" x14ac:dyDescent="0.3">
      <c r="AN3174">
        <v>3170</v>
      </c>
      <c r="AO3174" s="11">
        <v>21977.98</v>
      </c>
      <c r="AP3174" s="9">
        <v>3.4813024947070588</v>
      </c>
    </row>
    <row r="3175" spans="40:42" x14ac:dyDescent="0.3">
      <c r="AN3175">
        <v>3171</v>
      </c>
      <c r="AO3175" s="11">
        <v>20856.87</v>
      </c>
      <c r="AP3175" s="9">
        <v>3.1330708806174963</v>
      </c>
    </row>
    <row r="3176" spans="40:42" x14ac:dyDescent="0.3">
      <c r="AN3176">
        <v>3172</v>
      </c>
      <c r="AO3176" s="11">
        <v>19752.57</v>
      </c>
      <c r="AP3176" s="9">
        <v>3.158375140158284</v>
      </c>
    </row>
    <row r="3177" spans="40:42" x14ac:dyDescent="0.3">
      <c r="AN3177">
        <v>3173</v>
      </c>
      <c r="AO3177" s="11">
        <v>17749.13</v>
      </c>
      <c r="AP3177" s="9">
        <v>3.6933277967247187</v>
      </c>
    </row>
    <row r="3178" spans="40:42" x14ac:dyDescent="0.3">
      <c r="AN3178">
        <v>3174</v>
      </c>
      <c r="AO3178" s="11">
        <v>24586.81</v>
      </c>
      <c r="AP3178" s="9">
        <v>3.5426640677061876</v>
      </c>
    </row>
    <row r="3179" spans="40:42" x14ac:dyDescent="0.3">
      <c r="AN3179">
        <v>3175</v>
      </c>
      <c r="AO3179" s="11">
        <v>31337.93</v>
      </c>
      <c r="AP3179" s="9">
        <v>3.4136606523468589</v>
      </c>
    </row>
    <row r="3180" spans="40:42" x14ac:dyDescent="0.3">
      <c r="AN3180">
        <v>3176</v>
      </c>
      <c r="AO3180" s="11">
        <v>43663.6</v>
      </c>
      <c r="AP3180" s="9">
        <v>3.7659279145245779</v>
      </c>
    </row>
    <row r="3181" spans="40:42" x14ac:dyDescent="0.3">
      <c r="AN3181">
        <v>3177</v>
      </c>
      <c r="AO3181" s="11">
        <v>19665.849999999999</v>
      </c>
      <c r="AP3181" s="9">
        <v>2.7876866300785141</v>
      </c>
    </row>
    <row r="3182" spans="40:42" x14ac:dyDescent="0.3">
      <c r="AN3182">
        <v>3178</v>
      </c>
      <c r="AO3182" s="11">
        <v>31997.439999999999</v>
      </c>
      <c r="AP3182" s="9">
        <v>4.1511418877322459</v>
      </c>
    </row>
    <row r="3183" spans="40:42" x14ac:dyDescent="0.3">
      <c r="AN3183">
        <v>3179</v>
      </c>
      <c r="AO3183" s="11">
        <v>26297.26</v>
      </c>
      <c r="AP3183" s="9">
        <v>3.8012117649794517</v>
      </c>
    </row>
    <row r="3184" spans="40:42" x14ac:dyDescent="0.3">
      <c r="AN3184">
        <v>3180</v>
      </c>
      <c r="AO3184" s="11">
        <v>27539.81</v>
      </c>
      <c r="AP3184" s="9">
        <v>3.5166820907712579</v>
      </c>
    </row>
    <row r="3185" spans="40:42" x14ac:dyDescent="0.3">
      <c r="AN3185">
        <v>3181</v>
      </c>
      <c r="AO3185" s="11">
        <v>28665.33</v>
      </c>
      <c r="AP3185" s="9">
        <v>3.4407122556757019</v>
      </c>
    </row>
    <row r="3186" spans="40:42" x14ac:dyDescent="0.3">
      <c r="AN3186">
        <v>3182</v>
      </c>
      <c r="AO3186" s="11">
        <v>29496.69</v>
      </c>
      <c r="AP3186" s="9">
        <v>2.9745294842516086</v>
      </c>
    </row>
    <row r="3187" spans="40:42" x14ac:dyDescent="0.3">
      <c r="AN3187">
        <v>3183</v>
      </c>
      <c r="AO3187" s="11">
        <v>29485.97</v>
      </c>
      <c r="AP3187" s="9">
        <v>3.4049040819758574</v>
      </c>
    </row>
    <row r="3188" spans="40:42" x14ac:dyDescent="0.3">
      <c r="AN3188">
        <v>3184</v>
      </c>
      <c r="AO3188" s="11">
        <v>34555.370000000003</v>
      </c>
      <c r="AP3188" s="9">
        <v>3.5322691733243232</v>
      </c>
    </row>
    <row r="3189" spans="40:42" x14ac:dyDescent="0.3">
      <c r="AN3189">
        <v>3185</v>
      </c>
      <c r="AO3189" s="11">
        <v>25893.47</v>
      </c>
      <c r="AP3189" s="9">
        <v>3.1361811498491341</v>
      </c>
    </row>
    <row r="3190" spans="40:42" x14ac:dyDescent="0.3">
      <c r="AN3190">
        <v>3186</v>
      </c>
      <c r="AO3190" s="11">
        <v>19649.29</v>
      </c>
      <c r="AP3190" s="9">
        <v>3.4759077791141308</v>
      </c>
    </row>
    <row r="3191" spans="40:42" x14ac:dyDescent="0.3">
      <c r="AN3191">
        <v>3187</v>
      </c>
      <c r="AO3191" s="11">
        <v>25929.759999999998</v>
      </c>
      <c r="AP3191" s="9">
        <v>3.4549769140790199</v>
      </c>
    </row>
    <row r="3192" spans="40:42" x14ac:dyDescent="0.3">
      <c r="AN3192">
        <v>3188</v>
      </c>
      <c r="AO3192" s="11">
        <v>41433.18</v>
      </c>
      <c r="AP3192" s="9">
        <v>3.3201221309777869</v>
      </c>
    </row>
    <row r="3193" spans="40:42" x14ac:dyDescent="0.3">
      <c r="AN3193">
        <v>3189</v>
      </c>
      <c r="AO3193" s="11">
        <v>33531.480000000003</v>
      </c>
      <c r="AP3193" s="9">
        <v>3.3927467467111816</v>
      </c>
    </row>
    <row r="3194" spans="40:42" x14ac:dyDescent="0.3">
      <c r="AN3194">
        <v>3190</v>
      </c>
      <c r="AO3194" s="11">
        <v>32097.09</v>
      </c>
      <c r="AP3194" s="9">
        <v>3.263880055071652</v>
      </c>
    </row>
    <row r="3195" spans="40:42" x14ac:dyDescent="0.3">
      <c r="AN3195">
        <v>3191</v>
      </c>
      <c r="AO3195" s="11">
        <v>23455.47</v>
      </c>
      <c r="AP3195" s="9">
        <v>3.525765176345971</v>
      </c>
    </row>
    <row r="3196" spans="40:42" x14ac:dyDescent="0.3">
      <c r="AN3196">
        <v>3192</v>
      </c>
      <c r="AO3196" s="11">
        <v>19049.45</v>
      </c>
      <c r="AP3196" s="9">
        <v>3.0469518733067789</v>
      </c>
    </row>
    <row r="3197" spans="40:42" x14ac:dyDescent="0.3">
      <c r="AN3197">
        <v>3193</v>
      </c>
      <c r="AO3197" s="11">
        <v>11571.47</v>
      </c>
      <c r="AP3197" s="9">
        <v>3.6173483896929666</v>
      </c>
    </row>
    <row r="3198" spans="40:42" x14ac:dyDescent="0.3">
      <c r="AN3198">
        <v>3194</v>
      </c>
      <c r="AO3198" s="11">
        <v>19513.150000000001</v>
      </c>
      <c r="AP3198" s="9">
        <v>3.6095973941478867</v>
      </c>
    </row>
    <row r="3199" spans="40:42" x14ac:dyDescent="0.3">
      <c r="AN3199">
        <v>3195</v>
      </c>
      <c r="AO3199" s="11">
        <v>25109.16</v>
      </c>
      <c r="AP3199" s="9">
        <v>3.6694346444242161</v>
      </c>
    </row>
    <row r="3200" spans="40:42" x14ac:dyDescent="0.3">
      <c r="AN3200">
        <v>3196</v>
      </c>
      <c r="AO3200" s="11">
        <v>34095.5</v>
      </c>
      <c r="AP3200" s="9">
        <v>3.1378526055561338</v>
      </c>
    </row>
    <row r="3201" spans="40:42" x14ac:dyDescent="0.3">
      <c r="AN3201">
        <v>3197</v>
      </c>
      <c r="AO3201" s="11">
        <v>29309.24</v>
      </c>
      <c r="AP3201" s="9">
        <v>3.2105655762185914</v>
      </c>
    </row>
    <row r="3202" spans="40:42" x14ac:dyDescent="0.3">
      <c r="AN3202">
        <v>3198</v>
      </c>
      <c r="AO3202" s="11">
        <v>19074.21</v>
      </c>
      <c r="AP3202" s="9">
        <v>3.0692394889414283</v>
      </c>
    </row>
    <row r="3203" spans="40:42" x14ac:dyDescent="0.3">
      <c r="AN3203">
        <v>3199</v>
      </c>
      <c r="AO3203" s="11">
        <v>24746.45</v>
      </c>
      <c r="AP3203" s="9">
        <v>3.4474039472995339</v>
      </c>
    </row>
    <row r="3204" spans="40:42" x14ac:dyDescent="0.3">
      <c r="AN3204">
        <v>3200</v>
      </c>
      <c r="AO3204" s="11">
        <v>24651.52</v>
      </c>
      <c r="AP3204" s="9">
        <v>3.5090213016246854</v>
      </c>
    </row>
    <row r="3205" spans="40:42" x14ac:dyDescent="0.3">
      <c r="AN3205">
        <v>3201</v>
      </c>
      <c r="AO3205" s="11">
        <v>34788.449999999997</v>
      </c>
      <c r="AP3205" s="9">
        <v>3.6592020144266244</v>
      </c>
    </row>
    <row r="3206" spans="40:42" x14ac:dyDescent="0.3">
      <c r="AN3206">
        <v>3202</v>
      </c>
      <c r="AO3206" s="11">
        <v>28775.97</v>
      </c>
      <c r="AP3206" s="9">
        <v>3.1433714574168072</v>
      </c>
    </row>
    <row r="3207" spans="40:42" x14ac:dyDescent="0.3">
      <c r="AN3207">
        <v>3203</v>
      </c>
      <c r="AO3207" s="11">
        <v>43114.77</v>
      </c>
      <c r="AP3207" s="9">
        <v>3.8121072025160077</v>
      </c>
    </row>
    <row r="3208" spans="40:42" x14ac:dyDescent="0.3">
      <c r="AN3208">
        <v>3204</v>
      </c>
      <c r="AO3208" s="11">
        <v>41286.620000000003</v>
      </c>
      <c r="AP3208" s="9">
        <v>3.7357392946533134</v>
      </c>
    </row>
    <row r="3209" spans="40:42" x14ac:dyDescent="0.3">
      <c r="AN3209">
        <v>3205</v>
      </c>
      <c r="AO3209" s="11">
        <v>15753.77</v>
      </c>
      <c r="AP3209" s="9">
        <v>3.121478172274609</v>
      </c>
    </row>
    <row r="3210" spans="40:42" x14ac:dyDescent="0.3">
      <c r="AN3210">
        <v>3206</v>
      </c>
      <c r="AO3210" s="11">
        <v>27743.81</v>
      </c>
      <c r="AP3210" s="9">
        <v>3.2612854667434981</v>
      </c>
    </row>
    <row r="3211" spans="40:42" x14ac:dyDescent="0.3">
      <c r="AN3211">
        <v>3207</v>
      </c>
      <c r="AO3211" s="11">
        <v>18853.64</v>
      </c>
      <c r="AP3211" s="9">
        <v>2.363450270348737</v>
      </c>
    </row>
    <row r="3212" spans="40:42" x14ac:dyDescent="0.3">
      <c r="AN3212">
        <v>3208</v>
      </c>
      <c r="AO3212" s="11">
        <v>23656.35</v>
      </c>
      <c r="AP3212" s="9">
        <v>2.5936058566940989</v>
      </c>
    </row>
    <row r="3213" spans="40:42" x14ac:dyDescent="0.3">
      <c r="AN3213">
        <v>3209</v>
      </c>
      <c r="AO3213" s="11">
        <v>27576.67</v>
      </c>
      <c r="AP3213" s="9">
        <v>3.9395953628265201</v>
      </c>
    </row>
    <row r="3214" spans="40:42" x14ac:dyDescent="0.3">
      <c r="AN3214">
        <v>3210</v>
      </c>
      <c r="AO3214" s="11">
        <v>23352.799999999999</v>
      </c>
      <c r="AP3214" s="9">
        <v>2.9903593706748617</v>
      </c>
    </row>
    <row r="3215" spans="40:42" x14ac:dyDescent="0.3">
      <c r="AN3215">
        <v>3211</v>
      </c>
      <c r="AO3215" s="11">
        <v>33788.379999999997</v>
      </c>
      <c r="AP3215" s="9">
        <v>3.2874643599923195</v>
      </c>
    </row>
    <row r="3216" spans="40:42" x14ac:dyDescent="0.3">
      <c r="AN3216">
        <v>3212</v>
      </c>
      <c r="AO3216" s="11">
        <v>18276.650000000001</v>
      </c>
      <c r="AP3216" s="9">
        <v>3.0578688387898518</v>
      </c>
    </row>
    <row r="3217" spans="40:42" x14ac:dyDescent="0.3">
      <c r="AN3217">
        <v>3213</v>
      </c>
      <c r="AO3217" s="11">
        <v>19416.32</v>
      </c>
      <c r="AP3217" s="9">
        <v>3.142585382538051</v>
      </c>
    </row>
    <row r="3218" spans="40:42" x14ac:dyDescent="0.3">
      <c r="AN3218">
        <v>3214</v>
      </c>
      <c r="AO3218" s="11">
        <v>22265.73</v>
      </c>
      <c r="AP3218" s="9">
        <v>2.8174118773043344</v>
      </c>
    </row>
    <row r="3219" spans="40:42" x14ac:dyDescent="0.3">
      <c r="AN3219">
        <v>3215</v>
      </c>
      <c r="AO3219" s="11">
        <v>23051.72</v>
      </c>
      <c r="AP3219" s="9">
        <v>3.1826644608088079</v>
      </c>
    </row>
    <row r="3220" spans="40:42" x14ac:dyDescent="0.3">
      <c r="AN3220">
        <v>3216</v>
      </c>
      <c r="AO3220" s="11">
        <v>24793.42</v>
      </c>
      <c r="AP3220" s="9">
        <v>3.4719158462335065</v>
      </c>
    </row>
    <row r="3221" spans="40:42" x14ac:dyDescent="0.3">
      <c r="AN3221">
        <v>3217</v>
      </c>
      <c r="AO3221" s="11">
        <v>33939.769999999997</v>
      </c>
      <c r="AP3221" s="9">
        <v>3.3325359203579894</v>
      </c>
    </row>
    <row r="3222" spans="40:42" x14ac:dyDescent="0.3">
      <c r="AN3222">
        <v>3218</v>
      </c>
      <c r="AO3222" s="11">
        <v>18186.07</v>
      </c>
      <c r="AP3222" s="9">
        <v>3.2871626403170238</v>
      </c>
    </row>
    <row r="3223" spans="40:42" x14ac:dyDescent="0.3">
      <c r="AN3223">
        <v>3219</v>
      </c>
      <c r="AO3223" s="11">
        <v>23484.39</v>
      </c>
      <c r="AP3223" s="9">
        <v>3.2468590730964539</v>
      </c>
    </row>
    <row r="3224" spans="40:42" x14ac:dyDescent="0.3">
      <c r="AN3224">
        <v>3220</v>
      </c>
      <c r="AO3224" s="11">
        <v>16659.080000000002</v>
      </c>
      <c r="AP3224" s="9">
        <v>3.1549529491640751</v>
      </c>
    </row>
    <row r="3225" spans="40:42" x14ac:dyDescent="0.3">
      <c r="AN3225">
        <v>3221</v>
      </c>
      <c r="AO3225" s="11">
        <v>37634.1</v>
      </c>
      <c r="AP3225" s="9">
        <v>3.8616082949314108</v>
      </c>
    </row>
    <row r="3226" spans="40:42" x14ac:dyDescent="0.3">
      <c r="AN3226">
        <v>3222</v>
      </c>
      <c r="AO3226" s="11">
        <v>22860.720000000001</v>
      </c>
      <c r="AP3226" s="9">
        <v>3.054865498938899</v>
      </c>
    </row>
    <row r="3227" spans="40:42" x14ac:dyDescent="0.3">
      <c r="AN3227">
        <v>3223</v>
      </c>
      <c r="AO3227" s="11">
        <v>53122.02</v>
      </c>
      <c r="AP3227" s="9">
        <v>4.0778691376003682</v>
      </c>
    </row>
    <row r="3228" spans="40:42" x14ac:dyDescent="0.3">
      <c r="AN3228">
        <v>3224</v>
      </c>
      <c r="AO3228" s="11">
        <v>31207.23</v>
      </c>
      <c r="AP3228" s="9">
        <v>3.61483780864633</v>
      </c>
    </row>
    <row r="3229" spans="40:42" x14ac:dyDescent="0.3">
      <c r="AN3229">
        <v>3225</v>
      </c>
      <c r="AO3229" s="11">
        <v>42051.040000000001</v>
      </c>
      <c r="AP3229" s="9">
        <v>3.0774603283390278</v>
      </c>
    </row>
    <row r="3230" spans="40:42" x14ac:dyDescent="0.3">
      <c r="AN3230">
        <v>3226</v>
      </c>
      <c r="AO3230" s="11">
        <v>25779.59</v>
      </c>
      <c r="AP3230" s="9">
        <v>3.1044072183633462</v>
      </c>
    </row>
    <row r="3231" spans="40:42" x14ac:dyDescent="0.3">
      <c r="AN3231">
        <v>3227</v>
      </c>
      <c r="AO3231" s="11">
        <v>27325.03</v>
      </c>
      <c r="AP3231" s="9">
        <v>3.0657450083497846</v>
      </c>
    </row>
    <row r="3232" spans="40:42" x14ac:dyDescent="0.3">
      <c r="AN3232">
        <v>3228</v>
      </c>
      <c r="AO3232" s="11">
        <v>36165.61</v>
      </c>
      <c r="AP3232" s="9">
        <v>3.4073353701632345</v>
      </c>
    </row>
    <row r="3233" spans="40:42" x14ac:dyDescent="0.3">
      <c r="AN3233">
        <v>3229</v>
      </c>
      <c r="AO3233" s="11">
        <v>24655.360000000001</v>
      </c>
      <c r="AP3233" s="9">
        <v>3.188279916082811</v>
      </c>
    </row>
    <row r="3234" spans="40:42" x14ac:dyDescent="0.3">
      <c r="AN3234">
        <v>3230</v>
      </c>
      <c r="AO3234" s="11">
        <v>23362.98</v>
      </c>
      <c r="AP3234" s="9">
        <v>3.3378709766310068</v>
      </c>
    </row>
    <row r="3235" spans="40:42" x14ac:dyDescent="0.3">
      <c r="AN3235">
        <v>3231</v>
      </c>
      <c r="AO3235" s="11">
        <v>35658.43</v>
      </c>
      <c r="AP3235" s="9">
        <v>3.4729284064283257</v>
      </c>
    </row>
    <row r="3236" spans="40:42" x14ac:dyDescent="0.3">
      <c r="AN3236">
        <v>3232</v>
      </c>
      <c r="AO3236" s="11">
        <v>12836.2</v>
      </c>
      <c r="AP3236" s="9">
        <v>2.8339451310397137</v>
      </c>
    </row>
    <row r="3237" spans="40:42" x14ac:dyDescent="0.3">
      <c r="AN3237">
        <v>3233</v>
      </c>
      <c r="AO3237" s="11">
        <v>27064.97</v>
      </c>
      <c r="AP3237" s="9">
        <v>2.9767737304935271</v>
      </c>
    </row>
    <row r="3238" spans="40:42" x14ac:dyDescent="0.3">
      <c r="AN3238">
        <v>3234</v>
      </c>
      <c r="AO3238" s="11">
        <v>31597.46</v>
      </c>
      <c r="AP3238" s="9">
        <v>3.9863882653371037</v>
      </c>
    </row>
    <row r="3239" spans="40:42" x14ac:dyDescent="0.3">
      <c r="AN3239">
        <v>3235</v>
      </c>
      <c r="AO3239" s="11">
        <v>25974.560000000001</v>
      </c>
      <c r="AP3239" s="9">
        <v>3.5512531207393283</v>
      </c>
    </row>
    <row r="3240" spans="40:42" x14ac:dyDescent="0.3">
      <c r="AN3240">
        <v>3236</v>
      </c>
      <c r="AO3240" s="11">
        <v>19949.43</v>
      </c>
      <c r="AP3240" s="9">
        <v>3.4620486647910633</v>
      </c>
    </row>
    <row r="3241" spans="40:42" x14ac:dyDescent="0.3">
      <c r="AN3241">
        <v>3237</v>
      </c>
      <c r="AO3241" s="11">
        <v>39184.78</v>
      </c>
      <c r="AP3241" s="9">
        <v>3.949115062863124</v>
      </c>
    </row>
    <row r="3242" spans="40:42" x14ac:dyDescent="0.3">
      <c r="AN3242">
        <v>3238</v>
      </c>
      <c r="AO3242" s="11">
        <v>26432.32</v>
      </c>
      <c r="AP3242" s="9">
        <v>3.421037585407158</v>
      </c>
    </row>
    <row r="3243" spans="40:42" x14ac:dyDescent="0.3">
      <c r="AN3243">
        <v>3239</v>
      </c>
      <c r="AO3243" s="11">
        <v>37689.85</v>
      </c>
      <c r="AP3243" s="9">
        <v>4.1252032663881577</v>
      </c>
    </row>
    <row r="3244" spans="40:42" x14ac:dyDescent="0.3">
      <c r="AN3244">
        <v>3240</v>
      </c>
      <c r="AO3244" s="11">
        <v>29835.31</v>
      </c>
      <c r="AP3244" s="9">
        <v>3.4028891493064362</v>
      </c>
    </row>
    <row r="3245" spans="40:42" x14ac:dyDescent="0.3">
      <c r="AN3245">
        <v>3241</v>
      </c>
      <c r="AO3245" s="11">
        <v>32124.2</v>
      </c>
      <c r="AP3245" s="9">
        <v>3.4280266092554195</v>
      </c>
    </row>
    <row r="3246" spans="40:42" x14ac:dyDescent="0.3">
      <c r="AN3246">
        <v>3242</v>
      </c>
      <c r="AO3246" s="11">
        <v>14915.39</v>
      </c>
      <c r="AP3246" s="9">
        <v>2.8199786429022375</v>
      </c>
    </row>
    <row r="3247" spans="40:42" x14ac:dyDescent="0.3">
      <c r="AN3247">
        <v>3243</v>
      </c>
      <c r="AO3247" s="11">
        <v>33040.22</v>
      </c>
      <c r="AP3247" s="9">
        <v>3.9974511386646743</v>
      </c>
    </row>
    <row r="3248" spans="40:42" x14ac:dyDescent="0.3">
      <c r="AN3248">
        <v>3244</v>
      </c>
      <c r="AO3248" s="11">
        <v>48080.94</v>
      </c>
      <c r="AP3248" s="9">
        <v>3.7376810445363766</v>
      </c>
    </row>
    <row r="3249" spans="40:42" x14ac:dyDescent="0.3">
      <c r="AN3249">
        <v>3245</v>
      </c>
      <c r="AO3249" s="11">
        <v>32850.26</v>
      </c>
      <c r="AP3249" s="9">
        <v>3.6624616926877933</v>
      </c>
    </row>
    <row r="3250" spans="40:42" x14ac:dyDescent="0.3">
      <c r="AN3250">
        <v>3246</v>
      </c>
      <c r="AO3250" s="11">
        <v>32987.26</v>
      </c>
      <c r="AP3250" s="9">
        <v>3.9145103116645421</v>
      </c>
    </row>
    <row r="3251" spans="40:42" x14ac:dyDescent="0.3">
      <c r="AN3251">
        <v>3247</v>
      </c>
      <c r="AO3251" s="11">
        <v>29352.639999999999</v>
      </c>
      <c r="AP3251" s="9">
        <v>3.7818822740826223</v>
      </c>
    </row>
    <row r="3252" spans="40:42" x14ac:dyDescent="0.3">
      <c r="AN3252">
        <v>3248</v>
      </c>
      <c r="AO3252" s="11">
        <v>31026.74</v>
      </c>
      <c r="AP3252" s="9">
        <v>3.0233568751096733</v>
      </c>
    </row>
    <row r="3253" spans="40:42" x14ac:dyDescent="0.3">
      <c r="AN3253">
        <v>3249</v>
      </c>
      <c r="AO3253" s="11">
        <v>16604.82</v>
      </c>
      <c r="AP3253" s="9">
        <v>2.8615296077915788</v>
      </c>
    </row>
    <row r="3254" spans="40:42" x14ac:dyDescent="0.3">
      <c r="AN3254">
        <v>3250</v>
      </c>
      <c r="AO3254" s="11">
        <v>21473.07</v>
      </c>
      <c r="AP3254" s="9">
        <v>3.4573964082588824</v>
      </c>
    </row>
    <row r="3255" spans="40:42" x14ac:dyDescent="0.3">
      <c r="AN3255">
        <v>3251</v>
      </c>
      <c r="AO3255" s="11">
        <v>37057.99</v>
      </c>
      <c r="AP3255" s="9">
        <v>4.8105647267689751</v>
      </c>
    </row>
    <row r="3256" spans="40:42" x14ac:dyDescent="0.3">
      <c r="AN3256">
        <v>3252</v>
      </c>
      <c r="AO3256" s="11">
        <v>21832.1</v>
      </c>
      <c r="AP3256" s="9">
        <v>2.9675794629867571</v>
      </c>
    </row>
    <row r="3257" spans="40:42" x14ac:dyDescent="0.3">
      <c r="AN3257">
        <v>3253</v>
      </c>
      <c r="AO3257" s="11">
        <v>34072.32</v>
      </c>
      <c r="AP3257" s="9">
        <v>4.0501720599247255</v>
      </c>
    </row>
    <row r="3258" spans="40:42" x14ac:dyDescent="0.3">
      <c r="AN3258">
        <v>3254</v>
      </c>
      <c r="AO3258" s="11">
        <v>16870.77</v>
      </c>
      <c r="AP3258" s="9">
        <v>3.0942603387827887</v>
      </c>
    </row>
    <row r="3259" spans="40:42" x14ac:dyDescent="0.3">
      <c r="AN3259">
        <v>3255</v>
      </c>
      <c r="AO3259" s="11">
        <v>23164.6</v>
      </c>
      <c r="AP3259" s="9">
        <v>3.5583351593637587</v>
      </c>
    </row>
    <row r="3260" spans="40:42" x14ac:dyDescent="0.3">
      <c r="AN3260">
        <v>3256</v>
      </c>
      <c r="AO3260" s="11">
        <v>18729.95</v>
      </c>
      <c r="AP3260" s="9">
        <v>3.0126820709676907</v>
      </c>
    </row>
    <row r="3261" spans="40:42" x14ac:dyDescent="0.3">
      <c r="AN3261">
        <v>3257</v>
      </c>
      <c r="AO3261" s="11">
        <v>30940.55</v>
      </c>
      <c r="AP3261" s="9">
        <v>3.7925134059425636</v>
      </c>
    </row>
    <row r="3262" spans="40:42" x14ac:dyDescent="0.3">
      <c r="AN3262">
        <v>3258</v>
      </c>
      <c r="AO3262" s="11">
        <v>33397.620000000003</v>
      </c>
      <c r="AP3262" s="9">
        <v>3.8325626921440676</v>
      </c>
    </row>
    <row r="3263" spans="40:42" x14ac:dyDescent="0.3">
      <c r="AN3263">
        <v>3259</v>
      </c>
      <c r="AO3263" s="11">
        <v>21994.91</v>
      </c>
      <c r="AP3263" s="9">
        <v>3.7904070392590214</v>
      </c>
    </row>
    <row r="3264" spans="40:42" x14ac:dyDescent="0.3">
      <c r="AN3264">
        <v>3260</v>
      </c>
      <c r="AO3264" s="11">
        <v>22337.84</v>
      </c>
      <c r="AP3264" s="9">
        <v>3.436834722214678</v>
      </c>
    </row>
    <row r="3265" spans="40:42" x14ac:dyDescent="0.3">
      <c r="AN3265">
        <v>3261</v>
      </c>
      <c r="AO3265" s="11">
        <v>24794.84</v>
      </c>
      <c r="AP3265" s="9">
        <v>3.1446093387997078</v>
      </c>
    </row>
    <row r="3266" spans="40:42" x14ac:dyDescent="0.3">
      <c r="AN3266">
        <v>3262</v>
      </c>
      <c r="AO3266" s="11">
        <v>30738.880000000001</v>
      </c>
      <c r="AP3266" s="9">
        <v>3.4253148069968753</v>
      </c>
    </row>
    <row r="3267" spans="40:42" x14ac:dyDescent="0.3">
      <c r="AN3267">
        <v>3263</v>
      </c>
      <c r="AO3267" s="11">
        <v>17858.7</v>
      </c>
      <c r="AP3267" s="9">
        <v>3.4756429506153053</v>
      </c>
    </row>
    <row r="3268" spans="40:42" x14ac:dyDescent="0.3">
      <c r="AN3268">
        <v>3264</v>
      </c>
      <c r="AO3268" s="11">
        <v>25285.82</v>
      </c>
      <c r="AP3268" s="9">
        <v>3.7023809927604869</v>
      </c>
    </row>
    <row r="3269" spans="40:42" x14ac:dyDescent="0.3">
      <c r="AN3269">
        <v>3265</v>
      </c>
      <c r="AO3269" s="11">
        <v>18328.2</v>
      </c>
      <c r="AP3269" s="9">
        <v>2.9153897298861926</v>
      </c>
    </row>
    <row r="3270" spans="40:42" x14ac:dyDescent="0.3">
      <c r="AN3270">
        <v>3266</v>
      </c>
      <c r="AO3270" s="11">
        <v>29168.06</v>
      </c>
      <c r="AP3270" s="9">
        <v>3.6700458741366679</v>
      </c>
    </row>
    <row r="3271" spans="40:42" x14ac:dyDescent="0.3">
      <c r="AN3271">
        <v>3267</v>
      </c>
      <c r="AO3271" s="11">
        <v>36509.14</v>
      </c>
      <c r="AP3271" s="9">
        <v>3.9942483488124245</v>
      </c>
    </row>
    <row r="3272" spans="40:42" x14ac:dyDescent="0.3">
      <c r="AN3272">
        <v>3268</v>
      </c>
      <c r="AO3272" s="11">
        <v>23791.65</v>
      </c>
      <c r="AP3272" s="9">
        <v>3.4748267616700295</v>
      </c>
    </row>
    <row r="3273" spans="40:42" x14ac:dyDescent="0.3">
      <c r="AN3273">
        <v>3269</v>
      </c>
      <c r="AO3273" s="11">
        <v>30713.58</v>
      </c>
      <c r="AP3273" s="9">
        <v>3.790165586825271</v>
      </c>
    </row>
    <row r="3274" spans="40:42" x14ac:dyDescent="0.3">
      <c r="AN3274">
        <v>3270</v>
      </c>
      <c r="AO3274" s="11">
        <v>27389.67</v>
      </c>
      <c r="AP3274" s="9">
        <v>3.0731535969035155</v>
      </c>
    </row>
    <row r="3275" spans="40:42" x14ac:dyDescent="0.3">
      <c r="AN3275">
        <v>3271</v>
      </c>
      <c r="AO3275" s="11">
        <v>16652.98</v>
      </c>
      <c r="AP3275" s="9">
        <v>3.1876338472476236</v>
      </c>
    </row>
    <row r="3276" spans="40:42" x14ac:dyDescent="0.3">
      <c r="AN3276">
        <v>3272</v>
      </c>
      <c r="AO3276" s="11">
        <v>35711.11</v>
      </c>
      <c r="AP3276" s="9">
        <v>3.8836811290410145</v>
      </c>
    </row>
    <row r="3277" spans="40:42" x14ac:dyDescent="0.3">
      <c r="AN3277">
        <v>3273</v>
      </c>
      <c r="AO3277" s="11">
        <v>14599.22</v>
      </c>
      <c r="AP3277" s="9">
        <v>3.0498613867032982</v>
      </c>
    </row>
    <row r="3278" spans="40:42" x14ac:dyDescent="0.3">
      <c r="AN3278">
        <v>3274</v>
      </c>
      <c r="AO3278" s="11">
        <v>20936.73</v>
      </c>
      <c r="AP3278" s="9">
        <v>3.5560635858973968</v>
      </c>
    </row>
    <row r="3279" spans="40:42" x14ac:dyDescent="0.3">
      <c r="AN3279">
        <v>3275</v>
      </c>
      <c r="AO3279" s="11">
        <v>28644.85</v>
      </c>
      <c r="AP3279" s="9">
        <v>3.373451733241108</v>
      </c>
    </row>
    <row r="3280" spans="40:42" x14ac:dyDescent="0.3">
      <c r="AN3280">
        <v>3276</v>
      </c>
      <c r="AO3280" s="11">
        <v>24749.51</v>
      </c>
      <c r="AP3280" s="9">
        <v>3.3180540729507468</v>
      </c>
    </row>
    <row r="3281" spans="40:42" x14ac:dyDescent="0.3">
      <c r="AN3281">
        <v>3277</v>
      </c>
      <c r="AO3281" s="11">
        <v>29560.1</v>
      </c>
      <c r="AP3281" s="9">
        <v>3.2497055012581062</v>
      </c>
    </row>
    <row r="3282" spans="40:42" x14ac:dyDescent="0.3">
      <c r="AN3282">
        <v>3278</v>
      </c>
      <c r="AO3282" s="11">
        <v>24060.78</v>
      </c>
      <c r="AP3282" s="9">
        <v>4.4388454399224599</v>
      </c>
    </row>
    <row r="3283" spans="40:42" x14ac:dyDescent="0.3">
      <c r="AN3283">
        <v>3279</v>
      </c>
      <c r="AO3283" s="11">
        <v>25581.27</v>
      </c>
      <c r="AP3283" s="9">
        <v>3.2510540496803375</v>
      </c>
    </row>
    <row r="3284" spans="40:42" x14ac:dyDescent="0.3">
      <c r="AN3284">
        <v>3280</v>
      </c>
      <c r="AO3284" s="11">
        <v>23308.62</v>
      </c>
      <c r="AP3284" s="9">
        <v>3.2105019430322916</v>
      </c>
    </row>
    <row r="3285" spans="40:42" x14ac:dyDescent="0.3">
      <c r="AN3285">
        <v>3281</v>
      </c>
      <c r="AO3285" s="11">
        <v>27923.71</v>
      </c>
      <c r="AP3285" s="9">
        <v>4.5972565329967852</v>
      </c>
    </row>
    <row r="3286" spans="40:42" x14ac:dyDescent="0.3">
      <c r="AN3286">
        <v>3282</v>
      </c>
      <c r="AO3286" s="11">
        <v>28827</v>
      </c>
      <c r="AP3286" s="9">
        <v>3.3532910218759504</v>
      </c>
    </row>
    <row r="3287" spans="40:42" x14ac:dyDescent="0.3">
      <c r="AN3287">
        <v>3283</v>
      </c>
      <c r="AO3287" s="11">
        <v>46919.34</v>
      </c>
      <c r="AP3287" s="9">
        <v>4.1517754921248118</v>
      </c>
    </row>
    <row r="3288" spans="40:42" x14ac:dyDescent="0.3">
      <c r="AN3288">
        <v>3284</v>
      </c>
      <c r="AO3288" s="11">
        <v>33322.44</v>
      </c>
      <c r="AP3288" s="9">
        <v>3.7478759744721986</v>
      </c>
    </row>
    <row r="3289" spans="40:42" x14ac:dyDescent="0.3">
      <c r="AN3289">
        <v>3285</v>
      </c>
      <c r="AO3289" s="11">
        <v>31253.38</v>
      </c>
      <c r="AP3289" s="9">
        <v>3.8860812655881949</v>
      </c>
    </row>
    <row r="3290" spans="40:42" x14ac:dyDescent="0.3">
      <c r="AN3290">
        <v>3286</v>
      </c>
      <c r="AO3290" s="11">
        <v>40009.79</v>
      </c>
      <c r="AP3290" s="9">
        <v>2.9316905826723323</v>
      </c>
    </row>
    <row r="3291" spans="40:42" x14ac:dyDescent="0.3">
      <c r="AN3291">
        <v>3287</v>
      </c>
      <c r="AO3291" s="11">
        <v>34461.129999999997</v>
      </c>
      <c r="AP3291" s="9">
        <v>3.4277206432087648</v>
      </c>
    </row>
    <row r="3292" spans="40:42" x14ac:dyDescent="0.3">
      <c r="AN3292">
        <v>3288</v>
      </c>
      <c r="AO3292" s="11">
        <v>31226.85</v>
      </c>
      <c r="AP3292" s="9">
        <v>3.6437093557649014</v>
      </c>
    </row>
    <row r="3293" spans="40:42" x14ac:dyDescent="0.3">
      <c r="AN3293">
        <v>3289</v>
      </c>
      <c r="AO3293" s="11">
        <v>24422.69</v>
      </c>
      <c r="AP3293" s="9">
        <v>3.6328775227726742</v>
      </c>
    </row>
    <row r="3294" spans="40:42" x14ac:dyDescent="0.3">
      <c r="AN3294">
        <v>3290</v>
      </c>
      <c r="AO3294" s="11">
        <v>30162.47</v>
      </c>
      <c r="AP3294" s="9">
        <v>3.5200204702882805</v>
      </c>
    </row>
    <row r="3295" spans="40:42" x14ac:dyDescent="0.3">
      <c r="AN3295">
        <v>3291</v>
      </c>
      <c r="AO3295" s="11">
        <v>49065.72</v>
      </c>
      <c r="AP3295" s="9">
        <v>4.2743243369514969</v>
      </c>
    </row>
    <row r="3296" spans="40:42" x14ac:dyDescent="0.3">
      <c r="AN3296">
        <v>3292</v>
      </c>
      <c r="AO3296" s="11">
        <v>27666.560000000001</v>
      </c>
      <c r="AP3296" s="9">
        <v>3.1465913167386304</v>
      </c>
    </row>
    <row r="3297" spans="40:42" x14ac:dyDescent="0.3">
      <c r="AN3297">
        <v>3293</v>
      </c>
      <c r="AO3297" s="11">
        <v>28753.15</v>
      </c>
      <c r="AP3297" s="9">
        <v>3.7683574926885459</v>
      </c>
    </row>
    <row r="3298" spans="40:42" x14ac:dyDescent="0.3">
      <c r="AN3298">
        <v>3294</v>
      </c>
      <c r="AO3298" s="11">
        <v>14318.55</v>
      </c>
      <c r="AP3298" s="9">
        <v>2.7224566389468849</v>
      </c>
    </row>
    <row r="3299" spans="40:42" x14ac:dyDescent="0.3">
      <c r="AN3299">
        <v>3295</v>
      </c>
      <c r="AO3299" s="11">
        <v>25259.45</v>
      </c>
      <c r="AP3299" s="9">
        <v>3.6533868006669992</v>
      </c>
    </row>
    <row r="3300" spans="40:42" x14ac:dyDescent="0.3">
      <c r="AN3300">
        <v>3296</v>
      </c>
      <c r="AO3300" s="11">
        <v>20018.75</v>
      </c>
      <c r="AP3300" s="9">
        <v>3.0009489207501225</v>
      </c>
    </row>
    <row r="3301" spans="40:42" x14ac:dyDescent="0.3">
      <c r="AN3301">
        <v>3297</v>
      </c>
      <c r="AO3301" s="11">
        <v>27979.17</v>
      </c>
      <c r="AP3301" s="9">
        <v>3.304364995573279</v>
      </c>
    </row>
    <row r="3302" spans="40:42" x14ac:dyDescent="0.3">
      <c r="AN3302">
        <v>3298</v>
      </c>
      <c r="AO3302" s="11">
        <v>34188.86</v>
      </c>
      <c r="AP3302" s="9">
        <v>3.0893660879234357</v>
      </c>
    </row>
    <row r="3303" spans="40:42" x14ac:dyDescent="0.3">
      <c r="AN3303">
        <v>3299</v>
      </c>
      <c r="AO3303" s="11">
        <v>26056.33</v>
      </c>
      <c r="AP3303" s="9">
        <v>3.9840469833061714</v>
      </c>
    </row>
    <row r="3304" spans="40:42" x14ac:dyDescent="0.3">
      <c r="AN3304">
        <v>3300</v>
      </c>
      <c r="AO3304" s="11">
        <v>16615.52</v>
      </c>
      <c r="AP3304" s="9">
        <v>3.1957261104794616</v>
      </c>
    </row>
    <row r="3305" spans="40:42" x14ac:dyDescent="0.3">
      <c r="AN3305">
        <v>3301</v>
      </c>
      <c r="AO3305" s="11">
        <v>30408.27</v>
      </c>
      <c r="AP3305" s="9">
        <v>4.0287719730762204</v>
      </c>
    </row>
    <row r="3306" spans="40:42" x14ac:dyDescent="0.3">
      <c r="AN3306">
        <v>3302</v>
      </c>
      <c r="AO3306" s="11">
        <v>27358.17</v>
      </c>
      <c r="AP3306" s="9">
        <v>3.4730360582182813</v>
      </c>
    </row>
    <row r="3307" spans="40:42" x14ac:dyDescent="0.3">
      <c r="AN3307">
        <v>3303</v>
      </c>
      <c r="AO3307" s="11">
        <v>27974.36</v>
      </c>
      <c r="AP3307" s="9">
        <v>3.8676662181337642</v>
      </c>
    </row>
    <row r="3308" spans="40:42" x14ac:dyDescent="0.3">
      <c r="AN3308">
        <v>3304</v>
      </c>
      <c r="AO3308" s="11">
        <v>34720.019999999997</v>
      </c>
      <c r="AP3308" s="9">
        <v>3.9274398975862601</v>
      </c>
    </row>
    <row r="3309" spans="40:42" x14ac:dyDescent="0.3">
      <c r="AN3309">
        <v>3305</v>
      </c>
      <c r="AO3309" s="11">
        <v>30407.37</v>
      </c>
      <c r="AP3309" s="9">
        <v>3.0945178263303506</v>
      </c>
    </row>
    <row r="3310" spans="40:42" x14ac:dyDescent="0.3">
      <c r="AN3310">
        <v>3306</v>
      </c>
      <c r="AO3310" s="11">
        <v>27058.9</v>
      </c>
      <c r="AP3310" s="9">
        <v>3.2445357147765361</v>
      </c>
    </row>
    <row r="3311" spans="40:42" x14ac:dyDescent="0.3">
      <c r="AN3311">
        <v>3307</v>
      </c>
      <c r="AO3311" s="11">
        <v>15137.48</v>
      </c>
      <c r="AP3311" s="9">
        <v>3.05783998811757</v>
      </c>
    </row>
    <row r="3312" spans="40:42" x14ac:dyDescent="0.3">
      <c r="AN3312">
        <v>3308</v>
      </c>
      <c r="AO3312" s="11">
        <v>30811.22</v>
      </c>
      <c r="AP3312" s="9">
        <v>3.5029146254126564</v>
      </c>
    </row>
    <row r="3313" spans="40:42" x14ac:dyDescent="0.3">
      <c r="AN3313">
        <v>3309</v>
      </c>
      <c r="AO3313" s="11">
        <v>37496.9</v>
      </c>
      <c r="AP3313" s="9">
        <v>3.3781000165431077</v>
      </c>
    </row>
    <row r="3314" spans="40:42" x14ac:dyDescent="0.3">
      <c r="AN3314">
        <v>3310</v>
      </c>
      <c r="AO3314" s="11">
        <v>29217.97</v>
      </c>
      <c r="AP3314" s="9">
        <v>3.3405157257466982</v>
      </c>
    </row>
    <row r="3315" spans="40:42" x14ac:dyDescent="0.3">
      <c r="AN3315">
        <v>3311</v>
      </c>
      <c r="AO3315" s="11">
        <v>30670.65</v>
      </c>
      <c r="AP3315" s="9">
        <v>3.7844007745815915</v>
      </c>
    </row>
    <row r="3316" spans="40:42" x14ac:dyDescent="0.3">
      <c r="AN3316">
        <v>3312</v>
      </c>
      <c r="AO3316" s="11">
        <v>33372.94</v>
      </c>
      <c r="AP3316" s="9">
        <v>3.3550490067306757</v>
      </c>
    </row>
    <row r="3317" spans="40:42" x14ac:dyDescent="0.3">
      <c r="AN3317">
        <v>3313</v>
      </c>
      <c r="AO3317" s="11">
        <v>25053.48</v>
      </c>
      <c r="AP3317" s="9">
        <v>2.6666650985746676</v>
      </c>
    </row>
    <row r="3318" spans="40:42" x14ac:dyDescent="0.3">
      <c r="AN3318">
        <v>3314</v>
      </c>
      <c r="AO3318" s="11">
        <v>35738.57</v>
      </c>
      <c r="AP3318" s="9">
        <v>3.5835744239020415</v>
      </c>
    </row>
    <row r="3319" spans="40:42" x14ac:dyDescent="0.3">
      <c r="AN3319">
        <v>3315</v>
      </c>
      <c r="AO3319" s="11">
        <v>15971.19</v>
      </c>
      <c r="AP3319" s="9">
        <v>2.8557467902750804</v>
      </c>
    </row>
    <row r="3320" spans="40:42" x14ac:dyDescent="0.3">
      <c r="AN3320">
        <v>3316</v>
      </c>
      <c r="AO3320" s="11">
        <v>27415.83</v>
      </c>
      <c r="AP3320" s="9">
        <v>3.8247848011030054</v>
      </c>
    </row>
    <row r="3321" spans="40:42" x14ac:dyDescent="0.3">
      <c r="AN3321">
        <v>3317</v>
      </c>
      <c r="AO3321" s="11">
        <v>31932.68</v>
      </c>
      <c r="AP3321" s="9">
        <v>3.407776110048232</v>
      </c>
    </row>
    <row r="3322" spans="40:42" x14ac:dyDescent="0.3">
      <c r="AN3322">
        <v>3318</v>
      </c>
      <c r="AO3322" s="11">
        <v>43000.06</v>
      </c>
      <c r="AP3322" s="9">
        <v>3.4980316655555672</v>
      </c>
    </row>
    <row r="3323" spans="40:42" x14ac:dyDescent="0.3">
      <c r="AN3323">
        <v>3319</v>
      </c>
      <c r="AO3323" s="11">
        <v>22419.65</v>
      </c>
      <c r="AP3323" s="9">
        <v>3.4135313694564973</v>
      </c>
    </row>
    <row r="3324" spans="40:42" x14ac:dyDescent="0.3">
      <c r="AN3324">
        <v>3320</v>
      </c>
      <c r="AO3324" s="11">
        <v>27674.74</v>
      </c>
      <c r="AP3324" s="9">
        <v>3.1956340320301071</v>
      </c>
    </row>
    <row r="3325" spans="40:42" x14ac:dyDescent="0.3">
      <c r="AN3325">
        <v>3321</v>
      </c>
      <c r="AO3325" s="11">
        <v>34793.79</v>
      </c>
      <c r="AP3325" s="9">
        <v>4.2604852981555377</v>
      </c>
    </row>
    <row r="3326" spans="40:42" x14ac:dyDescent="0.3">
      <c r="AN3326">
        <v>3322</v>
      </c>
      <c r="AO3326" s="11">
        <v>25044.01</v>
      </c>
      <c r="AP3326" s="9">
        <v>4.3279404616588124</v>
      </c>
    </row>
    <row r="3327" spans="40:42" x14ac:dyDescent="0.3">
      <c r="AN3327">
        <v>3323</v>
      </c>
      <c r="AO3327" s="11">
        <v>41194.5</v>
      </c>
      <c r="AP3327" s="9">
        <v>3.7245793877259703</v>
      </c>
    </row>
    <row r="3328" spans="40:42" x14ac:dyDescent="0.3">
      <c r="AN3328">
        <v>3324</v>
      </c>
      <c r="AO3328" s="11">
        <v>30057.38</v>
      </c>
      <c r="AP3328" s="9">
        <v>3.576619274456311</v>
      </c>
    </row>
    <row r="3329" spans="40:42" x14ac:dyDescent="0.3">
      <c r="AN3329">
        <v>3325</v>
      </c>
      <c r="AO3329" s="11">
        <v>19156.060000000001</v>
      </c>
      <c r="AP3329" s="9">
        <v>2.938834449473076</v>
      </c>
    </row>
    <row r="3330" spans="40:42" x14ac:dyDescent="0.3">
      <c r="AN3330">
        <v>3326</v>
      </c>
      <c r="AO3330" s="11">
        <v>41328.089999999997</v>
      </c>
      <c r="AP3330" s="9">
        <v>3.2994494925917741</v>
      </c>
    </row>
    <row r="3331" spans="40:42" x14ac:dyDescent="0.3">
      <c r="AN3331">
        <v>3327</v>
      </c>
      <c r="AO3331" s="11">
        <v>27629.49</v>
      </c>
      <c r="AP3331" s="9">
        <v>4.1401591581666226</v>
      </c>
    </row>
    <row r="3332" spans="40:42" x14ac:dyDescent="0.3">
      <c r="AN3332">
        <v>3328</v>
      </c>
      <c r="AO3332" s="11">
        <v>17892.18</v>
      </c>
      <c r="AP3332" s="9">
        <v>2.7945835937100956</v>
      </c>
    </row>
    <row r="3333" spans="40:42" x14ac:dyDescent="0.3">
      <c r="AN3333">
        <v>3329</v>
      </c>
      <c r="AO3333" s="11">
        <v>32776.639999999999</v>
      </c>
      <c r="AP3333" s="9">
        <v>3.5196588357503993</v>
      </c>
    </row>
    <row r="3334" spans="40:42" x14ac:dyDescent="0.3">
      <c r="AN3334">
        <v>3330</v>
      </c>
      <c r="AO3334" s="11">
        <v>35259.26</v>
      </c>
      <c r="AP3334" s="9">
        <v>3.8305747527474145</v>
      </c>
    </row>
    <row r="3335" spans="40:42" x14ac:dyDescent="0.3">
      <c r="AN3335">
        <v>3331</v>
      </c>
      <c r="AO3335" s="11">
        <v>18252.63</v>
      </c>
      <c r="AP3335" s="9">
        <v>3.4139638871720863</v>
      </c>
    </row>
    <row r="3336" spans="40:42" x14ac:dyDescent="0.3">
      <c r="AN3336">
        <v>3332</v>
      </c>
      <c r="AO3336" s="11">
        <v>26590.53</v>
      </c>
      <c r="AP3336" s="9">
        <v>3.3113121471990228</v>
      </c>
    </row>
    <row r="3337" spans="40:42" x14ac:dyDescent="0.3">
      <c r="AN3337">
        <v>3333</v>
      </c>
      <c r="AO3337" s="11">
        <v>38830.67</v>
      </c>
      <c r="AP3337" s="9">
        <v>4.6600973106969628</v>
      </c>
    </row>
    <row r="3338" spans="40:42" x14ac:dyDescent="0.3">
      <c r="AN3338">
        <v>3334</v>
      </c>
      <c r="AO3338" s="11">
        <v>42226.2</v>
      </c>
      <c r="AP3338" s="9">
        <v>4.0493810087147892</v>
      </c>
    </row>
    <row r="3339" spans="40:42" x14ac:dyDescent="0.3">
      <c r="AN3339">
        <v>3335</v>
      </c>
      <c r="AO3339" s="11">
        <v>16629.32</v>
      </c>
      <c r="AP3339" s="9">
        <v>3.6731972958014469</v>
      </c>
    </row>
    <row r="3340" spans="40:42" x14ac:dyDescent="0.3">
      <c r="AN3340">
        <v>3336</v>
      </c>
      <c r="AO3340" s="11">
        <v>30113.48</v>
      </c>
      <c r="AP3340" s="9">
        <v>3.6946511011805518</v>
      </c>
    </row>
    <row r="3341" spans="40:42" x14ac:dyDescent="0.3">
      <c r="AN3341">
        <v>3337</v>
      </c>
      <c r="AO3341" s="11">
        <v>29679.39</v>
      </c>
      <c r="AP3341" s="9">
        <v>3.8675963717317332</v>
      </c>
    </row>
    <row r="3342" spans="40:42" x14ac:dyDescent="0.3">
      <c r="AN3342">
        <v>3338</v>
      </c>
      <c r="AO3342" s="11">
        <v>23523.73</v>
      </c>
      <c r="AP3342" s="9">
        <v>2.9692599396432482</v>
      </c>
    </row>
    <row r="3343" spans="40:42" x14ac:dyDescent="0.3">
      <c r="AN3343">
        <v>3339</v>
      </c>
      <c r="AO3343" s="11">
        <v>29024.65</v>
      </c>
      <c r="AP3343" s="9">
        <v>3.6075554360578312</v>
      </c>
    </row>
    <row r="3344" spans="40:42" x14ac:dyDescent="0.3">
      <c r="AN3344">
        <v>3340</v>
      </c>
      <c r="AO3344" s="11">
        <v>29491.360000000001</v>
      </c>
      <c r="AP3344" s="9">
        <v>3.4365499105839468</v>
      </c>
    </row>
    <row r="3345" spans="40:42" x14ac:dyDescent="0.3">
      <c r="AN3345">
        <v>3341</v>
      </c>
      <c r="AO3345" s="11">
        <v>20762.419999999998</v>
      </c>
      <c r="AP3345" s="9">
        <v>3.2267476939619582</v>
      </c>
    </row>
    <row r="3346" spans="40:42" x14ac:dyDescent="0.3">
      <c r="AN3346">
        <v>3342</v>
      </c>
      <c r="AO3346" s="11">
        <v>27621.89</v>
      </c>
      <c r="AP3346" s="9">
        <v>3.4048469666302386</v>
      </c>
    </row>
    <row r="3347" spans="40:42" x14ac:dyDescent="0.3">
      <c r="AN3347">
        <v>3343</v>
      </c>
      <c r="AO3347" s="11">
        <v>24101.67</v>
      </c>
      <c r="AP3347" s="9">
        <v>2.8822628936226717</v>
      </c>
    </row>
    <row r="3348" spans="40:42" x14ac:dyDescent="0.3">
      <c r="AN3348">
        <v>3344</v>
      </c>
      <c r="AO3348" s="11">
        <v>35439.9</v>
      </c>
      <c r="AP3348" s="9">
        <v>3.9369746698518528</v>
      </c>
    </row>
    <row r="3349" spans="40:42" x14ac:dyDescent="0.3">
      <c r="AN3349">
        <v>3345</v>
      </c>
      <c r="AO3349" s="11">
        <v>19034.32</v>
      </c>
      <c r="AP3349" s="9">
        <v>3.286207439568575</v>
      </c>
    </row>
    <row r="3350" spans="40:42" x14ac:dyDescent="0.3">
      <c r="AN3350">
        <v>3346</v>
      </c>
      <c r="AO3350" s="11">
        <v>41775.230000000003</v>
      </c>
      <c r="AP3350" s="9">
        <v>3.3980049056754709</v>
      </c>
    </row>
    <row r="3351" spans="40:42" x14ac:dyDescent="0.3">
      <c r="AN3351">
        <v>3347</v>
      </c>
      <c r="AO3351" s="11">
        <v>11277.21</v>
      </c>
      <c r="AP3351" s="9">
        <v>3.1264178368800168</v>
      </c>
    </row>
    <row r="3352" spans="40:42" x14ac:dyDescent="0.3">
      <c r="AN3352">
        <v>3348</v>
      </c>
      <c r="AO3352" s="11">
        <v>22983.79</v>
      </c>
      <c r="AP3352" s="9">
        <v>3.4217797501822549</v>
      </c>
    </row>
    <row r="3353" spans="40:42" x14ac:dyDescent="0.3">
      <c r="AN3353">
        <v>3349</v>
      </c>
      <c r="AO3353" s="11">
        <v>26257.48</v>
      </c>
      <c r="AP3353" s="9">
        <v>3.3547369896328516</v>
      </c>
    </row>
    <row r="3354" spans="40:42" x14ac:dyDescent="0.3">
      <c r="AN3354">
        <v>3350</v>
      </c>
      <c r="AO3354" s="11">
        <v>39260.14</v>
      </c>
      <c r="AP3354" s="9">
        <v>3.4065887231190222</v>
      </c>
    </row>
    <row r="3355" spans="40:42" x14ac:dyDescent="0.3">
      <c r="AN3355">
        <v>3351</v>
      </c>
      <c r="AO3355" s="11">
        <v>22229.22</v>
      </c>
      <c r="AP3355" s="9">
        <v>3.2241091579865677</v>
      </c>
    </row>
    <row r="3356" spans="40:42" x14ac:dyDescent="0.3">
      <c r="AN3356">
        <v>3352</v>
      </c>
      <c r="AO3356" s="11">
        <v>33509.06</v>
      </c>
      <c r="AP3356" s="9">
        <v>3.704421699301172</v>
      </c>
    </row>
    <row r="3357" spans="40:42" x14ac:dyDescent="0.3">
      <c r="AN3357">
        <v>3353</v>
      </c>
      <c r="AO3357" s="11">
        <v>30928.68</v>
      </c>
      <c r="AP3357" s="9">
        <v>3.7374549203104275</v>
      </c>
    </row>
    <row r="3358" spans="40:42" x14ac:dyDescent="0.3">
      <c r="AN3358">
        <v>3354</v>
      </c>
      <c r="AO3358" s="11">
        <v>25137.66</v>
      </c>
      <c r="AP3358" s="9">
        <v>3.4501557647838603</v>
      </c>
    </row>
    <row r="3359" spans="40:42" x14ac:dyDescent="0.3">
      <c r="AN3359">
        <v>3355</v>
      </c>
      <c r="AO3359" s="11">
        <v>20012.240000000002</v>
      </c>
      <c r="AP3359" s="9">
        <v>3.2340398870812135</v>
      </c>
    </row>
    <row r="3360" spans="40:42" x14ac:dyDescent="0.3">
      <c r="AN3360">
        <v>3356</v>
      </c>
      <c r="AO3360" s="11">
        <v>27868.94</v>
      </c>
      <c r="AP3360" s="9">
        <v>3.5754523786006627</v>
      </c>
    </row>
    <row r="3361" spans="40:42" x14ac:dyDescent="0.3">
      <c r="AN3361">
        <v>3357</v>
      </c>
      <c r="AO3361" s="11">
        <v>27654.62</v>
      </c>
      <c r="AP3361" s="9">
        <v>3.2970290041152919</v>
      </c>
    </row>
    <row r="3362" spans="40:42" x14ac:dyDescent="0.3">
      <c r="AN3362">
        <v>3358</v>
      </c>
      <c r="AO3362" s="11">
        <v>51195.89</v>
      </c>
      <c r="AP3362" s="9">
        <v>3.3710875029672738</v>
      </c>
    </row>
    <row r="3363" spans="40:42" x14ac:dyDescent="0.3">
      <c r="AN3363">
        <v>3359</v>
      </c>
      <c r="AO3363" s="11">
        <v>43778.12</v>
      </c>
      <c r="AP3363" s="9">
        <v>3.4674594350671515</v>
      </c>
    </row>
    <row r="3364" spans="40:42" x14ac:dyDescent="0.3">
      <c r="AN3364">
        <v>3360</v>
      </c>
      <c r="AO3364" s="11">
        <v>30534.63</v>
      </c>
      <c r="AP3364" s="9">
        <v>3.2573868740061882</v>
      </c>
    </row>
    <row r="3365" spans="40:42" x14ac:dyDescent="0.3">
      <c r="AN3365">
        <v>3361</v>
      </c>
      <c r="AO3365" s="11">
        <v>35419.449999999997</v>
      </c>
      <c r="AP3365" s="9">
        <v>3.8742598504725461</v>
      </c>
    </row>
    <row r="3366" spans="40:42" x14ac:dyDescent="0.3">
      <c r="AN3366">
        <v>3362</v>
      </c>
      <c r="AO3366" s="11">
        <v>43623.85</v>
      </c>
      <c r="AP3366" s="9">
        <v>4.1599347663703661</v>
      </c>
    </row>
    <row r="3367" spans="40:42" x14ac:dyDescent="0.3">
      <c r="AN3367">
        <v>3363</v>
      </c>
      <c r="AO3367" s="11">
        <v>34879.78</v>
      </c>
      <c r="AP3367" s="9">
        <v>4.0322343414519732</v>
      </c>
    </row>
    <row r="3368" spans="40:42" x14ac:dyDescent="0.3">
      <c r="AN3368">
        <v>3364</v>
      </c>
      <c r="AO3368" s="11">
        <v>25917.27</v>
      </c>
      <c r="AP3368" s="9">
        <v>2.9427700227645981</v>
      </c>
    </row>
    <row r="3369" spans="40:42" x14ac:dyDescent="0.3">
      <c r="AN3369">
        <v>3365</v>
      </c>
      <c r="AO3369" s="11">
        <v>27107.37</v>
      </c>
      <c r="AP3369" s="9">
        <v>3.4599801321009824</v>
      </c>
    </row>
    <row r="3370" spans="40:42" x14ac:dyDescent="0.3">
      <c r="AN3370">
        <v>3366</v>
      </c>
      <c r="AO3370" s="11">
        <v>22285.61</v>
      </c>
      <c r="AP3370" s="9">
        <v>4.3637835755627563</v>
      </c>
    </row>
    <row r="3371" spans="40:42" x14ac:dyDescent="0.3">
      <c r="AN3371">
        <v>3367</v>
      </c>
      <c r="AO3371" s="11">
        <v>28743.23</v>
      </c>
      <c r="AP3371" s="9">
        <v>3.6585958983035072</v>
      </c>
    </row>
    <row r="3372" spans="40:42" x14ac:dyDescent="0.3">
      <c r="AN3372">
        <v>3368</v>
      </c>
      <c r="AO3372" s="11">
        <v>22772.79</v>
      </c>
      <c r="AP3372" s="9">
        <v>2.9505010839816763</v>
      </c>
    </row>
    <row r="3373" spans="40:42" x14ac:dyDescent="0.3">
      <c r="AN3373">
        <v>3369</v>
      </c>
      <c r="AO3373" s="11">
        <v>32827.56</v>
      </c>
      <c r="AP3373" s="9">
        <v>3.878039000325495</v>
      </c>
    </row>
    <row r="3374" spans="40:42" x14ac:dyDescent="0.3">
      <c r="AN3374">
        <v>3370</v>
      </c>
      <c r="AO3374" s="11">
        <v>13403.14</v>
      </c>
      <c r="AP3374" s="9">
        <v>3.3677984620014718</v>
      </c>
    </row>
    <row r="3375" spans="40:42" x14ac:dyDescent="0.3">
      <c r="AN3375">
        <v>3371</v>
      </c>
      <c r="AO3375" s="11">
        <v>39107.49</v>
      </c>
      <c r="AP3375" s="9">
        <v>3.927741825980577</v>
      </c>
    </row>
    <row r="3376" spans="40:42" x14ac:dyDescent="0.3">
      <c r="AN3376">
        <v>3372</v>
      </c>
      <c r="AO3376" s="11">
        <v>28396.09</v>
      </c>
      <c r="AP3376" s="9">
        <v>3.5844738892427523</v>
      </c>
    </row>
    <row r="3377" spans="40:42" x14ac:dyDescent="0.3">
      <c r="AN3377">
        <v>3373</v>
      </c>
      <c r="AO3377" s="11">
        <v>34141.730000000003</v>
      </c>
      <c r="AP3377" s="9">
        <v>3.5277853202555671</v>
      </c>
    </row>
    <row r="3378" spans="40:42" x14ac:dyDescent="0.3">
      <c r="AN3378">
        <v>3374</v>
      </c>
      <c r="AO3378" s="11">
        <v>17677.52</v>
      </c>
      <c r="AP3378" s="9">
        <v>3.0583759183915746</v>
      </c>
    </row>
    <row r="3379" spans="40:42" x14ac:dyDescent="0.3">
      <c r="AN3379">
        <v>3375</v>
      </c>
      <c r="AO3379" s="11">
        <v>26509.91</v>
      </c>
      <c r="AP3379" s="9">
        <v>3.8794817184357622</v>
      </c>
    </row>
    <row r="3380" spans="40:42" x14ac:dyDescent="0.3">
      <c r="AN3380">
        <v>3376</v>
      </c>
      <c r="AO3380" s="11">
        <v>23992.05</v>
      </c>
      <c r="AP3380" s="9">
        <v>3.2154677958301527</v>
      </c>
    </row>
    <row r="3381" spans="40:42" x14ac:dyDescent="0.3">
      <c r="AN3381">
        <v>3377</v>
      </c>
      <c r="AO3381" s="11">
        <v>33694.82</v>
      </c>
      <c r="AP3381" s="9">
        <v>3.3310672184559738</v>
      </c>
    </row>
    <row r="3382" spans="40:42" x14ac:dyDescent="0.3">
      <c r="AN3382">
        <v>3378</v>
      </c>
      <c r="AO3382" s="11">
        <v>29474.51</v>
      </c>
      <c r="AP3382" s="9">
        <v>3.0325219629852405</v>
      </c>
    </row>
    <row r="3383" spans="40:42" x14ac:dyDescent="0.3">
      <c r="AN3383">
        <v>3379</v>
      </c>
      <c r="AO3383" s="11">
        <v>32180.99</v>
      </c>
      <c r="AP3383" s="9">
        <v>3.2638440502106287</v>
      </c>
    </row>
    <row r="3384" spans="40:42" x14ac:dyDescent="0.3">
      <c r="AN3384">
        <v>3380</v>
      </c>
      <c r="AO3384" s="11">
        <v>35811.22</v>
      </c>
      <c r="AP3384" s="9">
        <v>3.723019616377973</v>
      </c>
    </row>
    <row r="3385" spans="40:42" x14ac:dyDescent="0.3">
      <c r="AN3385">
        <v>3381</v>
      </c>
      <c r="AO3385" s="11">
        <v>21061.599999999999</v>
      </c>
      <c r="AP3385" s="9">
        <v>3.887577897903669</v>
      </c>
    </row>
    <row r="3386" spans="40:42" x14ac:dyDescent="0.3">
      <c r="AN3386">
        <v>3382</v>
      </c>
      <c r="AO3386" s="11">
        <v>22238.21</v>
      </c>
      <c r="AP3386" s="9">
        <v>3.2821218639164806</v>
      </c>
    </row>
    <row r="3387" spans="40:42" x14ac:dyDescent="0.3">
      <c r="AN3387">
        <v>3383</v>
      </c>
      <c r="AO3387" s="11">
        <v>36766.57</v>
      </c>
      <c r="AP3387" s="9">
        <v>4.2364838544405297</v>
      </c>
    </row>
    <row r="3388" spans="40:42" x14ac:dyDescent="0.3">
      <c r="AN3388">
        <v>3384</v>
      </c>
      <c r="AO3388" s="11">
        <v>24549.42</v>
      </c>
      <c r="AP3388" s="9">
        <v>2.7814528452174834</v>
      </c>
    </row>
    <row r="3389" spans="40:42" x14ac:dyDescent="0.3">
      <c r="AN3389">
        <v>3385</v>
      </c>
      <c r="AO3389" s="11">
        <v>34508.629999999997</v>
      </c>
      <c r="AP3389" s="9">
        <v>3.8934709620348995</v>
      </c>
    </row>
    <row r="3390" spans="40:42" x14ac:dyDescent="0.3">
      <c r="AN3390">
        <v>3386</v>
      </c>
      <c r="AO3390" s="11">
        <v>23710.42</v>
      </c>
      <c r="AP3390" s="9">
        <v>2.8748022879236923</v>
      </c>
    </row>
    <row r="3391" spans="40:42" x14ac:dyDescent="0.3">
      <c r="AN3391">
        <v>3387</v>
      </c>
      <c r="AO3391" s="11">
        <v>30281.33</v>
      </c>
      <c r="AP3391" s="9">
        <v>3.5368808867419999</v>
      </c>
    </row>
    <row r="3392" spans="40:42" x14ac:dyDescent="0.3">
      <c r="AN3392">
        <v>3388</v>
      </c>
      <c r="AO3392" s="11">
        <v>18879.28</v>
      </c>
      <c r="AP3392" s="9">
        <v>3.5165285221815501</v>
      </c>
    </row>
    <row r="3393" spans="40:42" x14ac:dyDescent="0.3">
      <c r="AN3393">
        <v>3389</v>
      </c>
      <c r="AO3393" s="11">
        <v>39128.36</v>
      </c>
      <c r="AP3393" s="9">
        <v>4.0619385110191573</v>
      </c>
    </row>
    <row r="3394" spans="40:42" x14ac:dyDescent="0.3">
      <c r="AN3394">
        <v>3390</v>
      </c>
      <c r="AO3394" s="11">
        <v>33426.53</v>
      </c>
      <c r="AP3394" s="9">
        <v>3.4518810262405681</v>
      </c>
    </row>
    <row r="3395" spans="40:42" x14ac:dyDescent="0.3">
      <c r="AN3395">
        <v>3391</v>
      </c>
      <c r="AO3395" s="11">
        <v>20947.580000000002</v>
      </c>
      <c r="AP3395" s="9">
        <v>3.434385167956143</v>
      </c>
    </row>
    <row r="3396" spans="40:42" x14ac:dyDescent="0.3">
      <c r="AN3396">
        <v>3392</v>
      </c>
      <c r="AO3396" s="11">
        <v>22175.96</v>
      </c>
      <c r="AP3396" s="9">
        <v>3.5985695431794573</v>
      </c>
    </row>
    <row r="3397" spans="40:42" x14ac:dyDescent="0.3">
      <c r="AN3397">
        <v>3393</v>
      </c>
      <c r="AO3397" s="11">
        <v>27432.03</v>
      </c>
      <c r="AP3397" s="9">
        <v>3.9273518866469916</v>
      </c>
    </row>
    <row r="3398" spans="40:42" x14ac:dyDescent="0.3">
      <c r="AN3398">
        <v>3394</v>
      </c>
      <c r="AO3398" s="11">
        <v>34628.620000000003</v>
      </c>
      <c r="AP3398" s="9">
        <v>3.318497601755757</v>
      </c>
    </row>
    <row r="3399" spans="40:42" x14ac:dyDescent="0.3">
      <c r="AN3399">
        <v>3395</v>
      </c>
      <c r="AO3399" s="11">
        <v>37456.769999999997</v>
      </c>
      <c r="AP3399" s="9">
        <v>3.9085797093870034</v>
      </c>
    </row>
    <row r="3400" spans="40:42" x14ac:dyDescent="0.3">
      <c r="AN3400">
        <v>3396</v>
      </c>
      <c r="AO3400" s="11">
        <v>23438.560000000001</v>
      </c>
      <c r="AP3400" s="9">
        <v>3.1887458203414862</v>
      </c>
    </row>
    <row r="3401" spans="40:42" x14ac:dyDescent="0.3">
      <c r="AN3401">
        <v>3397</v>
      </c>
      <c r="AO3401" s="11">
        <v>27285.919999999998</v>
      </c>
      <c r="AP3401" s="9">
        <v>3.6620577523968647</v>
      </c>
    </row>
    <row r="3402" spans="40:42" x14ac:dyDescent="0.3">
      <c r="AN3402">
        <v>3398</v>
      </c>
      <c r="AO3402" s="11">
        <v>19115.849999999999</v>
      </c>
      <c r="AP3402" s="9">
        <v>2.7410093375399796</v>
      </c>
    </row>
    <row r="3403" spans="40:42" x14ac:dyDescent="0.3">
      <c r="AN3403">
        <v>3399</v>
      </c>
      <c r="AO3403" s="11">
        <v>21782.959999999999</v>
      </c>
      <c r="AP3403" s="9">
        <v>2.9214579700519621</v>
      </c>
    </row>
    <row r="3404" spans="40:42" x14ac:dyDescent="0.3">
      <c r="AN3404">
        <v>3400</v>
      </c>
      <c r="AO3404" s="11">
        <v>26913.11</v>
      </c>
      <c r="AP3404" s="9">
        <v>3.3963703842584136</v>
      </c>
    </row>
    <row r="3405" spans="40:42" x14ac:dyDescent="0.3">
      <c r="AN3405">
        <v>3401</v>
      </c>
      <c r="AO3405" s="11">
        <v>21742.87</v>
      </c>
      <c r="AP3405" s="9">
        <v>3.0957821193961523</v>
      </c>
    </row>
    <row r="3406" spans="40:42" x14ac:dyDescent="0.3">
      <c r="AN3406">
        <v>3402</v>
      </c>
      <c r="AO3406" s="11">
        <v>24778.240000000002</v>
      </c>
      <c r="AP3406" s="9">
        <v>3.4114193972929479</v>
      </c>
    </row>
    <row r="3407" spans="40:42" x14ac:dyDescent="0.3">
      <c r="AN3407">
        <v>3403</v>
      </c>
      <c r="AO3407" s="11">
        <v>24326.37</v>
      </c>
      <c r="AP3407" s="9">
        <v>4.0569069530502215</v>
      </c>
    </row>
    <row r="3408" spans="40:42" x14ac:dyDescent="0.3">
      <c r="AN3408">
        <v>3404</v>
      </c>
      <c r="AO3408" s="11">
        <v>23262.46</v>
      </c>
      <c r="AP3408" s="9">
        <v>3.4130592833826201</v>
      </c>
    </row>
    <row r="3409" spans="40:42" x14ac:dyDescent="0.3">
      <c r="AN3409">
        <v>3405</v>
      </c>
      <c r="AO3409" s="11">
        <v>26700.65</v>
      </c>
      <c r="AP3409" s="9">
        <v>2.912785155303562</v>
      </c>
    </row>
    <row r="3410" spans="40:42" x14ac:dyDescent="0.3">
      <c r="AN3410">
        <v>3406</v>
      </c>
      <c r="AO3410" s="11">
        <v>31947.21</v>
      </c>
      <c r="AP3410" s="9">
        <v>3.2638782155793291</v>
      </c>
    </row>
    <row r="3411" spans="40:42" x14ac:dyDescent="0.3">
      <c r="AN3411">
        <v>3407</v>
      </c>
      <c r="AO3411" s="11">
        <v>23160.97</v>
      </c>
      <c r="AP3411" s="9">
        <v>3.5534846705022338</v>
      </c>
    </row>
    <row r="3412" spans="40:42" x14ac:dyDescent="0.3">
      <c r="AN3412">
        <v>3408</v>
      </c>
      <c r="AO3412" s="11">
        <v>22856.73</v>
      </c>
      <c r="AP3412" s="9">
        <v>2.950792073208095</v>
      </c>
    </row>
    <row r="3413" spans="40:42" x14ac:dyDescent="0.3">
      <c r="AN3413">
        <v>3409</v>
      </c>
      <c r="AO3413" s="11">
        <v>19658.97</v>
      </c>
      <c r="AP3413" s="9">
        <v>3.3242058758014492</v>
      </c>
    </row>
    <row r="3414" spans="40:42" x14ac:dyDescent="0.3">
      <c r="AN3414">
        <v>3410</v>
      </c>
      <c r="AO3414" s="11">
        <v>28199.21</v>
      </c>
      <c r="AP3414" s="9">
        <v>3.1143785194629023</v>
      </c>
    </row>
    <row r="3415" spans="40:42" x14ac:dyDescent="0.3">
      <c r="AN3415">
        <v>3411</v>
      </c>
      <c r="AO3415" s="11">
        <v>28880.52</v>
      </c>
      <c r="AP3415" s="9">
        <v>3.3348560854174201</v>
      </c>
    </row>
    <row r="3416" spans="40:42" x14ac:dyDescent="0.3">
      <c r="AN3416">
        <v>3412</v>
      </c>
      <c r="AO3416" s="11">
        <v>19730.669999999998</v>
      </c>
      <c r="AP3416" s="9">
        <v>2.7910025537002836</v>
      </c>
    </row>
    <row r="3417" spans="40:42" x14ac:dyDescent="0.3">
      <c r="AN3417">
        <v>3413</v>
      </c>
      <c r="AO3417" s="11">
        <v>31349.82</v>
      </c>
      <c r="AP3417" s="9">
        <v>3.2716568835376725</v>
      </c>
    </row>
    <row r="3418" spans="40:42" x14ac:dyDescent="0.3">
      <c r="AN3418">
        <v>3414</v>
      </c>
      <c r="AO3418" s="11">
        <v>31592.73</v>
      </c>
      <c r="AP3418" s="9">
        <v>3.585908274943832</v>
      </c>
    </row>
    <row r="3419" spans="40:42" x14ac:dyDescent="0.3">
      <c r="AN3419">
        <v>3415</v>
      </c>
      <c r="AO3419" s="11">
        <v>31833.56</v>
      </c>
      <c r="AP3419" s="9">
        <v>3.5895812345268214</v>
      </c>
    </row>
    <row r="3420" spans="40:42" x14ac:dyDescent="0.3">
      <c r="AN3420">
        <v>3416</v>
      </c>
      <c r="AO3420" s="11">
        <v>39821.89</v>
      </c>
      <c r="AP3420" s="9">
        <v>3.4739381558635087</v>
      </c>
    </row>
    <row r="3421" spans="40:42" x14ac:dyDescent="0.3">
      <c r="AN3421">
        <v>3417</v>
      </c>
      <c r="AO3421" s="11">
        <v>26202.79</v>
      </c>
      <c r="AP3421" s="9">
        <v>2.7897004095598001</v>
      </c>
    </row>
    <row r="3422" spans="40:42" x14ac:dyDescent="0.3">
      <c r="AN3422">
        <v>3418</v>
      </c>
      <c r="AO3422" s="11">
        <v>26160.84</v>
      </c>
      <c r="AP3422" s="9">
        <v>2.7673088930860272</v>
      </c>
    </row>
    <row r="3423" spans="40:42" x14ac:dyDescent="0.3">
      <c r="AN3423">
        <v>3419</v>
      </c>
      <c r="AO3423" s="11">
        <v>26275.89</v>
      </c>
      <c r="AP3423" s="9">
        <v>3.2167447949762042</v>
      </c>
    </row>
    <row r="3424" spans="40:42" x14ac:dyDescent="0.3">
      <c r="AN3424">
        <v>3420</v>
      </c>
      <c r="AO3424" s="11">
        <v>23744.47</v>
      </c>
      <c r="AP3424" s="9">
        <v>3.8407719287617978</v>
      </c>
    </row>
    <row r="3425" spans="40:42" x14ac:dyDescent="0.3">
      <c r="AN3425">
        <v>3421</v>
      </c>
      <c r="AO3425" s="11">
        <v>31372.16</v>
      </c>
      <c r="AP3425" s="9">
        <v>2.9592570223790893</v>
      </c>
    </row>
    <row r="3426" spans="40:42" x14ac:dyDescent="0.3">
      <c r="AN3426">
        <v>3422</v>
      </c>
      <c r="AO3426" s="11">
        <v>22527.360000000001</v>
      </c>
      <c r="AP3426" s="9">
        <v>3.1280695225197195</v>
      </c>
    </row>
    <row r="3427" spans="40:42" x14ac:dyDescent="0.3">
      <c r="AN3427">
        <v>3423</v>
      </c>
      <c r="AO3427" s="11">
        <v>30063.21</v>
      </c>
      <c r="AP3427" s="9">
        <v>3.5500458839545557</v>
      </c>
    </row>
    <row r="3428" spans="40:42" x14ac:dyDescent="0.3">
      <c r="AN3428">
        <v>3424</v>
      </c>
      <c r="AO3428" s="11">
        <v>31668.5</v>
      </c>
      <c r="AP3428" s="9">
        <v>5.2136663045127793</v>
      </c>
    </row>
    <row r="3429" spans="40:42" x14ac:dyDescent="0.3">
      <c r="AN3429">
        <v>3425</v>
      </c>
      <c r="AO3429" s="11">
        <v>18344.82</v>
      </c>
      <c r="AP3429" s="9">
        <v>3.154655641720423</v>
      </c>
    </row>
    <row r="3430" spans="40:42" x14ac:dyDescent="0.3">
      <c r="AN3430">
        <v>3426</v>
      </c>
      <c r="AO3430" s="11">
        <v>19324.599999999999</v>
      </c>
      <c r="AP3430" s="9">
        <v>2.6256286878406265</v>
      </c>
    </row>
    <row r="3431" spans="40:42" x14ac:dyDescent="0.3">
      <c r="AN3431">
        <v>3427</v>
      </c>
      <c r="AO3431" s="11">
        <v>36836.769999999997</v>
      </c>
      <c r="AP3431" s="9">
        <v>3.652243941464921</v>
      </c>
    </row>
    <row r="3432" spans="40:42" x14ac:dyDescent="0.3">
      <c r="AN3432">
        <v>3428</v>
      </c>
      <c r="AO3432" s="11">
        <v>21262.799999999999</v>
      </c>
      <c r="AP3432" s="9">
        <v>3.3693837894928489</v>
      </c>
    </row>
    <row r="3433" spans="40:42" x14ac:dyDescent="0.3">
      <c r="AN3433">
        <v>3429</v>
      </c>
      <c r="AO3433" s="11">
        <v>32423.42</v>
      </c>
      <c r="AP3433" s="9">
        <v>3.3143693601190378</v>
      </c>
    </row>
    <row r="3434" spans="40:42" x14ac:dyDescent="0.3">
      <c r="AN3434">
        <v>3430</v>
      </c>
      <c r="AO3434" s="11">
        <v>26127.88</v>
      </c>
      <c r="AP3434" s="9">
        <v>3.4472267775601404</v>
      </c>
    </row>
    <row r="3435" spans="40:42" x14ac:dyDescent="0.3">
      <c r="AN3435">
        <v>3431</v>
      </c>
      <c r="AO3435" s="11">
        <v>25923.22</v>
      </c>
      <c r="AP3435" s="9">
        <v>2.7149704087102311</v>
      </c>
    </row>
    <row r="3436" spans="40:42" x14ac:dyDescent="0.3">
      <c r="AN3436">
        <v>3432</v>
      </c>
      <c r="AO3436" s="11">
        <v>38301.980000000003</v>
      </c>
      <c r="AP3436" s="9">
        <v>4.0028897584023682</v>
      </c>
    </row>
    <row r="3437" spans="40:42" x14ac:dyDescent="0.3">
      <c r="AN3437">
        <v>3433</v>
      </c>
      <c r="AO3437" s="11">
        <v>40087.949999999997</v>
      </c>
      <c r="AP3437" s="9">
        <v>3.5723030896097026</v>
      </c>
    </row>
    <row r="3438" spans="40:42" x14ac:dyDescent="0.3">
      <c r="AN3438">
        <v>3434</v>
      </c>
      <c r="AO3438" s="11">
        <v>24396.720000000001</v>
      </c>
      <c r="AP3438" s="9">
        <v>3.479875503693485</v>
      </c>
    </row>
    <row r="3439" spans="40:42" x14ac:dyDescent="0.3">
      <c r="AN3439">
        <v>3435</v>
      </c>
      <c r="AO3439" s="11">
        <v>34856.620000000003</v>
      </c>
      <c r="AP3439" s="9">
        <v>4.2030569331312098</v>
      </c>
    </row>
    <row r="3440" spans="40:42" x14ac:dyDescent="0.3">
      <c r="AN3440">
        <v>3436</v>
      </c>
      <c r="AO3440" s="11">
        <v>25126.560000000001</v>
      </c>
      <c r="AP3440" s="9">
        <v>3.4492890246032424</v>
      </c>
    </row>
    <row r="3441" spans="40:42" x14ac:dyDescent="0.3">
      <c r="AN3441">
        <v>3437</v>
      </c>
      <c r="AO3441" s="11">
        <v>23555.51</v>
      </c>
      <c r="AP3441" s="9">
        <v>3.575669506329259</v>
      </c>
    </row>
    <row r="3442" spans="40:42" x14ac:dyDescent="0.3">
      <c r="AN3442">
        <v>3438</v>
      </c>
      <c r="AO3442" s="11">
        <v>33038.33</v>
      </c>
      <c r="AP3442" s="9">
        <v>3.4979418137475662</v>
      </c>
    </row>
    <row r="3443" spans="40:42" x14ac:dyDescent="0.3">
      <c r="AN3443">
        <v>3439</v>
      </c>
      <c r="AO3443" s="11">
        <v>37692.480000000003</v>
      </c>
      <c r="AP3443" s="9">
        <v>3.5970555824779629</v>
      </c>
    </row>
    <row r="3444" spans="40:42" x14ac:dyDescent="0.3">
      <c r="AN3444">
        <v>3440</v>
      </c>
      <c r="AO3444" s="11">
        <v>23918.29</v>
      </c>
      <c r="AP3444" s="9">
        <v>2.6247460583926743</v>
      </c>
    </row>
    <row r="3445" spans="40:42" x14ac:dyDescent="0.3">
      <c r="AN3445">
        <v>3441</v>
      </c>
      <c r="AO3445" s="11">
        <v>26266.54</v>
      </c>
      <c r="AP3445" s="9">
        <v>3.1312039729139025</v>
      </c>
    </row>
    <row r="3446" spans="40:42" x14ac:dyDescent="0.3">
      <c r="AN3446">
        <v>3442</v>
      </c>
      <c r="AO3446" s="11">
        <v>28468.87</v>
      </c>
      <c r="AP3446" s="9">
        <v>3.1877194255513666</v>
      </c>
    </row>
    <row r="3447" spans="40:42" x14ac:dyDescent="0.3">
      <c r="AN3447">
        <v>3443</v>
      </c>
      <c r="AO3447" s="11">
        <v>27728.85</v>
      </c>
      <c r="AP3447" s="9">
        <v>3.5514834440307017</v>
      </c>
    </row>
    <row r="3448" spans="40:42" x14ac:dyDescent="0.3">
      <c r="AN3448">
        <v>3444</v>
      </c>
      <c r="AO3448" s="11">
        <v>27529.19</v>
      </c>
      <c r="AP3448" s="9">
        <v>3.5162840370078077</v>
      </c>
    </row>
    <row r="3449" spans="40:42" x14ac:dyDescent="0.3">
      <c r="AN3449">
        <v>3445</v>
      </c>
      <c r="AO3449" s="11">
        <v>22586.65</v>
      </c>
      <c r="AP3449" s="9">
        <v>2.9614923759242315</v>
      </c>
    </row>
    <row r="3450" spans="40:42" x14ac:dyDescent="0.3">
      <c r="AN3450">
        <v>3446</v>
      </c>
      <c r="AO3450" s="11">
        <v>19233.060000000001</v>
      </c>
      <c r="AP3450" s="9">
        <v>3.1779153049727444</v>
      </c>
    </row>
    <row r="3451" spans="40:42" x14ac:dyDescent="0.3">
      <c r="AN3451">
        <v>3447</v>
      </c>
      <c r="AO3451" s="11">
        <v>30713.32</v>
      </c>
      <c r="AP3451" s="9">
        <v>3.9916803685853242</v>
      </c>
    </row>
    <row r="3452" spans="40:42" x14ac:dyDescent="0.3">
      <c r="AN3452">
        <v>3448</v>
      </c>
      <c r="AO3452" s="11">
        <v>24998.99</v>
      </c>
      <c r="AP3452" s="9">
        <v>3.2509392093876111</v>
      </c>
    </row>
    <row r="3453" spans="40:42" x14ac:dyDescent="0.3">
      <c r="AN3453">
        <v>3449</v>
      </c>
      <c r="AO3453" s="11">
        <v>31727.72</v>
      </c>
      <c r="AP3453" s="9">
        <v>3.5304666287037976</v>
      </c>
    </row>
    <row r="3454" spans="40:42" x14ac:dyDescent="0.3">
      <c r="AN3454">
        <v>3450</v>
      </c>
      <c r="AO3454" s="11">
        <v>25875.95</v>
      </c>
      <c r="AP3454" s="9">
        <v>2.7623923767916572</v>
      </c>
    </row>
    <row r="3455" spans="40:42" x14ac:dyDescent="0.3">
      <c r="AN3455">
        <v>3451</v>
      </c>
      <c r="AO3455" s="11">
        <v>22335.94</v>
      </c>
      <c r="AP3455" s="9">
        <v>3.4890443178502455</v>
      </c>
    </row>
    <row r="3456" spans="40:42" x14ac:dyDescent="0.3">
      <c r="AN3456">
        <v>3452</v>
      </c>
      <c r="AO3456" s="11">
        <v>28530.03</v>
      </c>
      <c r="AP3456" s="9">
        <v>3.7924446459097072</v>
      </c>
    </row>
    <row r="3457" spans="40:42" x14ac:dyDescent="0.3">
      <c r="AN3457">
        <v>3453</v>
      </c>
      <c r="AO3457" s="11">
        <v>36861.85</v>
      </c>
      <c r="AP3457" s="9">
        <v>3.7639543815168968</v>
      </c>
    </row>
    <row r="3458" spans="40:42" x14ac:dyDescent="0.3">
      <c r="AN3458">
        <v>3454</v>
      </c>
      <c r="AO3458" s="11">
        <v>29325.26</v>
      </c>
      <c r="AP3458" s="9">
        <v>3.3426191967641983</v>
      </c>
    </row>
    <row r="3459" spans="40:42" x14ac:dyDescent="0.3">
      <c r="AN3459">
        <v>3455</v>
      </c>
      <c r="AO3459" s="11">
        <v>26562.53</v>
      </c>
      <c r="AP3459" s="9">
        <v>2.7016924881075988</v>
      </c>
    </row>
    <row r="3460" spans="40:42" x14ac:dyDescent="0.3">
      <c r="AN3460">
        <v>3456</v>
      </c>
      <c r="AO3460" s="11">
        <v>24355.46</v>
      </c>
      <c r="AP3460" s="9">
        <v>2.9663524902255367</v>
      </c>
    </row>
    <row r="3461" spans="40:42" x14ac:dyDescent="0.3">
      <c r="AN3461">
        <v>3457</v>
      </c>
      <c r="AO3461" s="11">
        <v>30707.21</v>
      </c>
      <c r="AP3461" s="9">
        <v>3.5650479191367337</v>
      </c>
    </row>
    <row r="3462" spans="40:42" x14ac:dyDescent="0.3">
      <c r="AN3462">
        <v>3458</v>
      </c>
      <c r="AO3462" s="11">
        <v>30220.22</v>
      </c>
      <c r="AP3462" s="9">
        <v>3.9067136898330639</v>
      </c>
    </row>
    <row r="3463" spans="40:42" x14ac:dyDescent="0.3">
      <c r="AN3463">
        <v>3459</v>
      </c>
      <c r="AO3463" s="11">
        <v>21577.88</v>
      </c>
      <c r="AP3463" s="9">
        <v>3.1958222373617104</v>
      </c>
    </row>
    <row r="3464" spans="40:42" x14ac:dyDescent="0.3">
      <c r="AN3464">
        <v>3460</v>
      </c>
      <c r="AO3464" s="11">
        <v>27478.639999999999</v>
      </c>
      <c r="AP3464" s="9">
        <v>3.3928952681676297</v>
      </c>
    </row>
    <row r="3465" spans="40:42" x14ac:dyDescent="0.3">
      <c r="AN3465">
        <v>3461</v>
      </c>
      <c r="AO3465" s="11">
        <v>39816.339999999997</v>
      </c>
      <c r="AP3465" s="9">
        <v>4.1578558404632062</v>
      </c>
    </row>
    <row r="3466" spans="40:42" x14ac:dyDescent="0.3">
      <c r="AN3466">
        <v>3462</v>
      </c>
      <c r="AO3466" s="11">
        <v>30168.41</v>
      </c>
      <c r="AP3466" s="9">
        <v>3.5967457671680454</v>
      </c>
    </row>
    <row r="3467" spans="40:42" x14ac:dyDescent="0.3">
      <c r="AN3467">
        <v>3463</v>
      </c>
      <c r="AO3467" s="11">
        <v>36070.14</v>
      </c>
      <c r="AP3467" s="9">
        <v>3.970406772749858</v>
      </c>
    </row>
    <row r="3468" spans="40:42" x14ac:dyDescent="0.3">
      <c r="AN3468">
        <v>3464</v>
      </c>
      <c r="AO3468" s="11">
        <v>17810.5</v>
      </c>
      <c r="AP3468" s="9">
        <v>3.0681997812682349</v>
      </c>
    </row>
    <row r="3469" spans="40:42" x14ac:dyDescent="0.3">
      <c r="AN3469">
        <v>3465</v>
      </c>
      <c r="AO3469" s="11">
        <v>37311.519999999997</v>
      </c>
      <c r="AP3469" s="9">
        <v>4.3696262273409516</v>
      </c>
    </row>
    <row r="3470" spans="40:42" x14ac:dyDescent="0.3">
      <c r="AN3470">
        <v>3466</v>
      </c>
      <c r="AO3470" s="11">
        <v>28918.7</v>
      </c>
      <c r="AP3470" s="9">
        <v>3.3226009445901652</v>
      </c>
    </row>
    <row r="3471" spans="40:42" x14ac:dyDescent="0.3">
      <c r="AN3471">
        <v>3467</v>
      </c>
      <c r="AO3471" s="11">
        <v>25977.88</v>
      </c>
      <c r="AP3471" s="9">
        <v>3.0851985911073307</v>
      </c>
    </row>
    <row r="3472" spans="40:42" x14ac:dyDescent="0.3">
      <c r="AN3472">
        <v>3468</v>
      </c>
      <c r="AO3472" s="11">
        <v>24617.27</v>
      </c>
      <c r="AP3472" s="9">
        <v>3.6251805059191859</v>
      </c>
    </row>
    <row r="3473" spans="40:42" x14ac:dyDescent="0.3">
      <c r="AN3473">
        <v>3469</v>
      </c>
      <c r="AO3473" s="11">
        <v>41781.910000000003</v>
      </c>
      <c r="AP3473" s="9">
        <v>3.8711126345238802</v>
      </c>
    </row>
    <row r="3474" spans="40:42" x14ac:dyDescent="0.3">
      <c r="AN3474">
        <v>3470</v>
      </c>
      <c r="AO3474" s="11">
        <v>22967.26</v>
      </c>
      <c r="AP3474" s="9">
        <v>2.9026632943065716</v>
      </c>
    </row>
    <row r="3475" spans="40:42" x14ac:dyDescent="0.3">
      <c r="AN3475">
        <v>3471</v>
      </c>
      <c r="AO3475" s="11">
        <v>34745.79</v>
      </c>
      <c r="AP3475" s="9">
        <v>3.4314704602012229</v>
      </c>
    </row>
    <row r="3476" spans="40:42" x14ac:dyDescent="0.3">
      <c r="AN3476">
        <v>3472</v>
      </c>
      <c r="AO3476" s="11">
        <v>26450.46</v>
      </c>
      <c r="AP3476" s="9">
        <v>3.2597134952529441</v>
      </c>
    </row>
    <row r="3477" spans="40:42" x14ac:dyDescent="0.3">
      <c r="AN3477">
        <v>3473</v>
      </c>
      <c r="AO3477" s="11">
        <v>21343.56</v>
      </c>
      <c r="AP3477" s="9">
        <v>3.2392051459069684</v>
      </c>
    </row>
    <row r="3478" spans="40:42" x14ac:dyDescent="0.3">
      <c r="AN3478">
        <v>3474</v>
      </c>
      <c r="AO3478" s="11">
        <v>32290.86</v>
      </c>
      <c r="AP3478" s="9">
        <v>3.8442747043028684</v>
      </c>
    </row>
    <row r="3479" spans="40:42" x14ac:dyDescent="0.3">
      <c r="AN3479">
        <v>3475</v>
      </c>
      <c r="AO3479" s="11">
        <v>20161.8</v>
      </c>
      <c r="AP3479" s="9">
        <v>2.9645151441478532</v>
      </c>
    </row>
    <row r="3480" spans="40:42" x14ac:dyDescent="0.3">
      <c r="AN3480">
        <v>3476</v>
      </c>
      <c r="AO3480" s="11">
        <v>25084.83</v>
      </c>
      <c r="AP3480" s="9">
        <v>3.4681309799486884</v>
      </c>
    </row>
    <row r="3481" spans="40:42" x14ac:dyDescent="0.3">
      <c r="AN3481">
        <v>3477</v>
      </c>
      <c r="AO3481" s="11">
        <v>27122.66</v>
      </c>
      <c r="AP3481" s="9">
        <v>3.5846563935755809</v>
      </c>
    </row>
    <row r="3482" spans="40:42" x14ac:dyDescent="0.3">
      <c r="AN3482">
        <v>3478</v>
      </c>
      <c r="AO3482" s="11">
        <v>29282.880000000001</v>
      </c>
      <c r="AP3482" s="9">
        <v>3.247354873952796</v>
      </c>
    </row>
    <row r="3483" spans="40:42" x14ac:dyDescent="0.3">
      <c r="AN3483">
        <v>3479</v>
      </c>
      <c r="AO3483" s="11">
        <v>30524.59</v>
      </c>
      <c r="AP3483" s="9">
        <v>4.0148879496864476</v>
      </c>
    </row>
    <row r="3484" spans="40:42" x14ac:dyDescent="0.3">
      <c r="AN3484">
        <v>3480</v>
      </c>
      <c r="AO3484" s="11">
        <v>15729.2</v>
      </c>
      <c r="AP3484" s="9">
        <v>2.8154415816466423</v>
      </c>
    </row>
    <row r="3485" spans="40:42" x14ac:dyDescent="0.3">
      <c r="AN3485">
        <v>3481</v>
      </c>
      <c r="AO3485" s="11">
        <v>28817.81</v>
      </c>
      <c r="AP3485" s="9">
        <v>2.6802392929091496</v>
      </c>
    </row>
    <row r="3486" spans="40:42" x14ac:dyDescent="0.3">
      <c r="AN3486">
        <v>3482</v>
      </c>
      <c r="AO3486" s="11">
        <v>23924.19</v>
      </c>
      <c r="AP3486" s="9">
        <v>3.3905856471068194</v>
      </c>
    </row>
    <row r="3487" spans="40:42" x14ac:dyDescent="0.3">
      <c r="AN3487">
        <v>3483</v>
      </c>
      <c r="AO3487" s="11">
        <v>24291</v>
      </c>
      <c r="AP3487" s="9">
        <v>3.2744918830518417</v>
      </c>
    </row>
    <row r="3488" spans="40:42" x14ac:dyDescent="0.3">
      <c r="AN3488">
        <v>3484</v>
      </c>
      <c r="AO3488" s="11">
        <v>42309.34</v>
      </c>
      <c r="AP3488" s="9">
        <v>3.446086696436494</v>
      </c>
    </row>
    <row r="3489" spans="40:42" x14ac:dyDescent="0.3">
      <c r="AN3489">
        <v>3485</v>
      </c>
      <c r="AO3489" s="11">
        <v>21433.97</v>
      </c>
      <c r="AP3489" s="9">
        <v>3.0718428229112438</v>
      </c>
    </row>
    <row r="3490" spans="40:42" x14ac:dyDescent="0.3">
      <c r="AN3490">
        <v>3486</v>
      </c>
      <c r="AO3490" s="11">
        <v>35662.89</v>
      </c>
      <c r="AP3490" s="9">
        <v>4.1513475401005815</v>
      </c>
    </row>
    <row r="3491" spans="40:42" x14ac:dyDescent="0.3">
      <c r="AN3491">
        <v>3487</v>
      </c>
      <c r="AO3491" s="11">
        <v>24711.4</v>
      </c>
      <c r="AP3491" s="9">
        <v>3.1907361076197711</v>
      </c>
    </row>
    <row r="3492" spans="40:42" x14ac:dyDescent="0.3">
      <c r="AN3492">
        <v>3488</v>
      </c>
      <c r="AO3492" s="11">
        <v>21246.78</v>
      </c>
      <c r="AP3492" s="9">
        <v>3.3338412886758277</v>
      </c>
    </row>
    <row r="3493" spans="40:42" x14ac:dyDescent="0.3">
      <c r="AN3493">
        <v>3489</v>
      </c>
      <c r="AO3493" s="11">
        <v>16566.060000000001</v>
      </c>
      <c r="AP3493" s="9">
        <v>3.5289134394787967</v>
      </c>
    </row>
    <row r="3494" spans="40:42" x14ac:dyDescent="0.3">
      <c r="AN3494">
        <v>3490</v>
      </c>
      <c r="AO3494" s="11">
        <v>41624.29</v>
      </c>
      <c r="AP3494" s="9">
        <v>3.2553086129509246</v>
      </c>
    </row>
    <row r="3495" spans="40:42" x14ac:dyDescent="0.3">
      <c r="AN3495">
        <v>3491</v>
      </c>
      <c r="AO3495" s="11">
        <v>24402.99</v>
      </c>
      <c r="AP3495" s="9">
        <v>3.1310106477635036</v>
      </c>
    </row>
    <row r="3496" spans="40:42" x14ac:dyDescent="0.3">
      <c r="AN3496">
        <v>3492</v>
      </c>
      <c r="AO3496" s="11">
        <v>44824.98</v>
      </c>
      <c r="AP3496" s="9">
        <v>3.2642679713002472</v>
      </c>
    </row>
    <row r="3497" spans="40:42" x14ac:dyDescent="0.3">
      <c r="AN3497">
        <v>3493</v>
      </c>
      <c r="AO3497" s="11">
        <v>24328.59</v>
      </c>
      <c r="AP3497" s="9">
        <v>3.0614400665858734</v>
      </c>
    </row>
    <row r="3498" spans="40:42" x14ac:dyDescent="0.3">
      <c r="AN3498">
        <v>3494</v>
      </c>
      <c r="AO3498" s="11">
        <v>24086.080000000002</v>
      </c>
      <c r="AP3498" s="9">
        <v>3.2378056524978134</v>
      </c>
    </row>
    <row r="3499" spans="40:42" x14ac:dyDescent="0.3">
      <c r="AN3499">
        <v>3495</v>
      </c>
      <c r="AO3499" s="11">
        <v>20675.830000000002</v>
      </c>
      <c r="AP3499" s="9">
        <v>3.812656630941182</v>
      </c>
    </row>
    <row r="3500" spans="40:42" x14ac:dyDescent="0.3">
      <c r="AN3500">
        <v>3496</v>
      </c>
      <c r="AO3500" s="11">
        <v>28362.98</v>
      </c>
      <c r="AP3500" s="9">
        <v>3.6153134981639892</v>
      </c>
    </row>
    <row r="3501" spans="40:42" x14ac:dyDescent="0.3">
      <c r="AN3501">
        <v>3497</v>
      </c>
      <c r="AO3501" s="11">
        <v>28224.99</v>
      </c>
      <c r="AP3501" s="9">
        <v>2.9722092291613773</v>
      </c>
    </row>
    <row r="3502" spans="40:42" x14ac:dyDescent="0.3">
      <c r="AN3502">
        <v>3498</v>
      </c>
      <c r="AO3502" s="11">
        <v>32481.33</v>
      </c>
      <c r="AP3502" s="9">
        <v>4.1616123623772623</v>
      </c>
    </row>
    <row r="3503" spans="40:42" x14ac:dyDescent="0.3">
      <c r="AN3503">
        <v>3499</v>
      </c>
      <c r="AO3503" s="11">
        <v>24117.09</v>
      </c>
      <c r="AP3503" s="9">
        <v>3.4551924371018443</v>
      </c>
    </row>
    <row r="3504" spans="40:42" x14ac:dyDescent="0.3">
      <c r="AN3504">
        <v>3500</v>
      </c>
      <c r="AO3504" s="11">
        <v>16002.51</v>
      </c>
      <c r="AP3504" s="9">
        <v>3.1773260077199228</v>
      </c>
    </row>
    <row r="3505" spans="40:42" x14ac:dyDescent="0.3">
      <c r="AN3505">
        <v>3501</v>
      </c>
      <c r="AO3505" s="11">
        <v>26870.2</v>
      </c>
      <c r="AP3505" s="9">
        <v>3.0104669524481595</v>
      </c>
    </row>
    <row r="3506" spans="40:42" x14ac:dyDescent="0.3">
      <c r="AN3506">
        <v>3502</v>
      </c>
      <c r="AO3506" s="11">
        <v>21118.73</v>
      </c>
      <c r="AP3506" s="9">
        <v>3.0364318738702951</v>
      </c>
    </row>
    <row r="3507" spans="40:42" x14ac:dyDescent="0.3">
      <c r="AN3507">
        <v>3503</v>
      </c>
      <c r="AO3507" s="11">
        <v>22248.03</v>
      </c>
      <c r="AP3507" s="9">
        <v>2.9617757880854882</v>
      </c>
    </row>
    <row r="3508" spans="40:42" x14ac:dyDescent="0.3">
      <c r="AN3508">
        <v>3504</v>
      </c>
      <c r="AO3508" s="11">
        <v>20767.87</v>
      </c>
      <c r="AP3508" s="9">
        <v>3.1678103729609148</v>
      </c>
    </row>
    <row r="3509" spans="40:42" x14ac:dyDescent="0.3">
      <c r="AN3509">
        <v>3505</v>
      </c>
      <c r="AO3509" s="11">
        <v>22545.46</v>
      </c>
      <c r="AP3509" s="9">
        <v>3.21383466049349</v>
      </c>
    </row>
    <row r="3510" spans="40:42" x14ac:dyDescent="0.3">
      <c r="AN3510">
        <v>3506</v>
      </c>
      <c r="AO3510" s="11">
        <v>27305.759999999998</v>
      </c>
      <c r="AP3510" s="9">
        <v>3.036433739764437</v>
      </c>
    </row>
    <row r="3511" spans="40:42" x14ac:dyDescent="0.3">
      <c r="AN3511">
        <v>3507</v>
      </c>
      <c r="AO3511" s="11">
        <v>47598.8</v>
      </c>
      <c r="AP3511" s="9">
        <v>3.9047020465109936</v>
      </c>
    </row>
    <row r="3512" spans="40:42" x14ac:dyDescent="0.3">
      <c r="AN3512">
        <v>3508</v>
      </c>
      <c r="AO3512" s="11">
        <v>26945.7</v>
      </c>
      <c r="AP3512" s="9">
        <v>3.3005266498128325</v>
      </c>
    </row>
    <row r="3513" spans="40:42" x14ac:dyDescent="0.3">
      <c r="AN3513">
        <v>3509</v>
      </c>
      <c r="AO3513" s="11">
        <v>30761.63</v>
      </c>
      <c r="AP3513" s="9">
        <v>4.1026143876325047</v>
      </c>
    </row>
    <row r="3514" spans="40:42" x14ac:dyDescent="0.3">
      <c r="AN3514">
        <v>3510</v>
      </c>
      <c r="AO3514" s="11">
        <v>26617.05</v>
      </c>
      <c r="AP3514" s="9">
        <v>3.4779004282030495</v>
      </c>
    </row>
    <row r="3515" spans="40:42" x14ac:dyDescent="0.3">
      <c r="AN3515">
        <v>3511</v>
      </c>
      <c r="AO3515" s="11">
        <v>16874.560000000001</v>
      </c>
      <c r="AP3515" s="9">
        <v>2.753545302067717</v>
      </c>
    </row>
    <row r="3516" spans="40:42" x14ac:dyDescent="0.3">
      <c r="AN3516">
        <v>3512</v>
      </c>
      <c r="AO3516" s="11">
        <v>31518.22</v>
      </c>
      <c r="AP3516" s="9">
        <v>3.4126455324190115</v>
      </c>
    </row>
    <row r="3517" spans="40:42" x14ac:dyDescent="0.3">
      <c r="AN3517">
        <v>3513</v>
      </c>
      <c r="AO3517" s="11">
        <v>18601.259999999998</v>
      </c>
      <c r="AP3517" s="9">
        <v>3.1832827724563786</v>
      </c>
    </row>
    <row r="3518" spans="40:42" x14ac:dyDescent="0.3">
      <c r="AN3518">
        <v>3514</v>
      </c>
      <c r="AO3518" s="11">
        <v>31601.84</v>
      </c>
      <c r="AP3518" s="9">
        <v>3.15147648432617</v>
      </c>
    </row>
    <row r="3519" spans="40:42" x14ac:dyDescent="0.3">
      <c r="AN3519">
        <v>3515</v>
      </c>
      <c r="AO3519" s="11">
        <v>37048.42</v>
      </c>
      <c r="AP3519" s="9">
        <v>4.2019420514969879</v>
      </c>
    </row>
    <row r="3520" spans="40:42" x14ac:dyDescent="0.3">
      <c r="AN3520">
        <v>3516</v>
      </c>
      <c r="AO3520" s="11">
        <v>34794.28</v>
      </c>
      <c r="AP3520" s="9">
        <v>4.0468452763609832</v>
      </c>
    </row>
    <row r="3521" spans="40:42" x14ac:dyDescent="0.3">
      <c r="AN3521">
        <v>3517</v>
      </c>
      <c r="AO3521" s="11">
        <v>28002.48</v>
      </c>
      <c r="AP3521" s="9">
        <v>3.1691769161200338</v>
      </c>
    </row>
    <row r="3522" spans="40:42" x14ac:dyDescent="0.3">
      <c r="AN3522">
        <v>3518</v>
      </c>
      <c r="AO3522" s="11">
        <v>38967.839999999997</v>
      </c>
      <c r="AP3522" s="9">
        <v>4.1395694918557329</v>
      </c>
    </row>
    <row r="3523" spans="40:42" x14ac:dyDescent="0.3">
      <c r="AN3523">
        <v>3519</v>
      </c>
      <c r="AO3523" s="11">
        <v>14594.72</v>
      </c>
      <c r="AP3523" s="9">
        <v>2.7561221249937513</v>
      </c>
    </row>
    <row r="3524" spans="40:42" x14ac:dyDescent="0.3">
      <c r="AN3524">
        <v>3520</v>
      </c>
      <c r="AO3524" s="11">
        <v>33388.300000000003</v>
      </c>
      <c r="AP3524" s="9">
        <v>3.5088997991213211</v>
      </c>
    </row>
    <row r="3525" spans="40:42" x14ac:dyDescent="0.3">
      <c r="AN3525">
        <v>3521</v>
      </c>
      <c r="AO3525" s="11">
        <v>19107.939999999999</v>
      </c>
      <c r="AP3525" s="9">
        <v>3.5874032593280085</v>
      </c>
    </row>
    <row r="3526" spans="40:42" x14ac:dyDescent="0.3">
      <c r="AN3526">
        <v>3522</v>
      </c>
      <c r="AO3526" s="11">
        <v>31583.119999999999</v>
      </c>
      <c r="AP3526" s="9">
        <v>3.594824470965936</v>
      </c>
    </row>
    <row r="3527" spans="40:42" x14ac:dyDescent="0.3">
      <c r="AN3527">
        <v>3523</v>
      </c>
      <c r="AO3527" s="11">
        <v>27139.4</v>
      </c>
      <c r="AP3527" s="9">
        <v>3.1425886773005982</v>
      </c>
    </row>
    <row r="3528" spans="40:42" x14ac:dyDescent="0.3">
      <c r="AN3528">
        <v>3524</v>
      </c>
      <c r="AO3528" s="11">
        <v>26074.26</v>
      </c>
      <c r="AP3528" s="9">
        <v>3.2995255283855252</v>
      </c>
    </row>
    <row r="3529" spans="40:42" x14ac:dyDescent="0.3">
      <c r="AN3529">
        <v>3525</v>
      </c>
      <c r="AO3529" s="11">
        <v>40111.949999999997</v>
      </c>
      <c r="AP3529" s="9">
        <v>3.689954434603679</v>
      </c>
    </row>
    <row r="3530" spans="40:42" x14ac:dyDescent="0.3">
      <c r="AN3530">
        <v>3526</v>
      </c>
      <c r="AO3530" s="11">
        <v>38687.39</v>
      </c>
      <c r="AP3530" s="9">
        <v>3.6247159438676522</v>
      </c>
    </row>
    <row r="3531" spans="40:42" x14ac:dyDescent="0.3">
      <c r="AN3531">
        <v>3527</v>
      </c>
      <c r="AO3531" s="11">
        <v>17889.939999999999</v>
      </c>
      <c r="AP3531" s="9">
        <v>3.7073090572578371</v>
      </c>
    </row>
    <row r="3532" spans="40:42" x14ac:dyDescent="0.3">
      <c r="AN3532">
        <v>3528</v>
      </c>
      <c r="AO3532" s="11">
        <v>37738.76</v>
      </c>
      <c r="AP3532" s="9">
        <v>3.7091203176143348</v>
      </c>
    </row>
    <row r="3533" spans="40:42" x14ac:dyDescent="0.3">
      <c r="AN3533">
        <v>3529</v>
      </c>
      <c r="AO3533" s="11">
        <v>21486.14</v>
      </c>
      <c r="AP3533" s="9">
        <v>3.2729200382409589</v>
      </c>
    </row>
    <row r="3534" spans="40:42" x14ac:dyDescent="0.3">
      <c r="AN3534">
        <v>3530</v>
      </c>
      <c r="AO3534" s="11">
        <v>25571.27</v>
      </c>
      <c r="AP3534" s="9">
        <v>2.8177011019744302</v>
      </c>
    </row>
    <row r="3535" spans="40:42" x14ac:dyDescent="0.3">
      <c r="AN3535">
        <v>3531</v>
      </c>
      <c r="AO3535" s="11">
        <v>25643.23</v>
      </c>
      <c r="AP3535" s="9">
        <v>4.1647538060395082</v>
      </c>
    </row>
    <row r="3536" spans="40:42" x14ac:dyDescent="0.3">
      <c r="AN3536">
        <v>3532</v>
      </c>
      <c r="AO3536" s="11">
        <v>33909.29</v>
      </c>
      <c r="AP3536" s="9">
        <v>3.3845362769713572</v>
      </c>
    </row>
    <row r="3537" spans="40:42" x14ac:dyDescent="0.3">
      <c r="AN3537">
        <v>3533</v>
      </c>
      <c r="AO3537" s="11">
        <v>28723.67</v>
      </c>
      <c r="AP3537" s="9">
        <v>2.9492787645426444</v>
      </c>
    </row>
    <row r="3538" spans="40:42" x14ac:dyDescent="0.3">
      <c r="AN3538">
        <v>3534</v>
      </c>
      <c r="AO3538" s="11">
        <v>24987.3</v>
      </c>
      <c r="AP3538" s="9">
        <v>3.7023234516255923</v>
      </c>
    </row>
    <row r="3539" spans="40:42" x14ac:dyDescent="0.3">
      <c r="AN3539">
        <v>3535</v>
      </c>
      <c r="AO3539" s="11">
        <v>28988.52</v>
      </c>
      <c r="AP3539" s="9">
        <v>3.2627274075951411</v>
      </c>
    </row>
    <row r="3540" spans="40:42" x14ac:dyDescent="0.3">
      <c r="AN3540">
        <v>3536</v>
      </c>
      <c r="AO3540" s="11">
        <v>19930.43</v>
      </c>
      <c r="AP3540" s="9">
        <v>3.0043721962007344</v>
      </c>
    </row>
    <row r="3541" spans="40:42" x14ac:dyDescent="0.3">
      <c r="AN3541">
        <v>3537</v>
      </c>
      <c r="AO3541" s="11">
        <v>35535.89</v>
      </c>
      <c r="AP3541" s="9">
        <v>4.2806001651697549</v>
      </c>
    </row>
    <row r="3542" spans="40:42" x14ac:dyDescent="0.3">
      <c r="AN3542">
        <v>3538</v>
      </c>
      <c r="AO3542" s="11">
        <v>23533.37</v>
      </c>
      <c r="AP3542" s="9">
        <v>3.6807394251912413</v>
      </c>
    </row>
    <row r="3543" spans="40:42" x14ac:dyDescent="0.3">
      <c r="AN3543">
        <v>3539</v>
      </c>
      <c r="AO3543" s="11">
        <v>36243.160000000003</v>
      </c>
      <c r="AP3543" s="9">
        <v>3.7809220798578789</v>
      </c>
    </row>
    <row r="3544" spans="40:42" x14ac:dyDescent="0.3">
      <c r="AN3544">
        <v>3540</v>
      </c>
      <c r="AO3544" s="11">
        <v>29082.58</v>
      </c>
      <c r="AP3544" s="9">
        <v>3.0242875237305054</v>
      </c>
    </row>
    <row r="3545" spans="40:42" x14ac:dyDescent="0.3">
      <c r="AN3545">
        <v>3541</v>
      </c>
      <c r="AO3545" s="11">
        <v>29277.38</v>
      </c>
      <c r="AP3545" s="9">
        <v>3.6839325964390262</v>
      </c>
    </row>
    <row r="3546" spans="40:42" x14ac:dyDescent="0.3">
      <c r="AN3546">
        <v>3542</v>
      </c>
      <c r="AO3546" s="11">
        <v>37790.89</v>
      </c>
      <c r="AP3546" s="9">
        <v>3.1443446843507985</v>
      </c>
    </row>
    <row r="3547" spans="40:42" x14ac:dyDescent="0.3">
      <c r="AN3547">
        <v>3543</v>
      </c>
      <c r="AO3547" s="11">
        <v>19658.18</v>
      </c>
      <c r="AP3547" s="9">
        <v>3.0182088720306934</v>
      </c>
    </row>
    <row r="3548" spans="40:42" x14ac:dyDescent="0.3">
      <c r="AN3548">
        <v>3544</v>
      </c>
      <c r="AO3548" s="11">
        <v>22090.63</v>
      </c>
      <c r="AP3548" s="9">
        <v>2.8012467741874914</v>
      </c>
    </row>
    <row r="3549" spans="40:42" x14ac:dyDescent="0.3">
      <c r="AN3549">
        <v>3545</v>
      </c>
      <c r="AO3549" s="11">
        <v>25412.53</v>
      </c>
      <c r="AP3549" s="9">
        <v>3.4999375045884791</v>
      </c>
    </row>
    <row r="3550" spans="40:42" x14ac:dyDescent="0.3">
      <c r="AN3550">
        <v>3546</v>
      </c>
      <c r="AO3550" s="11">
        <v>24982.69</v>
      </c>
      <c r="AP3550" s="9">
        <v>3.5801760254448682</v>
      </c>
    </row>
    <row r="3551" spans="40:42" x14ac:dyDescent="0.3">
      <c r="AN3551">
        <v>3547</v>
      </c>
      <c r="AO3551" s="11">
        <v>23021.91</v>
      </c>
      <c r="AP3551" s="9">
        <v>3.3059680604631736</v>
      </c>
    </row>
    <row r="3552" spans="40:42" x14ac:dyDescent="0.3">
      <c r="AN3552">
        <v>3548</v>
      </c>
      <c r="AO3552" s="11">
        <v>34894.97</v>
      </c>
      <c r="AP3552" s="9">
        <v>4.3369117659733147</v>
      </c>
    </row>
    <row r="3553" spans="40:42" x14ac:dyDescent="0.3">
      <c r="AN3553">
        <v>3549</v>
      </c>
      <c r="AO3553" s="11">
        <v>30335.599999999999</v>
      </c>
      <c r="AP3553" s="9">
        <v>3.8468733876453038</v>
      </c>
    </row>
    <row r="3554" spans="40:42" x14ac:dyDescent="0.3">
      <c r="AN3554">
        <v>3550</v>
      </c>
      <c r="AO3554" s="11">
        <v>17257.810000000001</v>
      </c>
      <c r="AP3554" s="9">
        <v>3.2337690476001897</v>
      </c>
    </row>
    <row r="3555" spans="40:42" x14ac:dyDescent="0.3">
      <c r="AN3555">
        <v>3551</v>
      </c>
      <c r="AO3555" s="11">
        <v>42461.77</v>
      </c>
      <c r="AP3555" s="9">
        <v>3.347643153439892</v>
      </c>
    </row>
    <row r="3556" spans="40:42" x14ac:dyDescent="0.3">
      <c r="AN3556">
        <v>3552</v>
      </c>
      <c r="AO3556" s="11">
        <v>15389.02</v>
      </c>
      <c r="AP3556" s="9">
        <v>3.1018776131679351</v>
      </c>
    </row>
    <row r="3557" spans="40:42" x14ac:dyDescent="0.3">
      <c r="AN3557">
        <v>3553</v>
      </c>
      <c r="AO3557" s="11">
        <v>19875.330000000002</v>
      </c>
      <c r="AP3557" s="9">
        <v>3.01546290684619</v>
      </c>
    </row>
    <row r="3558" spans="40:42" x14ac:dyDescent="0.3">
      <c r="AN3558">
        <v>3554</v>
      </c>
      <c r="AO3558" s="11">
        <v>28030.93</v>
      </c>
      <c r="AP3558" s="9">
        <v>3.3054641893119343</v>
      </c>
    </row>
    <row r="3559" spans="40:42" x14ac:dyDescent="0.3">
      <c r="AN3559">
        <v>3555</v>
      </c>
      <c r="AO3559" s="11">
        <v>21555.439999999999</v>
      </c>
      <c r="AP3559" s="9">
        <v>2.8790449732147687</v>
      </c>
    </row>
    <row r="3560" spans="40:42" x14ac:dyDescent="0.3">
      <c r="AN3560">
        <v>3556</v>
      </c>
      <c r="AO3560" s="11">
        <v>18021.669999999998</v>
      </c>
      <c r="AP3560" s="9">
        <v>3.5607855112320199</v>
      </c>
    </row>
    <row r="3561" spans="40:42" x14ac:dyDescent="0.3">
      <c r="AN3561">
        <v>3557</v>
      </c>
      <c r="AO3561" s="11">
        <v>19046.07</v>
      </c>
      <c r="AP3561" s="9">
        <v>3.3236716161173239</v>
      </c>
    </row>
    <row r="3562" spans="40:42" x14ac:dyDescent="0.3">
      <c r="AN3562">
        <v>3558</v>
      </c>
      <c r="AO3562" s="11">
        <v>31495.360000000001</v>
      </c>
      <c r="AP3562" s="9">
        <v>4.0407023305187266</v>
      </c>
    </row>
    <row r="3563" spans="40:42" x14ac:dyDescent="0.3">
      <c r="AN3563">
        <v>3559</v>
      </c>
      <c r="AO3563" s="11">
        <v>20610.02</v>
      </c>
      <c r="AP3563" s="9">
        <v>3.3681574468361091</v>
      </c>
    </row>
    <row r="3564" spans="40:42" x14ac:dyDescent="0.3">
      <c r="AN3564">
        <v>3560</v>
      </c>
      <c r="AO3564" s="11">
        <v>16413.490000000002</v>
      </c>
      <c r="AP3564" s="9">
        <v>3.2837362771768537</v>
      </c>
    </row>
    <row r="3565" spans="40:42" x14ac:dyDescent="0.3">
      <c r="AN3565">
        <v>3561</v>
      </c>
      <c r="AO3565" s="11">
        <v>22288.86</v>
      </c>
      <c r="AP3565" s="9">
        <v>3.4092689196706285</v>
      </c>
    </row>
    <row r="3566" spans="40:42" x14ac:dyDescent="0.3">
      <c r="AN3566">
        <v>3562</v>
      </c>
      <c r="AO3566" s="11">
        <v>23921.98</v>
      </c>
      <c r="AP3566" s="9">
        <v>3.2016982605679609</v>
      </c>
    </row>
    <row r="3567" spans="40:42" x14ac:dyDescent="0.3">
      <c r="AN3567">
        <v>3563</v>
      </c>
      <c r="AO3567" s="11">
        <v>19273.82</v>
      </c>
      <c r="AP3567" s="9">
        <v>3.0486909108486286</v>
      </c>
    </row>
    <row r="3568" spans="40:42" x14ac:dyDescent="0.3">
      <c r="AN3568">
        <v>3564</v>
      </c>
      <c r="AO3568" s="11">
        <v>19966.52</v>
      </c>
      <c r="AP3568" s="9">
        <v>3.2080577007451514</v>
      </c>
    </row>
    <row r="3569" spans="40:42" x14ac:dyDescent="0.3">
      <c r="AN3569">
        <v>3565</v>
      </c>
      <c r="AO3569" s="11">
        <v>28074.39</v>
      </c>
      <c r="AP3569" s="9">
        <v>2.9767351860150018</v>
      </c>
    </row>
    <row r="3570" spans="40:42" x14ac:dyDescent="0.3">
      <c r="AN3570">
        <v>3566</v>
      </c>
      <c r="AO3570" s="11">
        <v>27202.89</v>
      </c>
      <c r="AP3570" s="9">
        <v>3.7283046426908482</v>
      </c>
    </row>
    <row r="3571" spans="40:42" x14ac:dyDescent="0.3">
      <c r="AN3571">
        <v>3567</v>
      </c>
      <c r="AO3571" s="11">
        <v>23545.759999999998</v>
      </c>
      <c r="AP3571" s="9">
        <v>3.2390781272336735</v>
      </c>
    </row>
    <row r="3572" spans="40:42" x14ac:dyDescent="0.3">
      <c r="AN3572">
        <v>3568</v>
      </c>
      <c r="AO3572" s="11">
        <v>24521.64</v>
      </c>
      <c r="AP3572" s="9">
        <v>3.3940778061515284</v>
      </c>
    </row>
    <row r="3573" spans="40:42" x14ac:dyDescent="0.3">
      <c r="AN3573">
        <v>3569</v>
      </c>
      <c r="AO3573" s="11">
        <v>22358</v>
      </c>
      <c r="AP3573" s="9">
        <v>3.2109595262120312</v>
      </c>
    </row>
    <row r="3574" spans="40:42" x14ac:dyDescent="0.3">
      <c r="AN3574">
        <v>3570</v>
      </c>
      <c r="AO3574" s="11">
        <v>35250.44</v>
      </c>
      <c r="AP3574" s="9">
        <v>3.8475685874278116</v>
      </c>
    </row>
    <row r="3575" spans="40:42" x14ac:dyDescent="0.3">
      <c r="AN3575">
        <v>3571</v>
      </c>
      <c r="AO3575" s="11">
        <v>18056.25</v>
      </c>
      <c r="AP3575" s="9">
        <v>3.1360787632936242</v>
      </c>
    </row>
    <row r="3576" spans="40:42" x14ac:dyDescent="0.3">
      <c r="AN3576">
        <v>3572</v>
      </c>
      <c r="AO3576" s="11">
        <v>21711.119999999999</v>
      </c>
      <c r="AP3576" s="9">
        <v>3.431128307136317</v>
      </c>
    </row>
    <row r="3577" spans="40:42" x14ac:dyDescent="0.3">
      <c r="AN3577">
        <v>3573</v>
      </c>
      <c r="AO3577" s="11">
        <v>14339.47</v>
      </c>
      <c r="AP3577" s="9">
        <v>3.1845678574817597</v>
      </c>
    </row>
    <row r="3578" spans="40:42" x14ac:dyDescent="0.3">
      <c r="AN3578">
        <v>3574</v>
      </c>
      <c r="AO3578" s="11">
        <v>37173.74</v>
      </c>
      <c r="AP3578" s="9">
        <v>3.3603273964487328</v>
      </c>
    </row>
    <row r="3579" spans="40:42" x14ac:dyDescent="0.3">
      <c r="AN3579">
        <v>3575</v>
      </c>
      <c r="AO3579" s="11">
        <v>30510.68</v>
      </c>
      <c r="AP3579" s="9">
        <v>3.119510111716095</v>
      </c>
    </row>
    <row r="3580" spans="40:42" x14ac:dyDescent="0.3">
      <c r="AN3580">
        <v>3576</v>
      </c>
      <c r="AO3580" s="11">
        <v>27355.61</v>
      </c>
      <c r="AP3580" s="9">
        <v>3.2816172795814884</v>
      </c>
    </row>
    <row r="3581" spans="40:42" x14ac:dyDescent="0.3">
      <c r="AN3581">
        <v>3577</v>
      </c>
      <c r="AO3581" s="11">
        <v>37695.79</v>
      </c>
      <c r="AP3581" s="9">
        <v>3.9517293019845385</v>
      </c>
    </row>
    <row r="3582" spans="40:42" x14ac:dyDescent="0.3">
      <c r="AN3582">
        <v>3578</v>
      </c>
      <c r="AO3582" s="11">
        <v>18702.46</v>
      </c>
      <c r="AP3582" s="9">
        <v>2.8505384572788124</v>
      </c>
    </row>
    <row r="3583" spans="40:42" x14ac:dyDescent="0.3">
      <c r="AN3583">
        <v>3579</v>
      </c>
      <c r="AO3583" s="11">
        <v>29398.95</v>
      </c>
      <c r="AP3583" s="9">
        <v>3.0773058348325315</v>
      </c>
    </row>
    <row r="3584" spans="40:42" x14ac:dyDescent="0.3">
      <c r="AN3584">
        <v>3580</v>
      </c>
      <c r="AO3584" s="11">
        <v>22961.63</v>
      </c>
      <c r="AP3584" s="9">
        <v>3.7864305521550254</v>
      </c>
    </row>
    <row r="3585" spans="40:42" x14ac:dyDescent="0.3">
      <c r="AN3585">
        <v>3581</v>
      </c>
      <c r="AO3585" s="11">
        <v>37631.57</v>
      </c>
      <c r="AP3585" s="9">
        <v>3.680319790823487</v>
      </c>
    </row>
    <row r="3586" spans="40:42" x14ac:dyDescent="0.3">
      <c r="AN3586">
        <v>3582</v>
      </c>
      <c r="AO3586" s="11">
        <v>29979.27</v>
      </c>
      <c r="AP3586" s="9">
        <v>3.3858210830092106</v>
      </c>
    </row>
    <row r="3587" spans="40:42" x14ac:dyDescent="0.3">
      <c r="AN3587">
        <v>3583</v>
      </c>
      <c r="AO3587" s="11">
        <v>30658.15</v>
      </c>
      <c r="AP3587" s="9">
        <v>3.0374768287902669</v>
      </c>
    </row>
    <row r="3588" spans="40:42" x14ac:dyDescent="0.3">
      <c r="AN3588">
        <v>3584</v>
      </c>
      <c r="AO3588" s="11">
        <v>25372.23</v>
      </c>
      <c r="AP3588" s="9">
        <v>3.7432405063305878</v>
      </c>
    </row>
    <row r="3589" spans="40:42" x14ac:dyDescent="0.3">
      <c r="AN3589">
        <v>3585</v>
      </c>
      <c r="AO3589" s="11">
        <v>34821.519999999997</v>
      </c>
      <c r="AP3589" s="9">
        <v>3.6694690290071086</v>
      </c>
    </row>
    <row r="3590" spans="40:42" x14ac:dyDescent="0.3">
      <c r="AN3590">
        <v>3586</v>
      </c>
      <c r="AO3590" s="11">
        <v>34280.49</v>
      </c>
      <c r="AP3590" s="9">
        <v>3.4232798712524066</v>
      </c>
    </row>
    <row r="3591" spans="40:42" x14ac:dyDescent="0.3">
      <c r="AN3591">
        <v>3587</v>
      </c>
      <c r="AO3591" s="11">
        <v>29234.91</v>
      </c>
      <c r="AP3591" s="9">
        <v>3.6386946741792583</v>
      </c>
    </row>
    <row r="3592" spans="40:42" x14ac:dyDescent="0.3">
      <c r="AN3592">
        <v>3588</v>
      </c>
      <c r="AO3592" s="11">
        <v>20626.29</v>
      </c>
      <c r="AP3592" s="9">
        <v>3.768343928845479</v>
      </c>
    </row>
    <row r="3593" spans="40:42" x14ac:dyDescent="0.3">
      <c r="AN3593">
        <v>3589</v>
      </c>
      <c r="AO3593" s="11">
        <v>16971.47</v>
      </c>
      <c r="AP3593" s="9">
        <v>3.0326096722548255</v>
      </c>
    </row>
    <row r="3594" spans="40:42" x14ac:dyDescent="0.3">
      <c r="AN3594">
        <v>3590</v>
      </c>
      <c r="AO3594" s="11">
        <v>24614.76</v>
      </c>
      <c r="AP3594" s="9">
        <v>3.3304344124218841</v>
      </c>
    </row>
    <row r="3595" spans="40:42" x14ac:dyDescent="0.3">
      <c r="AN3595">
        <v>3591</v>
      </c>
      <c r="AO3595" s="11">
        <v>30728.89</v>
      </c>
      <c r="AP3595" s="9">
        <v>3.4513292509350673</v>
      </c>
    </row>
    <row r="3596" spans="40:42" x14ac:dyDescent="0.3">
      <c r="AN3596">
        <v>3592</v>
      </c>
      <c r="AO3596" s="11">
        <v>22882.7</v>
      </c>
      <c r="AP3596" s="9">
        <v>2.8154952437767613</v>
      </c>
    </row>
    <row r="3597" spans="40:42" x14ac:dyDescent="0.3">
      <c r="AN3597">
        <v>3593</v>
      </c>
      <c r="AO3597" s="11">
        <v>19982.75</v>
      </c>
      <c r="AP3597" s="9">
        <v>3.7155738488651715</v>
      </c>
    </row>
    <row r="3598" spans="40:42" x14ac:dyDescent="0.3">
      <c r="AN3598">
        <v>3594</v>
      </c>
      <c r="AO3598" s="11">
        <v>25980.65</v>
      </c>
      <c r="AP3598" s="9">
        <v>3.398400748012389</v>
      </c>
    </row>
    <row r="3599" spans="40:42" x14ac:dyDescent="0.3">
      <c r="AN3599">
        <v>3595</v>
      </c>
      <c r="AO3599" s="11">
        <v>16584.88</v>
      </c>
      <c r="AP3599" s="9">
        <v>2.7712424227591193</v>
      </c>
    </row>
    <row r="3600" spans="40:42" x14ac:dyDescent="0.3">
      <c r="AN3600">
        <v>3596</v>
      </c>
      <c r="AO3600" s="11">
        <v>29677.95</v>
      </c>
      <c r="AP3600" s="9">
        <v>3.7544429023775132</v>
      </c>
    </row>
    <row r="3601" spans="40:42" x14ac:dyDescent="0.3">
      <c r="AN3601">
        <v>3597</v>
      </c>
      <c r="AO3601" s="11">
        <v>23311.94</v>
      </c>
      <c r="AP3601" s="9">
        <v>3.501246071621571</v>
      </c>
    </row>
    <row r="3602" spans="40:42" x14ac:dyDescent="0.3">
      <c r="AN3602">
        <v>3598</v>
      </c>
      <c r="AO3602" s="11">
        <v>30276.720000000001</v>
      </c>
      <c r="AP3602" s="9">
        <v>2.987423301210093</v>
      </c>
    </row>
    <row r="3603" spans="40:42" x14ac:dyDescent="0.3">
      <c r="AN3603">
        <v>3599</v>
      </c>
      <c r="AO3603" s="11">
        <v>19306.150000000001</v>
      </c>
      <c r="AP3603" s="9">
        <v>2.8130707025531239</v>
      </c>
    </row>
    <row r="3604" spans="40:42" x14ac:dyDescent="0.3">
      <c r="AN3604">
        <v>3600</v>
      </c>
      <c r="AO3604" s="11">
        <v>27997.5</v>
      </c>
      <c r="AP3604" s="9">
        <v>3.5624737271578852</v>
      </c>
    </row>
    <row r="3605" spans="40:42" x14ac:dyDescent="0.3">
      <c r="AN3605">
        <v>3601</v>
      </c>
      <c r="AO3605" s="11">
        <v>26833.22</v>
      </c>
      <c r="AP3605" s="9">
        <v>3.6019135982806376</v>
      </c>
    </row>
    <row r="3606" spans="40:42" x14ac:dyDescent="0.3">
      <c r="AN3606">
        <v>3602</v>
      </c>
      <c r="AO3606" s="11">
        <v>20552.89</v>
      </c>
      <c r="AP3606" s="9">
        <v>3.4662693647559744</v>
      </c>
    </row>
    <row r="3607" spans="40:42" x14ac:dyDescent="0.3">
      <c r="AN3607">
        <v>3603</v>
      </c>
      <c r="AO3607" s="11">
        <v>39241.46</v>
      </c>
      <c r="AP3607" s="9">
        <v>3.062091977063186</v>
      </c>
    </row>
    <row r="3608" spans="40:42" x14ac:dyDescent="0.3">
      <c r="AN3608">
        <v>3604</v>
      </c>
      <c r="AO3608" s="11">
        <v>30925.8</v>
      </c>
      <c r="AP3608" s="9">
        <v>3.7668126549107979</v>
      </c>
    </row>
    <row r="3609" spans="40:42" x14ac:dyDescent="0.3">
      <c r="AN3609">
        <v>3605</v>
      </c>
      <c r="AO3609" s="11">
        <v>29905.18</v>
      </c>
      <c r="AP3609" s="9">
        <v>3.1251081226497166</v>
      </c>
    </row>
    <row r="3610" spans="40:42" x14ac:dyDescent="0.3">
      <c r="AN3610">
        <v>3606</v>
      </c>
      <c r="AO3610" s="11">
        <v>42089.14</v>
      </c>
      <c r="AP3610" s="9">
        <v>3.6436170091266882</v>
      </c>
    </row>
    <row r="3611" spans="40:42" x14ac:dyDescent="0.3">
      <c r="AN3611">
        <v>3607</v>
      </c>
      <c r="AO3611" s="11">
        <v>23273.54</v>
      </c>
      <c r="AP3611" s="9">
        <v>2.9937878287331832</v>
      </c>
    </row>
    <row r="3612" spans="40:42" x14ac:dyDescent="0.3">
      <c r="AN3612">
        <v>3608</v>
      </c>
      <c r="AO3612" s="11">
        <v>26955.88</v>
      </c>
      <c r="AP3612" s="9">
        <v>3.1602716596309266</v>
      </c>
    </row>
    <row r="3613" spans="40:42" x14ac:dyDescent="0.3">
      <c r="AN3613">
        <v>3609</v>
      </c>
      <c r="AO3613" s="11">
        <v>28118.38</v>
      </c>
      <c r="AP3613" s="9">
        <v>3.0339455414233409</v>
      </c>
    </row>
    <row r="3614" spans="40:42" x14ac:dyDescent="0.3">
      <c r="AN3614">
        <v>3610</v>
      </c>
      <c r="AO3614" s="11">
        <v>21257.26</v>
      </c>
      <c r="AP3614" s="9">
        <v>3.3892824951118561</v>
      </c>
    </row>
    <row r="3615" spans="40:42" x14ac:dyDescent="0.3">
      <c r="AN3615">
        <v>3611</v>
      </c>
      <c r="AO3615" s="11">
        <v>23096.74</v>
      </c>
      <c r="AP3615" s="9">
        <v>2.9701440560087886</v>
      </c>
    </row>
    <row r="3616" spans="40:42" x14ac:dyDescent="0.3">
      <c r="AN3616">
        <v>3612</v>
      </c>
      <c r="AO3616" s="11">
        <v>19474.189999999999</v>
      </c>
      <c r="AP3616" s="9">
        <v>2.9547221626316453</v>
      </c>
    </row>
    <row r="3617" spans="40:42" x14ac:dyDescent="0.3">
      <c r="AN3617">
        <v>3613</v>
      </c>
      <c r="AO3617" s="11">
        <v>23920.39</v>
      </c>
      <c r="AP3617" s="9">
        <v>4.2665204830314565</v>
      </c>
    </row>
    <row r="3618" spans="40:42" x14ac:dyDescent="0.3">
      <c r="AN3618">
        <v>3614</v>
      </c>
      <c r="AO3618" s="11">
        <v>25331.74</v>
      </c>
      <c r="AP3618" s="9">
        <v>3.7174049588773923</v>
      </c>
    </row>
    <row r="3619" spans="40:42" x14ac:dyDescent="0.3">
      <c r="AN3619">
        <v>3615</v>
      </c>
      <c r="AO3619" s="11">
        <v>26625.86</v>
      </c>
      <c r="AP3619" s="9">
        <v>3.0527489448508183</v>
      </c>
    </row>
    <row r="3620" spans="40:42" x14ac:dyDescent="0.3">
      <c r="AN3620">
        <v>3616</v>
      </c>
      <c r="AO3620" s="11">
        <v>18509.599999999999</v>
      </c>
      <c r="AP3620" s="9">
        <v>3.1516742972239813</v>
      </c>
    </row>
    <row r="3621" spans="40:42" x14ac:dyDescent="0.3">
      <c r="AN3621">
        <v>3617</v>
      </c>
      <c r="AO3621" s="11">
        <v>27962.35</v>
      </c>
      <c r="AP3621" s="9">
        <v>3.7712816396717166</v>
      </c>
    </row>
    <row r="3622" spans="40:42" x14ac:dyDescent="0.3">
      <c r="AN3622">
        <v>3618</v>
      </c>
      <c r="AO3622" s="11">
        <v>19875.7</v>
      </c>
      <c r="AP3622" s="9">
        <v>2.9889685413842164</v>
      </c>
    </row>
    <row r="3623" spans="40:42" x14ac:dyDescent="0.3">
      <c r="AN3623">
        <v>3619</v>
      </c>
      <c r="AO3623" s="11">
        <v>25674.06</v>
      </c>
      <c r="AP3623" s="9">
        <v>3.5350411545414637</v>
      </c>
    </row>
    <row r="3624" spans="40:42" x14ac:dyDescent="0.3">
      <c r="AN3624">
        <v>3620</v>
      </c>
      <c r="AO3624" s="11">
        <v>40190.019999999997</v>
      </c>
      <c r="AP3624" s="9">
        <v>3.3301608013261039</v>
      </c>
    </row>
    <row r="3625" spans="40:42" x14ac:dyDescent="0.3">
      <c r="AN3625">
        <v>3621</v>
      </c>
      <c r="AO3625" s="11">
        <v>31978.26</v>
      </c>
      <c r="AP3625" s="9">
        <v>3.9649353584136366</v>
      </c>
    </row>
    <row r="3626" spans="40:42" x14ac:dyDescent="0.3">
      <c r="AN3626">
        <v>3622</v>
      </c>
      <c r="AO3626" s="11">
        <v>22526.22</v>
      </c>
      <c r="AP3626" s="9">
        <v>3.3344211705876261</v>
      </c>
    </row>
    <row r="3627" spans="40:42" x14ac:dyDescent="0.3">
      <c r="AN3627">
        <v>3623</v>
      </c>
      <c r="AO3627" s="11">
        <v>37540.97</v>
      </c>
      <c r="AP3627" s="9">
        <v>4.328804290596894</v>
      </c>
    </row>
    <row r="3628" spans="40:42" x14ac:dyDescent="0.3">
      <c r="AN3628">
        <v>3624</v>
      </c>
      <c r="AO3628" s="11">
        <v>18165.810000000001</v>
      </c>
      <c r="AP3628" s="9">
        <v>2.4955790134222537</v>
      </c>
    </row>
    <row r="3629" spans="40:42" x14ac:dyDescent="0.3">
      <c r="AN3629">
        <v>3625</v>
      </c>
      <c r="AO3629" s="11">
        <v>22377.35</v>
      </c>
      <c r="AP3629" s="9">
        <v>3.0397566984062356</v>
      </c>
    </row>
    <row r="3630" spans="40:42" x14ac:dyDescent="0.3">
      <c r="AN3630">
        <v>3626</v>
      </c>
      <c r="AO3630" s="11">
        <v>29654.59</v>
      </c>
      <c r="AP3630" s="9">
        <v>4.0280861598173274</v>
      </c>
    </row>
    <row r="3631" spans="40:42" x14ac:dyDescent="0.3">
      <c r="AN3631">
        <v>3627</v>
      </c>
      <c r="AO3631" s="11">
        <v>23485.62</v>
      </c>
      <c r="AP3631" s="9">
        <v>3.5903973080221827</v>
      </c>
    </row>
    <row r="3632" spans="40:42" x14ac:dyDescent="0.3">
      <c r="AN3632">
        <v>3628</v>
      </c>
      <c r="AO3632" s="11">
        <v>27067.25</v>
      </c>
      <c r="AP3632" s="9">
        <v>4.1947335584760532</v>
      </c>
    </row>
    <row r="3633" spans="40:42" x14ac:dyDescent="0.3">
      <c r="AN3633">
        <v>3629</v>
      </c>
      <c r="AO3633" s="11">
        <v>39408.47</v>
      </c>
      <c r="AP3633" s="9">
        <v>4.1427587703544786</v>
      </c>
    </row>
    <row r="3634" spans="40:42" x14ac:dyDescent="0.3">
      <c r="AN3634">
        <v>3630</v>
      </c>
      <c r="AO3634" s="11">
        <v>24118.42</v>
      </c>
      <c r="AP3634" s="9">
        <v>3.0956322880853673</v>
      </c>
    </row>
    <row r="3635" spans="40:42" x14ac:dyDescent="0.3">
      <c r="AN3635">
        <v>3631</v>
      </c>
      <c r="AO3635" s="11">
        <v>32856.01</v>
      </c>
      <c r="AP3635" s="9">
        <v>4.222478421789158</v>
      </c>
    </row>
    <row r="3636" spans="40:42" x14ac:dyDescent="0.3">
      <c r="AN3636">
        <v>3632</v>
      </c>
      <c r="AO3636" s="11">
        <v>34080.980000000003</v>
      </c>
      <c r="AP3636" s="9">
        <v>3.4258271566490515</v>
      </c>
    </row>
    <row r="3637" spans="40:42" x14ac:dyDescent="0.3">
      <c r="AN3637">
        <v>3633</v>
      </c>
      <c r="AO3637" s="11">
        <v>23780.23</v>
      </c>
      <c r="AP3637" s="9">
        <v>2.9382099109473998</v>
      </c>
    </row>
    <row r="3638" spans="40:42" x14ac:dyDescent="0.3">
      <c r="AN3638">
        <v>3634</v>
      </c>
      <c r="AO3638" s="11">
        <v>23043.58</v>
      </c>
      <c r="AP3638" s="9">
        <v>3.1145371163981355</v>
      </c>
    </row>
    <row r="3639" spans="40:42" x14ac:dyDescent="0.3">
      <c r="AN3639">
        <v>3635</v>
      </c>
      <c r="AO3639" s="11">
        <v>28284.02</v>
      </c>
      <c r="AP3639" s="9">
        <v>3.4057145618881233</v>
      </c>
    </row>
    <row r="3640" spans="40:42" x14ac:dyDescent="0.3">
      <c r="AN3640">
        <v>3636</v>
      </c>
      <c r="AO3640" s="11">
        <v>27027.85</v>
      </c>
      <c r="AP3640" s="9">
        <v>3.7413442589120631</v>
      </c>
    </row>
    <row r="3641" spans="40:42" x14ac:dyDescent="0.3">
      <c r="AN3641">
        <v>3637</v>
      </c>
      <c r="AO3641" s="11">
        <v>23188.42</v>
      </c>
      <c r="AP3641" s="9">
        <v>2.9164061146206017</v>
      </c>
    </row>
    <row r="3642" spans="40:42" x14ac:dyDescent="0.3">
      <c r="AN3642">
        <v>3638</v>
      </c>
      <c r="AO3642" s="11">
        <v>31798.240000000002</v>
      </c>
      <c r="AP3642" s="9">
        <v>3.3683496259222596</v>
      </c>
    </row>
    <row r="3643" spans="40:42" x14ac:dyDescent="0.3">
      <c r="AN3643">
        <v>3639</v>
      </c>
      <c r="AO3643" s="11">
        <v>22194.16</v>
      </c>
      <c r="AP3643" s="9">
        <v>2.6297064266840038</v>
      </c>
    </row>
    <row r="3644" spans="40:42" x14ac:dyDescent="0.3">
      <c r="AN3644">
        <v>3640</v>
      </c>
      <c r="AO3644" s="11">
        <v>33759.769999999997</v>
      </c>
      <c r="AP3644" s="9">
        <v>3.1346839245656093</v>
      </c>
    </row>
    <row r="3645" spans="40:42" x14ac:dyDescent="0.3">
      <c r="AN3645">
        <v>3641</v>
      </c>
      <c r="AO3645" s="11">
        <v>26294.85</v>
      </c>
      <c r="AP3645" s="9">
        <v>3.2166379137379879</v>
      </c>
    </row>
    <row r="3646" spans="40:42" x14ac:dyDescent="0.3">
      <c r="AN3646">
        <v>3642</v>
      </c>
      <c r="AO3646" s="11">
        <v>26966.799999999999</v>
      </c>
      <c r="AP3646" s="9">
        <v>3.7126035455958464</v>
      </c>
    </row>
    <row r="3647" spans="40:42" x14ac:dyDescent="0.3">
      <c r="AN3647">
        <v>3643</v>
      </c>
      <c r="AO3647" s="11">
        <v>38972.49</v>
      </c>
      <c r="AP3647" s="9">
        <v>3.7656396005590378</v>
      </c>
    </row>
    <row r="3648" spans="40:42" x14ac:dyDescent="0.3">
      <c r="AN3648">
        <v>3644</v>
      </c>
      <c r="AO3648" s="11">
        <v>24932.04</v>
      </c>
      <c r="AP3648" s="9">
        <v>3.0770810624159459</v>
      </c>
    </row>
    <row r="3649" spans="40:42" x14ac:dyDescent="0.3">
      <c r="AN3649">
        <v>3645</v>
      </c>
      <c r="AO3649" s="11">
        <v>24630.42</v>
      </c>
      <c r="AP3649" s="9">
        <v>3.8170221289350779</v>
      </c>
    </row>
    <row r="3650" spans="40:42" x14ac:dyDescent="0.3">
      <c r="AN3650">
        <v>3646</v>
      </c>
      <c r="AO3650" s="11">
        <v>27126.44</v>
      </c>
      <c r="AP3650" s="9">
        <v>3.2848318199017084</v>
      </c>
    </row>
    <row r="3651" spans="40:42" x14ac:dyDescent="0.3">
      <c r="AN3651">
        <v>3647</v>
      </c>
      <c r="AO3651" s="11">
        <v>17520.34</v>
      </c>
      <c r="AP3651" s="9">
        <v>2.193594193801812</v>
      </c>
    </row>
    <row r="3652" spans="40:42" x14ac:dyDescent="0.3">
      <c r="AN3652">
        <v>3648</v>
      </c>
      <c r="AO3652" s="11">
        <v>22452.54</v>
      </c>
      <c r="AP3652" s="9">
        <v>3.7041982209952287</v>
      </c>
    </row>
    <row r="3653" spans="40:42" x14ac:dyDescent="0.3">
      <c r="AN3653">
        <v>3649</v>
      </c>
      <c r="AO3653" s="11">
        <v>31353.64</v>
      </c>
      <c r="AP3653" s="9">
        <v>3.160712451270288</v>
      </c>
    </row>
    <row r="3654" spans="40:42" x14ac:dyDescent="0.3">
      <c r="AN3654">
        <v>3650</v>
      </c>
      <c r="AO3654" s="11">
        <v>28390.78</v>
      </c>
      <c r="AP3654" s="9">
        <v>3.8661526720856934</v>
      </c>
    </row>
    <row r="3655" spans="40:42" x14ac:dyDescent="0.3">
      <c r="AN3655">
        <v>3651</v>
      </c>
      <c r="AO3655" s="11">
        <v>30303.57</v>
      </c>
      <c r="AP3655" s="9">
        <v>3.6682014927036652</v>
      </c>
    </row>
    <row r="3656" spans="40:42" x14ac:dyDescent="0.3">
      <c r="AN3656">
        <v>3652</v>
      </c>
      <c r="AO3656" s="11">
        <v>21605.75</v>
      </c>
      <c r="AP3656" s="9">
        <v>3.2708539329469732</v>
      </c>
    </row>
    <row r="3657" spans="40:42" x14ac:dyDescent="0.3">
      <c r="AN3657">
        <v>3653</v>
      </c>
      <c r="AO3657" s="11">
        <v>28632.33</v>
      </c>
      <c r="AP3657" s="9">
        <v>3.9361213726569</v>
      </c>
    </row>
    <row r="3658" spans="40:42" x14ac:dyDescent="0.3">
      <c r="AN3658">
        <v>3654</v>
      </c>
      <c r="AO3658" s="11">
        <v>25436.12</v>
      </c>
      <c r="AP3658" s="9">
        <v>3.1238169923395311</v>
      </c>
    </row>
    <row r="3659" spans="40:42" x14ac:dyDescent="0.3">
      <c r="AN3659">
        <v>3655</v>
      </c>
      <c r="AO3659" s="11">
        <v>19299.490000000002</v>
      </c>
      <c r="AP3659" s="9">
        <v>3.4139178887241819</v>
      </c>
    </row>
    <row r="3660" spans="40:42" x14ac:dyDescent="0.3">
      <c r="AN3660">
        <v>3656</v>
      </c>
      <c r="AO3660" s="11">
        <v>31929.65</v>
      </c>
      <c r="AP3660" s="9">
        <v>3.5122406634215384</v>
      </c>
    </row>
    <row r="3661" spans="40:42" x14ac:dyDescent="0.3">
      <c r="AN3661">
        <v>3657</v>
      </c>
      <c r="AO3661" s="11">
        <v>34061.85</v>
      </c>
      <c r="AP3661" s="9">
        <v>3.688195096977346</v>
      </c>
    </row>
    <row r="3662" spans="40:42" x14ac:dyDescent="0.3">
      <c r="AN3662">
        <v>3658</v>
      </c>
      <c r="AO3662" s="11">
        <v>24867.24</v>
      </c>
      <c r="AP3662" s="9">
        <v>3.0545220435980331</v>
      </c>
    </row>
    <row r="3663" spans="40:42" x14ac:dyDescent="0.3">
      <c r="AN3663">
        <v>3659</v>
      </c>
      <c r="AO3663" s="11">
        <v>41617.4</v>
      </c>
      <c r="AP3663" s="9">
        <v>3.5576699201880997</v>
      </c>
    </row>
    <row r="3664" spans="40:42" x14ac:dyDescent="0.3">
      <c r="AN3664">
        <v>3660</v>
      </c>
      <c r="AO3664" s="11">
        <v>28809.58</v>
      </c>
      <c r="AP3664" s="9">
        <v>3.6692504775591956</v>
      </c>
    </row>
    <row r="3665" spans="40:42" x14ac:dyDescent="0.3">
      <c r="AN3665">
        <v>3661</v>
      </c>
      <c r="AO3665" s="11">
        <v>31604.01</v>
      </c>
      <c r="AP3665" s="9">
        <v>3.2635912476956674</v>
      </c>
    </row>
    <row r="3666" spans="40:42" x14ac:dyDescent="0.3">
      <c r="AN3666">
        <v>3662</v>
      </c>
      <c r="AO3666" s="11">
        <v>31858.17</v>
      </c>
      <c r="AP3666" s="9">
        <v>4.0476483863076655</v>
      </c>
    </row>
    <row r="3667" spans="40:42" x14ac:dyDescent="0.3">
      <c r="AN3667">
        <v>3663</v>
      </c>
      <c r="AO3667" s="11">
        <v>26891.14</v>
      </c>
      <c r="AP3667" s="9">
        <v>2.9960477468772395</v>
      </c>
    </row>
    <row r="3668" spans="40:42" x14ac:dyDescent="0.3">
      <c r="AN3668">
        <v>3664</v>
      </c>
      <c r="AO3668" s="11">
        <v>21667.279999999999</v>
      </c>
      <c r="AP3668" s="9">
        <v>3.1179552116440896</v>
      </c>
    </row>
    <row r="3669" spans="40:42" x14ac:dyDescent="0.3">
      <c r="AN3669">
        <v>3665</v>
      </c>
      <c r="AO3669" s="11">
        <v>27752.87</v>
      </c>
      <c r="AP3669" s="9">
        <v>3.6021873276651024</v>
      </c>
    </row>
    <row r="3670" spans="40:42" x14ac:dyDescent="0.3">
      <c r="AN3670">
        <v>3666</v>
      </c>
      <c r="AO3670" s="11">
        <v>29746.81</v>
      </c>
      <c r="AP3670" s="9">
        <v>3.7418644336328923</v>
      </c>
    </row>
    <row r="3671" spans="40:42" x14ac:dyDescent="0.3">
      <c r="AN3671">
        <v>3667</v>
      </c>
      <c r="AO3671" s="11">
        <v>25140.2</v>
      </c>
      <c r="AP3671" s="9">
        <v>3.6740947398172872</v>
      </c>
    </row>
    <row r="3672" spans="40:42" x14ac:dyDescent="0.3">
      <c r="AN3672">
        <v>3668</v>
      </c>
      <c r="AO3672" s="11">
        <v>26336.94</v>
      </c>
      <c r="AP3672" s="9">
        <v>3.2710646907957694</v>
      </c>
    </row>
    <row r="3673" spans="40:42" x14ac:dyDescent="0.3">
      <c r="AN3673">
        <v>3669</v>
      </c>
      <c r="AO3673" s="11">
        <v>25972.63</v>
      </c>
      <c r="AP3673" s="9">
        <v>2.8400384440319919</v>
      </c>
    </row>
    <row r="3674" spans="40:42" x14ac:dyDescent="0.3">
      <c r="AN3674">
        <v>3670</v>
      </c>
      <c r="AO3674" s="11">
        <v>22070.13</v>
      </c>
      <c r="AP3674" s="9">
        <v>3.1153056560791033</v>
      </c>
    </row>
    <row r="3675" spans="40:42" x14ac:dyDescent="0.3">
      <c r="AN3675">
        <v>3671</v>
      </c>
      <c r="AO3675" s="11">
        <v>41702.959999999999</v>
      </c>
      <c r="AP3675" s="9">
        <v>3.4928505903124907</v>
      </c>
    </row>
    <row r="3676" spans="40:42" x14ac:dyDescent="0.3">
      <c r="AN3676">
        <v>3672</v>
      </c>
      <c r="AO3676" s="11">
        <v>22579.13</v>
      </c>
      <c r="AP3676" s="9">
        <v>3.0940788065765212</v>
      </c>
    </row>
    <row r="3677" spans="40:42" x14ac:dyDescent="0.3">
      <c r="AN3677">
        <v>3673</v>
      </c>
      <c r="AO3677" s="11">
        <v>37683.61</v>
      </c>
      <c r="AP3677" s="9">
        <v>2.8973592169204023</v>
      </c>
    </row>
    <row r="3678" spans="40:42" x14ac:dyDescent="0.3">
      <c r="AN3678">
        <v>3674</v>
      </c>
      <c r="AO3678" s="11">
        <v>30666.44</v>
      </c>
      <c r="AP3678" s="9">
        <v>3.2540955857220379</v>
      </c>
    </row>
    <row r="3679" spans="40:42" x14ac:dyDescent="0.3">
      <c r="AN3679">
        <v>3675</v>
      </c>
      <c r="AO3679" s="11">
        <v>15409.39</v>
      </c>
      <c r="AP3679" s="9">
        <v>2.8419535340424198</v>
      </c>
    </row>
    <row r="3680" spans="40:42" x14ac:dyDescent="0.3">
      <c r="AN3680">
        <v>3676</v>
      </c>
      <c r="AO3680" s="11">
        <v>26699.25</v>
      </c>
      <c r="AP3680" s="9">
        <v>3.488903173766567</v>
      </c>
    </row>
    <row r="3681" spans="40:42" x14ac:dyDescent="0.3">
      <c r="AN3681">
        <v>3677</v>
      </c>
      <c r="AO3681" s="11">
        <v>25497.200000000001</v>
      </c>
      <c r="AP3681" s="9">
        <v>3.1204312516344612</v>
      </c>
    </row>
    <row r="3682" spans="40:42" x14ac:dyDescent="0.3">
      <c r="AN3682">
        <v>3678</v>
      </c>
      <c r="AO3682" s="11">
        <v>23477.360000000001</v>
      </c>
      <c r="AP3682" s="9">
        <v>3.3182787898203832</v>
      </c>
    </row>
    <row r="3683" spans="40:42" x14ac:dyDescent="0.3">
      <c r="AN3683">
        <v>3679</v>
      </c>
      <c r="AO3683" s="11">
        <v>23879.24</v>
      </c>
      <c r="AP3683" s="9">
        <v>3.0206789918425057</v>
      </c>
    </row>
    <row r="3684" spans="40:42" x14ac:dyDescent="0.3">
      <c r="AN3684">
        <v>3680</v>
      </c>
      <c r="AO3684" s="11">
        <v>13762.54</v>
      </c>
      <c r="AP3684" s="9">
        <v>3.4023887182065846</v>
      </c>
    </row>
    <row r="3685" spans="40:42" x14ac:dyDescent="0.3">
      <c r="AN3685">
        <v>3681</v>
      </c>
      <c r="AO3685" s="11">
        <v>36399.620000000003</v>
      </c>
      <c r="AP3685" s="9">
        <v>3.0970406170576474</v>
      </c>
    </row>
    <row r="3686" spans="40:42" x14ac:dyDescent="0.3">
      <c r="AN3686">
        <v>3682</v>
      </c>
      <c r="AO3686" s="11">
        <v>22483.56</v>
      </c>
      <c r="AP3686" s="9">
        <v>2.9394890691171534</v>
      </c>
    </row>
    <row r="3687" spans="40:42" x14ac:dyDescent="0.3">
      <c r="AN3687">
        <v>3683</v>
      </c>
      <c r="AO3687" s="11">
        <v>24131.119999999999</v>
      </c>
      <c r="AP3687" s="9">
        <v>3.0657268016062353</v>
      </c>
    </row>
    <row r="3688" spans="40:42" x14ac:dyDescent="0.3">
      <c r="AN3688">
        <v>3684</v>
      </c>
      <c r="AO3688" s="11">
        <v>31468.73</v>
      </c>
      <c r="AP3688" s="9">
        <v>3.0972785318505958</v>
      </c>
    </row>
    <row r="3689" spans="40:42" x14ac:dyDescent="0.3">
      <c r="AN3689">
        <v>3685</v>
      </c>
      <c r="AO3689" s="11">
        <v>34002.230000000003</v>
      </c>
      <c r="AP3689" s="9">
        <v>3.3856442375659705</v>
      </c>
    </row>
    <row r="3690" spans="40:42" x14ac:dyDescent="0.3">
      <c r="AN3690">
        <v>3686</v>
      </c>
      <c r="AO3690" s="11">
        <v>23589.74</v>
      </c>
      <c r="AP3690" s="9">
        <v>3.4482568084630927</v>
      </c>
    </row>
    <row r="3691" spans="40:42" x14ac:dyDescent="0.3">
      <c r="AN3691">
        <v>3687</v>
      </c>
      <c r="AO3691" s="11">
        <v>19776.310000000001</v>
      </c>
      <c r="AP3691" s="9">
        <v>3.970946075148341</v>
      </c>
    </row>
    <row r="3692" spans="40:42" x14ac:dyDescent="0.3">
      <c r="AN3692">
        <v>3688</v>
      </c>
      <c r="AO3692" s="11">
        <v>36611.43</v>
      </c>
      <c r="AP3692" s="9">
        <v>3.4788176087050253</v>
      </c>
    </row>
    <row r="3693" spans="40:42" x14ac:dyDescent="0.3">
      <c r="AN3693">
        <v>3689</v>
      </c>
      <c r="AO3693" s="11">
        <v>24332.58</v>
      </c>
      <c r="AP3693" s="9">
        <v>2.9626900686722966</v>
      </c>
    </row>
    <row r="3694" spans="40:42" x14ac:dyDescent="0.3">
      <c r="AN3694">
        <v>3690</v>
      </c>
      <c r="AO3694" s="11">
        <v>19143.7</v>
      </c>
      <c r="AP3694" s="9">
        <v>3.341319875125031</v>
      </c>
    </row>
    <row r="3695" spans="40:42" x14ac:dyDescent="0.3">
      <c r="AN3695">
        <v>3691</v>
      </c>
      <c r="AO3695" s="11">
        <v>30088.36</v>
      </c>
      <c r="AP3695" s="9">
        <v>3.4823468029957483</v>
      </c>
    </row>
    <row r="3696" spans="40:42" x14ac:dyDescent="0.3">
      <c r="AN3696">
        <v>3692</v>
      </c>
      <c r="AO3696" s="11">
        <v>31524.23</v>
      </c>
      <c r="AP3696" s="9">
        <v>3.2026302824612709</v>
      </c>
    </row>
    <row r="3697" spans="40:42" x14ac:dyDescent="0.3">
      <c r="AN3697">
        <v>3693</v>
      </c>
      <c r="AO3697" s="11">
        <v>23384.46</v>
      </c>
      <c r="AP3697" s="9">
        <v>2.9221946413810427</v>
      </c>
    </row>
    <row r="3698" spans="40:42" x14ac:dyDescent="0.3">
      <c r="AN3698">
        <v>3694</v>
      </c>
      <c r="AO3698" s="11">
        <v>37817.56</v>
      </c>
      <c r="AP3698" s="9">
        <v>4.0236913094402835</v>
      </c>
    </row>
    <row r="3699" spans="40:42" x14ac:dyDescent="0.3">
      <c r="AN3699">
        <v>3695</v>
      </c>
      <c r="AO3699" s="11">
        <v>29865.65</v>
      </c>
      <c r="AP3699" s="9">
        <v>3.8188197493203817</v>
      </c>
    </row>
    <row r="3700" spans="40:42" x14ac:dyDescent="0.3">
      <c r="AN3700">
        <v>3696</v>
      </c>
      <c r="AO3700" s="11">
        <v>35961.85</v>
      </c>
      <c r="AP3700" s="9">
        <v>3.7902401830924539</v>
      </c>
    </row>
    <row r="3701" spans="40:42" x14ac:dyDescent="0.3">
      <c r="AN3701">
        <v>3697</v>
      </c>
      <c r="AO3701" s="11">
        <v>20751.88</v>
      </c>
      <c r="AP3701" s="9">
        <v>3.2053034254696064</v>
      </c>
    </row>
    <row r="3702" spans="40:42" x14ac:dyDescent="0.3">
      <c r="AN3702">
        <v>3698</v>
      </c>
      <c r="AO3702" s="11">
        <v>27826.69</v>
      </c>
      <c r="AP3702" s="9">
        <v>3.0822130392224634</v>
      </c>
    </row>
    <row r="3703" spans="40:42" x14ac:dyDescent="0.3">
      <c r="AN3703">
        <v>3699</v>
      </c>
      <c r="AO3703" s="11">
        <v>45433.63</v>
      </c>
      <c r="AP3703" s="9">
        <v>3.7532460114846793</v>
      </c>
    </row>
    <row r="3704" spans="40:42" x14ac:dyDescent="0.3">
      <c r="AN3704">
        <v>3700</v>
      </c>
      <c r="AO3704" s="11">
        <v>21230.84</v>
      </c>
      <c r="AP3704" s="9">
        <v>2.9046768037101534</v>
      </c>
    </row>
    <row r="3705" spans="40:42" x14ac:dyDescent="0.3">
      <c r="AN3705">
        <v>3701</v>
      </c>
      <c r="AO3705" s="11">
        <v>34274.22</v>
      </c>
      <c r="AP3705" s="9">
        <v>3.1060836061428754</v>
      </c>
    </row>
    <row r="3706" spans="40:42" x14ac:dyDescent="0.3">
      <c r="AN3706">
        <v>3702</v>
      </c>
      <c r="AO3706" s="11">
        <v>32894.400000000001</v>
      </c>
      <c r="AP3706" s="9">
        <v>3.4734188250550884</v>
      </c>
    </row>
    <row r="3707" spans="40:42" x14ac:dyDescent="0.3">
      <c r="AN3707">
        <v>3703</v>
      </c>
      <c r="AO3707" s="11">
        <v>20242.55</v>
      </c>
      <c r="AP3707" s="9">
        <v>3.0842241096562506</v>
      </c>
    </row>
    <row r="3708" spans="40:42" x14ac:dyDescent="0.3">
      <c r="AN3708">
        <v>3704</v>
      </c>
      <c r="AO3708" s="11">
        <v>22168.71</v>
      </c>
      <c r="AP3708" s="9">
        <v>3.8761904385310286</v>
      </c>
    </row>
    <row r="3709" spans="40:42" x14ac:dyDescent="0.3">
      <c r="AN3709">
        <v>3705</v>
      </c>
      <c r="AO3709" s="11">
        <v>26375.01</v>
      </c>
      <c r="AP3709" s="9">
        <v>3.4434447254756666</v>
      </c>
    </row>
    <row r="3710" spans="40:42" x14ac:dyDescent="0.3">
      <c r="AN3710">
        <v>3706</v>
      </c>
      <c r="AO3710" s="11">
        <v>19245.09</v>
      </c>
      <c r="AP3710" s="9">
        <v>3.6438457015398491</v>
      </c>
    </row>
    <row r="3711" spans="40:42" x14ac:dyDescent="0.3">
      <c r="AN3711">
        <v>3707</v>
      </c>
      <c r="AO3711" s="11">
        <v>28066.5</v>
      </c>
      <c r="AP3711" s="9">
        <v>3.0906077819178419</v>
      </c>
    </row>
    <row r="3712" spans="40:42" x14ac:dyDescent="0.3">
      <c r="AN3712">
        <v>3708</v>
      </c>
      <c r="AO3712" s="11">
        <v>19111.75</v>
      </c>
      <c r="AP3712" s="9">
        <v>3.4996163599553545</v>
      </c>
    </row>
    <row r="3713" spans="40:42" x14ac:dyDescent="0.3">
      <c r="AN3713">
        <v>3709</v>
      </c>
      <c r="AO3713" s="11">
        <v>24120.84</v>
      </c>
      <c r="AP3713" s="9">
        <v>3.1588738730930324</v>
      </c>
    </row>
    <row r="3714" spans="40:42" x14ac:dyDescent="0.3">
      <c r="AN3714">
        <v>3710</v>
      </c>
      <c r="AO3714" s="11">
        <v>40155.01</v>
      </c>
      <c r="AP3714" s="9">
        <v>4.4590300808630445</v>
      </c>
    </row>
    <row r="3715" spans="40:42" x14ac:dyDescent="0.3">
      <c r="AN3715">
        <v>3711</v>
      </c>
      <c r="AO3715" s="11">
        <v>36457.620000000003</v>
      </c>
      <c r="AP3715" s="9">
        <v>3.2424829671226307</v>
      </c>
    </row>
    <row r="3716" spans="40:42" x14ac:dyDescent="0.3">
      <c r="AN3716">
        <v>3712</v>
      </c>
      <c r="AO3716" s="11">
        <v>26544.45</v>
      </c>
      <c r="AP3716" s="9">
        <v>3.0904468271125873</v>
      </c>
    </row>
    <row r="3717" spans="40:42" x14ac:dyDescent="0.3">
      <c r="AN3717">
        <v>3713</v>
      </c>
      <c r="AO3717" s="11">
        <v>44144.85</v>
      </c>
      <c r="AP3717" s="9">
        <v>3.8870308671761911</v>
      </c>
    </row>
    <row r="3718" spans="40:42" x14ac:dyDescent="0.3">
      <c r="AN3718">
        <v>3714</v>
      </c>
      <c r="AO3718" s="11">
        <v>21361.69</v>
      </c>
      <c r="AP3718" s="9">
        <v>2.8764018760751089</v>
      </c>
    </row>
    <row r="3719" spans="40:42" x14ac:dyDescent="0.3">
      <c r="AN3719">
        <v>3715</v>
      </c>
      <c r="AO3719" s="11">
        <v>30776.54</v>
      </c>
      <c r="AP3719" s="9">
        <v>3.0006163816564739</v>
      </c>
    </row>
    <row r="3720" spans="40:42" x14ac:dyDescent="0.3">
      <c r="AN3720">
        <v>3716</v>
      </c>
      <c r="AO3720" s="11">
        <v>30650.959999999999</v>
      </c>
      <c r="AP3720" s="9">
        <v>3.6226802493883472</v>
      </c>
    </row>
    <row r="3721" spans="40:42" x14ac:dyDescent="0.3">
      <c r="AN3721">
        <v>3717</v>
      </c>
      <c r="AO3721" s="11">
        <v>25985.91</v>
      </c>
      <c r="AP3721" s="9">
        <v>3.4572771523189414</v>
      </c>
    </row>
    <row r="3722" spans="40:42" x14ac:dyDescent="0.3">
      <c r="AN3722">
        <v>3718</v>
      </c>
      <c r="AO3722" s="11">
        <v>20557.689999999999</v>
      </c>
      <c r="AP3722" s="9">
        <v>3.3227748893428388</v>
      </c>
    </row>
    <row r="3723" spans="40:42" x14ac:dyDescent="0.3">
      <c r="AN3723">
        <v>3719</v>
      </c>
      <c r="AO3723" s="11">
        <v>41342.03</v>
      </c>
      <c r="AP3723" s="9">
        <v>4.2075877429455781</v>
      </c>
    </row>
    <row r="3724" spans="40:42" x14ac:dyDescent="0.3">
      <c r="AN3724">
        <v>3720</v>
      </c>
      <c r="AO3724" s="11">
        <v>41182.629999999997</v>
      </c>
      <c r="AP3724" s="9">
        <v>3.7107575888684909</v>
      </c>
    </row>
    <row r="3725" spans="40:42" x14ac:dyDescent="0.3">
      <c r="AN3725">
        <v>3721</v>
      </c>
      <c r="AO3725" s="11">
        <v>51741.120000000003</v>
      </c>
      <c r="AP3725" s="9">
        <v>3.78383266988522</v>
      </c>
    </row>
    <row r="3726" spans="40:42" x14ac:dyDescent="0.3">
      <c r="AN3726">
        <v>3722</v>
      </c>
      <c r="AO3726" s="11">
        <v>30063.91</v>
      </c>
      <c r="AP3726" s="9">
        <v>3.1994979331194879</v>
      </c>
    </row>
    <row r="3727" spans="40:42" x14ac:dyDescent="0.3">
      <c r="AN3727">
        <v>3723</v>
      </c>
      <c r="AO3727" s="11">
        <v>17116.04</v>
      </c>
      <c r="AP3727" s="9">
        <v>2.6974915787329583</v>
      </c>
    </row>
    <row r="3728" spans="40:42" x14ac:dyDescent="0.3">
      <c r="AN3728">
        <v>3724</v>
      </c>
      <c r="AO3728" s="11">
        <v>21512.79</v>
      </c>
      <c r="AP3728" s="9">
        <v>2.8827194836707037</v>
      </c>
    </row>
    <row r="3729" spans="40:42" x14ac:dyDescent="0.3">
      <c r="AN3729">
        <v>3725</v>
      </c>
      <c r="AO3729" s="11">
        <v>33744.14</v>
      </c>
      <c r="AP3729" s="9">
        <v>3.725237630826296</v>
      </c>
    </row>
    <row r="3730" spans="40:42" x14ac:dyDescent="0.3">
      <c r="AN3730">
        <v>3726</v>
      </c>
      <c r="AO3730" s="11">
        <v>38421.839999999997</v>
      </c>
      <c r="AP3730" s="9">
        <v>3.154022059134185</v>
      </c>
    </row>
    <row r="3731" spans="40:42" x14ac:dyDescent="0.3">
      <c r="AN3731">
        <v>3727</v>
      </c>
      <c r="AO3731" s="11">
        <v>22938.23</v>
      </c>
      <c r="AP3731" s="9">
        <v>3.568982045142572</v>
      </c>
    </row>
    <row r="3732" spans="40:42" x14ac:dyDescent="0.3">
      <c r="AN3732">
        <v>3728</v>
      </c>
      <c r="AO3732" s="11">
        <v>23597.72</v>
      </c>
      <c r="AP3732" s="9">
        <v>3.471264265173482</v>
      </c>
    </row>
    <row r="3733" spans="40:42" x14ac:dyDescent="0.3">
      <c r="AN3733">
        <v>3729</v>
      </c>
      <c r="AO3733" s="11">
        <v>30419.8</v>
      </c>
      <c r="AP3733" s="9">
        <v>3.7725217522374996</v>
      </c>
    </row>
    <row r="3734" spans="40:42" x14ac:dyDescent="0.3">
      <c r="AN3734">
        <v>3730</v>
      </c>
      <c r="AO3734" s="11">
        <v>24865.57</v>
      </c>
      <c r="AP3734" s="9">
        <v>2.9533840230390016</v>
      </c>
    </row>
    <row r="3735" spans="40:42" x14ac:dyDescent="0.3">
      <c r="AN3735">
        <v>3731</v>
      </c>
      <c r="AO3735" s="11">
        <v>32550.79</v>
      </c>
      <c r="AP3735" s="9">
        <v>3.8093729935283416</v>
      </c>
    </row>
    <row r="3736" spans="40:42" x14ac:dyDescent="0.3">
      <c r="AN3736">
        <v>3732</v>
      </c>
      <c r="AO3736" s="11">
        <v>32662.400000000001</v>
      </c>
      <c r="AP3736" s="9">
        <v>3.1658668258148253</v>
      </c>
    </row>
    <row r="3737" spans="40:42" x14ac:dyDescent="0.3">
      <c r="AN3737">
        <v>3733</v>
      </c>
      <c r="AO3737" s="11">
        <v>22717.98</v>
      </c>
      <c r="AP3737" s="9">
        <v>3.628562532579501</v>
      </c>
    </row>
    <row r="3738" spans="40:42" x14ac:dyDescent="0.3">
      <c r="AN3738">
        <v>3734</v>
      </c>
      <c r="AO3738" s="11">
        <v>23691.599999999999</v>
      </c>
      <c r="AP3738" s="9">
        <v>3.2776327695258649</v>
      </c>
    </row>
    <row r="3739" spans="40:42" x14ac:dyDescent="0.3">
      <c r="AN3739">
        <v>3735</v>
      </c>
      <c r="AO3739" s="11">
        <v>31889.58</v>
      </c>
      <c r="AP3739" s="9">
        <v>3.6707326702526668</v>
      </c>
    </row>
    <row r="3740" spans="40:42" x14ac:dyDescent="0.3">
      <c r="AN3740">
        <v>3736</v>
      </c>
      <c r="AO3740" s="11">
        <v>20033.5</v>
      </c>
      <c r="AP3740" s="9">
        <v>3.3800759504194646</v>
      </c>
    </row>
    <row r="3741" spans="40:42" x14ac:dyDescent="0.3">
      <c r="AN3741">
        <v>3737</v>
      </c>
      <c r="AO3741" s="11">
        <v>15411.18</v>
      </c>
      <c r="AP3741" s="9">
        <v>3.8367990003372441</v>
      </c>
    </row>
    <row r="3742" spans="40:42" x14ac:dyDescent="0.3">
      <c r="AN3742">
        <v>3738</v>
      </c>
      <c r="AO3742" s="11">
        <v>18366.080000000002</v>
      </c>
      <c r="AP3742" s="9">
        <v>2.8195738423361791</v>
      </c>
    </row>
    <row r="3743" spans="40:42" x14ac:dyDescent="0.3">
      <c r="AN3743">
        <v>3739</v>
      </c>
      <c r="AO3743" s="11">
        <v>34054.39</v>
      </c>
      <c r="AP3743" s="9">
        <v>3.1037084604537588</v>
      </c>
    </row>
    <row r="3744" spans="40:42" x14ac:dyDescent="0.3">
      <c r="AN3744">
        <v>3740</v>
      </c>
      <c r="AO3744" s="11">
        <v>31281.84</v>
      </c>
      <c r="AP3744" s="9">
        <v>3.2915465258751881</v>
      </c>
    </row>
    <row r="3745" spans="40:42" x14ac:dyDescent="0.3">
      <c r="AN3745">
        <v>3741</v>
      </c>
      <c r="AO3745" s="11">
        <v>20423.689999999999</v>
      </c>
      <c r="AP3745" s="9">
        <v>3.5748130241084781</v>
      </c>
    </row>
    <row r="3746" spans="40:42" x14ac:dyDescent="0.3">
      <c r="AN3746">
        <v>3742</v>
      </c>
      <c r="AO3746" s="11">
        <v>25085.35</v>
      </c>
      <c r="AP3746" s="9">
        <v>3.6802209644052057</v>
      </c>
    </row>
    <row r="3747" spans="40:42" x14ac:dyDescent="0.3">
      <c r="AN3747">
        <v>3743</v>
      </c>
      <c r="AO3747" s="11">
        <v>23341.23</v>
      </c>
      <c r="AP3747" s="9">
        <v>3.6118200744014786</v>
      </c>
    </row>
    <row r="3748" spans="40:42" x14ac:dyDescent="0.3">
      <c r="AN3748">
        <v>3744</v>
      </c>
      <c r="AO3748" s="11">
        <v>30746.62</v>
      </c>
      <c r="AP3748" s="9">
        <v>4.0852299089200432</v>
      </c>
    </row>
    <row r="3749" spans="40:42" x14ac:dyDescent="0.3">
      <c r="AN3749">
        <v>3745</v>
      </c>
      <c r="AO3749" s="11">
        <v>34669.440000000002</v>
      </c>
      <c r="AP3749" s="9">
        <v>3.4789870076540157</v>
      </c>
    </row>
    <row r="3750" spans="40:42" x14ac:dyDescent="0.3">
      <c r="AN3750">
        <v>3746</v>
      </c>
      <c r="AO3750" s="11">
        <v>35472.79</v>
      </c>
      <c r="AP3750" s="9">
        <v>4.1906711463298256</v>
      </c>
    </row>
    <row r="3751" spans="40:42" x14ac:dyDescent="0.3">
      <c r="AN3751">
        <v>3747</v>
      </c>
      <c r="AO3751" s="11">
        <v>23952.79</v>
      </c>
      <c r="AP3751" s="9">
        <v>3.4401471358698741</v>
      </c>
    </row>
    <row r="3752" spans="40:42" x14ac:dyDescent="0.3">
      <c r="AN3752">
        <v>3748</v>
      </c>
      <c r="AO3752" s="11">
        <v>14539.82</v>
      </c>
      <c r="AP3752" s="9">
        <v>2.9691560930165739</v>
      </c>
    </row>
    <row r="3753" spans="40:42" x14ac:dyDescent="0.3">
      <c r="AN3753">
        <v>3749</v>
      </c>
      <c r="AO3753" s="11">
        <v>21509.67</v>
      </c>
      <c r="AP3753" s="9">
        <v>3.2101489477405987</v>
      </c>
    </row>
    <row r="3754" spans="40:42" x14ac:dyDescent="0.3">
      <c r="AN3754">
        <v>3750</v>
      </c>
      <c r="AO3754" s="11">
        <v>31439.759999999998</v>
      </c>
      <c r="AP3754" s="9">
        <v>3.4337563926448391</v>
      </c>
    </row>
    <row r="3755" spans="40:42" x14ac:dyDescent="0.3">
      <c r="AN3755">
        <v>3751</v>
      </c>
      <c r="AO3755" s="11">
        <v>31968.49</v>
      </c>
      <c r="AP3755" s="9">
        <v>4.1591440212785384</v>
      </c>
    </row>
    <row r="3756" spans="40:42" x14ac:dyDescent="0.3">
      <c r="AN3756">
        <v>3752</v>
      </c>
      <c r="AO3756" s="11">
        <v>24946.98</v>
      </c>
      <c r="AP3756" s="9">
        <v>3.120625431041101</v>
      </c>
    </row>
    <row r="3757" spans="40:42" x14ac:dyDescent="0.3">
      <c r="AN3757">
        <v>3753</v>
      </c>
      <c r="AO3757" s="11">
        <v>31271.97</v>
      </c>
      <c r="AP3757" s="9">
        <v>3.9047207669300406</v>
      </c>
    </row>
    <row r="3758" spans="40:42" x14ac:dyDescent="0.3">
      <c r="AN3758">
        <v>3754</v>
      </c>
      <c r="AO3758" s="11">
        <v>39211.730000000003</v>
      </c>
      <c r="AP3758" s="9">
        <v>4.0122795697889311</v>
      </c>
    </row>
    <row r="3759" spans="40:42" x14ac:dyDescent="0.3">
      <c r="AN3759">
        <v>3755</v>
      </c>
      <c r="AO3759" s="11">
        <v>12513.62</v>
      </c>
      <c r="AP3759" s="9">
        <v>3.6687142062072193</v>
      </c>
    </row>
    <row r="3760" spans="40:42" x14ac:dyDescent="0.3">
      <c r="AN3760">
        <v>3756</v>
      </c>
      <c r="AO3760" s="11">
        <v>33208.97</v>
      </c>
      <c r="AP3760" s="9">
        <v>4.2970800991925282</v>
      </c>
    </row>
    <row r="3761" spans="40:42" x14ac:dyDescent="0.3">
      <c r="AN3761">
        <v>3757</v>
      </c>
      <c r="AO3761" s="11">
        <v>21786.71</v>
      </c>
      <c r="AP3761" s="9">
        <v>3.4168633640159101</v>
      </c>
    </row>
    <row r="3762" spans="40:42" x14ac:dyDescent="0.3">
      <c r="AN3762">
        <v>3758</v>
      </c>
      <c r="AO3762" s="11">
        <v>48820.17</v>
      </c>
      <c r="AP3762" s="9">
        <v>3.8526629219298214</v>
      </c>
    </row>
    <row r="3763" spans="40:42" x14ac:dyDescent="0.3">
      <c r="AN3763">
        <v>3759</v>
      </c>
      <c r="AO3763" s="11">
        <v>43241.37</v>
      </c>
      <c r="AP3763" s="9">
        <v>3.3132645365412299</v>
      </c>
    </row>
    <row r="3764" spans="40:42" x14ac:dyDescent="0.3">
      <c r="AN3764">
        <v>3760</v>
      </c>
      <c r="AO3764" s="11">
        <v>22582.29</v>
      </c>
      <c r="AP3764" s="9">
        <v>3.1376304190879991</v>
      </c>
    </row>
    <row r="3765" spans="40:42" x14ac:dyDescent="0.3">
      <c r="AN3765">
        <v>3761</v>
      </c>
      <c r="AO3765" s="11">
        <v>22644.23</v>
      </c>
      <c r="AP3765" s="9">
        <v>2.8547132374107096</v>
      </c>
    </row>
    <row r="3766" spans="40:42" x14ac:dyDescent="0.3">
      <c r="AN3766">
        <v>3762</v>
      </c>
      <c r="AO3766" s="11">
        <v>27452.48</v>
      </c>
      <c r="AP3766" s="9">
        <v>3.189964852784493</v>
      </c>
    </row>
    <row r="3767" spans="40:42" x14ac:dyDescent="0.3">
      <c r="AN3767">
        <v>3763</v>
      </c>
      <c r="AO3767" s="11">
        <v>32250.41</v>
      </c>
      <c r="AP3767" s="9">
        <v>3.2537481771397347</v>
      </c>
    </row>
    <row r="3768" spans="40:42" x14ac:dyDescent="0.3">
      <c r="AN3768">
        <v>3764</v>
      </c>
      <c r="AO3768" s="11">
        <v>22880.799999999999</v>
      </c>
      <c r="AP3768" s="9">
        <v>3.6090557998976478</v>
      </c>
    </row>
    <row r="3769" spans="40:42" x14ac:dyDescent="0.3">
      <c r="AN3769">
        <v>3765</v>
      </c>
      <c r="AO3769" s="11">
        <v>15303.21</v>
      </c>
      <c r="AP3769" s="9">
        <v>2.9413442217220482</v>
      </c>
    </row>
    <row r="3770" spans="40:42" x14ac:dyDescent="0.3">
      <c r="AN3770">
        <v>3766</v>
      </c>
      <c r="AO3770" s="11">
        <v>41162.629999999997</v>
      </c>
      <c r="AP3770" s="9">
        <v>3.6745457963315697</v>
      </c>
    </row>
    <row r="3771" spans="40:42" x14ac:dyDescent="0.3">
      <c r="AN3771">
        <v>3767</v>
      </c>
      <c r="AO3771" s="11">
        <v>25482.47</v>
      </c>
      <c r="AP3771" s="9">
        <v>3.5848429534074198</v>
      </c>
    </row>
    <row r="3772" spans="40:42" x14ac:dyDescent="0.3">
      <c r="AN3772">
        <v>3768</v>
      </c>
      <c r="AO3772" s="11">
        <v>35782.94</v>
      </c>
      <c r="AP3772" s="9">
        <v>3.169100703132274</v>
      </c>
    </row>
    <row r="3773" spans="40:42" x14ac:dyDescent="0.3">
      <c r="AN3773">
        <v>3769</v>
      </c>
      <c r="AO3773" s="11">
        <v>23344.52</v>
      </c>
      <c r="AP3773" s="9">
        <v>3.0544874733338356</v>
      </c>
    </row>
    <row r="3774" spans="40:42" x14ac:dyDescent="0.3">
      <c r="AN3774">
        <v>3770</v>
      </c>
      <c r="AO3774" s="11">
        <v>34634.86</v>
      </c>
      <c r="AP3774" s="9">
        <v>4.3426269745997663</v>
      </c>
    </row>
    <row r="3775" spans="40:42" x14ac:dyDescent="0.3">
      <c r="AN3775">
        <v>3771</v>
      </c>
      <c r="AO3775" s="11">
        <v>33220.22</v>
      </c>
      <c r="AP3775" s="9">
        <v>3.4681545476944349</v>
      </c>
    </row>
    <row r="3776" spans="40:42" x14ac:dyDescent="0.3">
      <c r="AN3776">
        <v>3772</v>
      </c>
      <c r="AO3776" s="11">
        <v>19447.22</v>
      </c>
      <c r="AP3776" s="9">
        <v>3.4553065662811413</v>
      </c>
    </row>
    <row r="3777" spans="40:42" x14ac:dyDescent="0.3">
      <c r="AN3777">
        <v>3773</v>
      </c>
      <c r="AO3777" s="11">
        <v>25534.71</v>
      </c>
      <c r="AP3777" s="9">
        <v>3.0027999463589228</v>
      </c>
    </row>
    <row r="3778" spans="40:42" x14ac:dyDescent="0.3">
      <c r="AN3778">
        <v>3774</v>
      </c>
      <c r="AO3778" s="11">
        <v>36611.24</v>
      </c>
      <c r="AP3778" s="9">
        <v>4.4487381453664732</v>
      </c>
    </row>
    <row r="3779" spans="40:42" x14ac:dyDescent="0.3">
      <c r="AN3779">
        <v>3775</v>
      </c>
      <c r="AO3779" s="11">
        <v>19164.71</v>
      </c>
      <c r="AP3779" s="9">
        <v>2.9216449993061855</v>
      </c>
    </row>
    <row r="3780" spans="40:42" x14ac:dyDescent="0.3">
      <c r="AN3780">
        <v>3776</v>
      </c>
      <c r="AO3780" s="11">
        <v>11509.58</v>
      </c>
      <c r="AP3780" s="9">
        <v>3.060542577172717</v>
      </c>
    </row>
    <row r="3781" spans="40:42" x14ac:dyDescent="0.3">
      <c r="AN3781">
        <v>3777</v>
      </c>
      <c r="AO3781" s="11">
        <v>32628.06</v>
      </c>
      <c r="AP3781" s="9">
        <v>3.2848191528039301</v>
      </c>
    </row>
    <row r="3782" spans="40:42" x14ac:dyDescent="0.3">
      <c r="AN3782">
        <v>3778</v>
      </c>
      <c r="AO3782" s="11">
        <v>38792.67</v>
      </c>
      <c r="AP3782" s="9">
        <v>3.4844489577560394</v>
      </c>
    </row>
    <row r="3783" spans="40:42" x14ac:dyDescent="0.3">
      <c r="AN3783">
        <v>3779</v>
      </c>
      <c r="AO3783" s="11">
        <v>20800.68</v>
      </c>
      <c r="AP3783" s="9">
        <v>3.3499598939310173</v>
      </c>
    </row>
    <row r="3784" spans="40:42" x14ac:dyDescent="0.3">
      <c r="AN3784">
        <v>3780</v>
      </c>
      <c r="AO3784" s="11">
        <v>17464.310000000001</v>
      </c>
      <c r="AP3784" s="9">
        <v>3.1300966042126293</v>
      </c>
    </row>
    <row r="3785" spans="40:42" x14ac:dyDescent="0.3">
      <c r="AN3785">
        <v>3781</v>
      </c>
      <c r="AO3785" s="11">
        <v>19321.18</v>
      </c>
      <c r="AP3785" s="9">
        <v>3.1875744421686476</v>
      </c>
    </row>
    <row r="3786" spans="40:42" x14ac:dyDescent="0.3">
      <c r="AN3786">
        <v>3782</v>
      </c>
      <c r="AO3786" s="11">
        <v>15147.68</v>
      </c>
      <c r="AP3786" s="9">
        <v>2.6294234351090418</v>
      </c>
    </row>
    <row r="3787" spans="40:42" x14ac:dyDescent="0.3">
      <c r="AN3787">
        <v>3783</v>
      </c>
      <c r="AO3787" s="11">
        <v>21973.46</v>
      </c>
      <c r="AP3787" s="9">
        <v>2.9223130655988818</v>
      </c>
    </row>
    <row r="3788" spans="40:42" x14ac:dyDescent="0.3">
      <c r="AN3788">
        <v>3784</v>
      </c>
      <c r="AO3788" s="11">
        <v>28666.19</v>
      </c>
      <c r="AP3788" s="9">
        <v>3.1571324124854319</v>
      </c>
    </row>
    <row r="3789" spans="40:42" x14ac:dyDescent="0.3">
      <c r="AN3789">
        <v>3785</v>
      </c>
      <c r="AO3789" s="11">
        <v>24401.27</v>
      </c>
      <c r="AP3789" s="9">
        <v>3.6059509339441309</v>
      </c>
    </row>
    <row r="3790" spans="40:42" x14ac:dyDescent="0.3">
      <c r="AN3790">
        <v>3786</v>
      </c>
      <c r="AO3790" s="11">
        <v>16278.08</v>
      </c>
      <c r="AP3790" s="9">
        <v>2.7305521468769762</v>
      </c>
    </row>
    <row r="3791" spans="40:42" x14ac:dyDescent="0.3">
      <c r="AN3791">
        <v>3787</v>
      </c>
      <c r="AO3791" s="11">
        <v>23958.58</v>
      </c>
      <c r="AP3791" s="9">
        <v>3.251928009886905</v>
      </c>
    </row>
    <row r="3792" spans="40:42" x14ac:dyDescent="0.3">
      <c r="AN3792">
        <v>3788</v>
      </c>
      <c r="AO3792" s="11">
        <v>28723.56</v>
      </c>
      <c r="AP3792" s="9">
        <v>3.5770459894770821</v>
      </c>
    </row>
    <row r="3793" spans="40:42" x14ac:dyDescent="0.3">
      <c r="AN3793">
        <v>3789</v>
      </c>
      <c r="AO3793" s="11">
        <v>35452.910000000003</v>
      </c>
      <c r="AP3793" s="9">
        <v>3.6801747570340737</v>
      </c>
    </row>
    <row r="3794" spans="40:42" x14ac:dyDescent="0.3">
      <c r="AN3794">
        <v>3790</v>
      </c>
      <c r="AO3794" s="11">
        <v>39719.160000000003</v>
      </c>
      <c r="AP3794" s="9">
        <v>3.0916797392378297</v>
      </c>
    </row>
    <row r="3795" spans="40:42" x14ac:dyDescent="0.3">
      <c r="AN3795">
        <v>3791</v>
      </c>
      <c r="AO3795" s="11">
        <v>22283.21</v>
      </c>
      <c r="AP3795" s="9">
        <v>3.0227366776663924</v>
      </c>
    </row>
    <row r="3796" spans="40:42" x14ac:dyDescent="0.3">
      <c r="AN3796">
        <v>3792</v>
      </c>
      <c r="AO3796" s="11">
        <v>19875.439999999999</v>
      </c>
      <c r="AP3796" s="9">
        <v>3.0887568785295856</v>
      </c>
    </row>
    <row r="3797" spans="40:42" x14ac:dyDescent="0.3">
      <c r="AN3797">
        <v>3793</v>
      </c>
      <c r="AO3797" s="11">
        <v>19512.060000000001</v>
      </c>
      <c r="AP3797" s="9">
        <v>3.1504531357258951</v>
      </c>
    </row>
    <row r="3798" spans="40:42" x14ac:dyDescent="0.3">
      <c r="AN3798">
        <v>3794</v>
      </c>
      <c r="AO3798" s="11">
        <v>29786.28</v>
      </c>
      <c r="AP3798" s="9">
        <v>3.3216656896853389</v>
      </c>
    </row>
    <row r="3799" spans="40:42" x14ac:dyDescent="0.3">
      <c r="AN3799">
        <v>3795</v>
      </c>
      <c r="AO3799" s="11">
        <v>24551.9</v>
      </c>
      <c r="AP3799" s="9">
        <v>3.5264802638631592</v>
      </c>
    </row>
    <row r="3800" spans="40:42" x14ac:dyDescent="0.3">
      <c r="AN3800">
        <v>3796</v>
      </c>
      <c r="AO3800" s="11">
        <v>31509.9</v>
      </c>
      <c r="AP3800" s="9">
        <v>3.4904902565136022</v>
      </c>
    </row>
    <row r="3801" spans="40:42" x14ac:dyDescent="0.3">
      <c r="AN3801">
        <v>3797</v>
      </c>
      <c r="AO3801" s="11">
        <v>33233.46</v>
      </c>
      <c r="AP3801" s="9">
        <v>3.5883028132276653</v>
      </c>
    </row>
    <row r="3802" spans="40:42" x14ac:dyDescent="0.3">
      <c r="AN3802">
        <v>3798</v>
      </c>
      <c r="AO3802" s="11">
        <v>25917.35</v>
      </c>
      <c r="AP3802" s="9">
        <v>2.899679782010574</v>
      </c>
    </row>
    <row r="3803" spans="40:42" x14ac:dyDescent="0.3">
      <c r="AN3803">
        <v>3799</v>
      </c>
      <c r="AO3803" s="11">
        <v>26943.01</v>
      </c>
      <c r="AP3803" s="9">
        <v>2.9697408894188051</v>
      </c>
    </row>
    <row r="3804" spans="40:42" x14ac:dyDescent="0.3">
      <c r="AN3804">
        <v>3800</v>
      </c>
      <c r="AO3804" s="11">
        <v>51991.45</v>
      </c>
      <c r="AP3804" s="9">
        <v>3.5208035020889858</v>
      </c>
    </row>
    <row r="3805" spans="40:42" x14ac:dyDescent="0.3">
      <c r="AN3805">
        <v>3801</v>
      </c>
      <c r="AO3805" s="11">
        <v>41488.339999999997</v>
      </c>
      <c r="AP3805" s="9">
        <v>3.7787959459635951</v>
      </c>
    </row>
    <row r="3806" spans="40:42" x14ac:dyDescent="0.3">
      <c r="AN3806">
        <v>3802</v>
      </c>
      <c r="AO3806" s="11">
        <v>13193.27</v>
      </c>
      <c r="AP3806" s="9">
        <v>3.2735746527542626</v>
      </c>
    </row>
    <row r="3807" spans="40:42" x14ac:dyDescent="0.3">
      <c r="AN3807">
        <v>3803</v>
      </c>
      <c r="AO3807" s="11">
        <v>21883.56</v>
      </c>
      <c r="AP3807" s="9">
        <v>3.4659317630213993</v>
      </c>
    </row>
    <row r="3808" spans="40:42" x14ac:dyDescent="0.3">
      <c r="AN3808">
        <v>3804</v>
      </c>
      <c r="AO3808" s="11">
        <v>23655.06</v>
      </c>
      <c r="AP3808" s="9">
        <v>3.0243291397449403</v>
      </c>
    </row>
    <row r="3809" spans="40:42" x14ac:dyDescent="0.3">
      <c r="AN3809">
        <v>3805</v>
      </c>
      <c r="AO3809" s="11">
        <v>21774.71</v>
      </c>
      <c r="AP3809" s="9">
        <v>3.2780488768883993</v>
      </c>
    </row>
    <row r="3810" spans="40:42" x14ac:dyDescent="0.3">
      <c r="AN3810">
        <v>3806</v>
      </c>
      <c r="AO3810" s="11">
        <v>48457.120000000003</v>
      </c>
      <c r="AP3810" s="9">
        <v>4.0152374873950158</v>
      </c>
    </row>
    <row r="3811" spans="40:42" x14ac:dyDescent="0.3">
      <c r="AN3811">
        <v>3807</v>
      </c>
      <c r="AO3811" s="11">
        <v>36669.760000000002</v>
      </c>
      <c r="AP3811" s="9">
        <v>4.0460559636383948</v>
      </c>
    </row>
    <row r="3812" spans="40:42" x14ac:dyDescent="0.3">
      <c r="AN3812">
        <v>3808</v>
      </c>
      <c r="AO3812" s="11">
        <v>41957.45</v>
      </c>
      <c r="AP3812" s="9">
        <v>4.3860658940949948</v>
      </c>
    </row>
    <row r="3813" spans="40:42" x14ac:dyDescent="0.3">
      <c r="AN3813">
        <v>3809</v>
      </c>
      <c r="AO3813" s="11">
        <v>14436.71</v>
      </c>
      <c r="AP3813" s="9">
        <v>3.2494099992735315</v>
      </c>
    </row>
    <row r="3814" spans="40:42" x14ac:dyDescent="0.3">
      <c r="AN3814">
        <v>3810</v>
      </c>
      <c r="AO3814" s="11">
        <v>30294.5</v>
      </c>
      <c r="AP3814" s="9">
        <v>3.6928445172542723</v>
      </c>
    </row>
    <row r="3815" spans="40:42" x14ac:dyDescent="0.3">
      <c r="AN3815">
        <v>3811</v>
      </c>
      <c r="AO3815" s="11">
        <v>24234.07</v>
      </c>
      <c r="AP3815" s="9">
        <v>3.7615173759971374</v>
      </c>
    </row>
    <row r="3816" spans="40:42" x14ac:dyDescent="0.3">
      <c r="AN3816">
        <v>3812</v>
      </c>
      <c r="AO3816" s="11">
        <v>37468.57</v>
      </c>
      <c r="AP3816" s="9">
        <v>3.5107604668826315</v>
      </c>
    </row>
    <row r="3817" spans="40:42" x14ac:dyDescent="0.3">
      <c r="AN3817">
        <v>3813</v>
      </c>
      <c r="AO3817" s="11">
        <v>19793.41</v>
      </c>
      <c r="AP3817" s="9">
        <v>3.2888798671700976</v>
      </c>
    </row>
    <row r="3818" spans="40:42" x14ac:dyDescent="0.3">
      <c r="AN3818">
        <v>3814</v>
      </c>
      <c r="AO3818" s="11">
        <v>25840.83</v>
      </c>
      <c r="AP3818" s="9">
        <v>3.1863984571417068</v>
      </c>
    </row>
    <row r="3819" spans="40:42" x14ac:dyDescent="0.3">
      <c r="AN3819">
        <v>3815</v>
      </c>
      <c r="AO3819" s="11">
        <v>22982.58</v>
      </c>
      <c r="AP3819" s="9">
        <v>3.9221484752779667</v>
      </c>
    </row>
    <row r="3820" spans="40:42" x14ac:dyDescent="0.3">
      <c r="AN3820">
        <v>3816</v>
      </c>
      <c r="AO3820" s="11">
        <v>35199.35</v>
      </c>
      <c r="AP3820" s="9">
        <v>4.5287198914038527</v>
      </c>
    </row>
    <row r="3821" spans="40:42" x14ac:dyDescent="0.3">
      <c r="AN3821">
        <v>3817</v>
      </c>
      <c r="AO3821" s="11">
        <v>29031.07</v>
      </c>
      <c r="AP3821" s="9">
        <v>3.3338798811430417</v>
      </c>
    </row>
    <row r="3822" spans="40:42" x14ac:dyDescent="0.3">
      <c r="AN3822">
        <v>3818</v>
      </c>
      <c r="AO3822" s="11">
        <v>34569.82</v>
      </c>
      <c r="AP3822" s="9">
        <v>3.0603612148855559</v>
      </c>
    </row>
    <row r="3823" spans="40:42" x14ac:dyDescent="0.3">
      <c r="AN3823">
        <v>3819</v>
      </c>
      <c r="AO3823" s="11">
        <v>28081.27</v>
      </c>
      <c r="AP3823" s="9">
        <v>3.1824863972659259</v>
      </c>
    </row>
    <row r="3824" spans="40:42" x14ac:dyDescent="0.3">
      <c r="AN3824">
        <v>3820</v>
      </c>
      <c r="AO3824" s="11">
        <v>27141.49</v>
      </c>
      <c r="AP3824" s="9">
        <v>3.7890937299530392</v>
      </c>
    </row>
    <row r="3825" spans="40:42" x14ac:dyDescent="0.3">
      <c r="AN3825">
        <v>3821</v>
      </c>
      <c r="AO3825" s="11">
        <v>19157.919999999998</v>
      </c>
      <c r="AP3825" s="9">
        <v>3.0551762307412131</v>
      </c>
    </row>
    <row r="3826" spans="40:42" x14ac:dyDescent="0.3">
      <c r="AN3826">
        <v>3822</v>
      </c>
      <c r="AO3826" s="11">
        <v>24980.91</v>
      </c>
      <c r="AP3826" s="9">
        <v>3.0816623489272357</v>
      </c>
    </row>
    <row r="3827" spans="40:42" x14ac:dyDescent="0.3">
      <c r="AN3827">
        <v>3823</v>
      </c>
      <c r="AO3827" s="11">
        <v>33826.54</v>
      </c>
      <c r="AP3827" s="9">
        <v>3.397662551986564</v>
      </c>
    </row>
    <row r="3828" spans="40:42" x14ac:dyDescent="0.3">
      <c r="AN3828">
        <v>3824</v>
      </c>
      <c r="AO3828" s="11">
        <v>29396.13</v>
      </c>
      <c r="AP3828" s="9">
        <v>4.9136319303872709</v>
      </c>
    </row>
    <row r="3829" spans="40:42" x14ac:dyDescent="0.3">
      <c r="AN3829">
        <v>3825</v>
      </c>
      <c r="AO3829" s="11">
        <v>16630.62</v>
      </c>
      <c r="AP3829" s="9">
        <v>3.0552728219500582</v>
      </c>
    </row>
    <row r="3830" spans="40:42" x14ac:dyDescent="0.3">
      <c r="AN3830">
        <v>3826</v>
      </c>
      <c r="AO3830" s="11">
        <v>23171.62</v>
      </c>
      <c r="AP3830" s="9">
        <v>2.9626083479513792</v>
      </c>
    </row>
    <row r="3831" spans="40:42" x14ac:dyDescent="0.3">
      <c r="AN3831">
        <v>3827</v>
      </c>
      <c r="AO3831" s="11">
        <v>44538.61</v>
      </c>
      <c r="AP3831" s="9">
        <v>3.8340447874374428</v>
      </c>
    </row>
    <row r="3832" spans="40:42" x14ac:dyDescent="0.3">
      <c r="AN3832">
        <v>3828</v>
      </c>
      <c r="AO3832" s="11">
        <v>39487.68</v>
      </c>
      <c r="AP3832" s="9">
        <v>3.4375476362829183</v>
      </c>
    </row>
    <row r="3833" spans="40:42" x14ac:dyDescent="0.3">
      <c r="AN3833">
        <v>3829</v>
      </c>
      <c r="AO3833" s="11">
        <v>28345.83</v>
      </c>
      <c r="AP3833" s="9">
        <v>3.5210329710643804</v>
      </c>
    </row>
    <row r="3834" spans="40:42" x14ac:dyDescent="0.3">
      <c r="AN3834">
        <v>3830</v>
      </c>
      <c r="AO3834" s="11">
        <v>21787.66</v>
      </c>
      <c r="AP3834" s="9">
        <v>3.0959852779034129</v>
      </c>
    </row>
    <row r="3835" spans="40:42" x14ac:dyDescent="0.3">
      <c r="AN3835">
        <v>3831</v>
      </c>
      <c r="AO3835" s="11">
        <v>24483.29</v>
      </c>
      <c r="AP3835" s="9">
        <v>3.181014014726665</v>
      </c>
    </row>
    <row r="3836" spans="40:42" x14ac:dyDescent="0.3">
      <c r="AN3836">
        <v>3832</v>
      </c>
      <c r="AO3836" s="11">
        <v>31419.3</v>
      </c>
      <c r="AP3836" s="9">
        <v>3.1152987183637508</v>
      </c>
    </row>
    <row r="3837" spans="40:42" x14ac:dyDescent="0.3">
      <c r="AN3837">
        <v>3833</v>
      </c>
      <c r="AO3837" s="11">
        <v>25446.19</v>
      </c>
      <c r="AP3837" s="9">
        <v>3.103625254237016</v>
      </c>
    </row>
    <row r="3838" spans="40:42" x14ac:dyDescent="0.3">
      <c r="AN3838">
        <v>3834</v>
      </c>
      <c r="AO3838" s="11">
        <v>14964.27</v>
      </c>
      <c r="AP3838" s="9">
        <v>3.0595330396021119</v>
      </c>
    </row>
    <row r="3839" spans="40:42" x14ac:dyDescent="0.3">
      <c r="AN3839">
        <v>3835</v>
      </c>
      <c r="AO3839" s="11">
        <v>25687.119999999999</v>
      </c>
      <c r="AP3839" s="9">
        <v>3.0909149149077582</v>
      </c>
    </row>
    <row r="3840" spans="40:42" x14ac:dyDescent="0.3">
      <c r="AN3840">
        <v>3836</v>
      </c>
      <c r="AO3840" s="11">
        <v>49776.59</v>
      </c>
      <c r="AP3840" s="9">
        <v>4.2703774939399848</v>
      </c>
    </row>
    <row r="3841" spans="40:42" x14ac:dyDescent="0.3">
      <c r="AN3841">
        <v>3837</v>
      </c>
      <c r="AO3841" s="11">
        <v>33293.599999999999</v>
      </c>
      <c r="AP3841" s="9">
        <v>3.0923112845512657</v>
      </c>
    </row>
    <row r="3842" spans="40:42" x14ac:dyDescent="0.3">
      <c r="AN3842">
        <v>3838</v>
      </c>
      <c r="AO3842" s="11">
        <v>19349.45</v>
      </c>
      <c r="AP3842" s="9">
        <v>2.9845952283496051</v>
      </c>
    </row>
    <row r="3843" spans="40:42" x14ac:dyDescent="0.3">
      <c r="AN3843">
        <v>3839</v>
      </c>
      <c r="AO3843" s="11">
        <v>24947.15</v>
      </c>
      <c r="AP3843" s="9">
        <v>3.764999483411624</v>
      </c>
    </row>
    <row r="3844" spans="40:42" x14ac:dyDescent="0.3">
      <c r="AN3844">
        <v>3840</v>
      </c>
      <c r="AO3844" s="11">
        <v>27771.26</v>
      </c>
      <c r="AP3844" s="9">
        <v>2.9792245880392136</v>
      </c>
    </row>
    <row r="3845" spans="40:42" x14ac:dyDescent="0.3">
      <c r="AN3845">
        <v>3841</v>
      </c>
      <c r="AO3845" s="11">
        <v>26250.81</v>
      </c>
      <c r="AP3845" s="9">
        <v>3.6095002620441758</v>
      </c>
    </row>
    <row r="3846" spans="40:42" x14ac:dyDescent="0.3">
      <c r="AN3846">
        <v>3842</v>
      </c>
      <c r="AO3846" s="11">
        <v>21240.32</v>
      </c>
      <c r="AP3846" s="9">
        <v>3.7271250871414594</v>
      </c>
    </row>
    <row r="3847" spans="40:42" x14ac:dyDescent="0.3">
      <c r="AN3847">
        <v>3843</v>
      </c>
      <c r="AO3847" s="11">
        <v>13380.02</v>
      </c>
      <c r="AP3847" s="9">
        <v>3.7299381371176579</v>
      </c>
    </row>
    <row r="3848" spans="40:42" x14ac:dyDescent="0.3">
      <c r="AN3848">
        <v>3844</v>
      </c>
      <c r="AO3848" s="11">
        <v>23546.21</v>
      </c>
      <c r="AP3848" s="9">
        <v>3.2693156003686483</v>
      </c>
    </row>
    <row r="3849" spans="40:42" x14ac:dyDescent="0.3">
      <c r="AN3849">
        <v>3845</v>
      </c>
      <c r="AO3849" s="11">
        <v>31858.66</v>
      </c>
      <c r="AP3849" s="9">
        <v>3.5610100977730257</v>
      </c>
    </row>
    <row r="3850" spans="40:42" x14ac:dyDescent="0.3">
      <c r="AN3850">
        <v>3846</v>
      </c>
      <c r="AO3850" s="11">
        <v>28507.75</v>
      </c>
      <c r="AP3850" s="9">
        <v>4.041176698156236</v>
      </c>
    </row>
    <row r="3851" spans="40:42" x14ac:dyDescent="0.3">
      <c r="AN3851">
        <v>3847</v>
      </c>
      <c r="AO3851" s="11">
        <v>30443.67</v>
      </c>
      <c r="AP3851" s="9">
        <v>3.2725638586914507</v>
      </c>
    </row>
    <row r="3852" spans="40:42" x14ac:dyDescent="0.3">
      <c r="AN3852">
        <v>3848</v>
      </c>
      <c r="AO3852" s="11">
        <v>40232.61</v>
      </c>
      <c r="AP3852" s="9">
        <v>3.159267364044414</v>
      </c>
    </row>
    <row r="3853" spans="40:42" x14ac:dyDescent="0.3">
      <c r="AN3853">
        <v>3849</v>
      </c>
      <c r="AO3853" s="11">
        <v>36598.39</v>
      </c>
      <c r="AP3853" s="9">
        <v>3.8169668408311797</v>
      </c>
    </row>
    <row r="3854" spans="40:42" x14ac:dyDescent="0.3">
      <c r="AN3854">
        <v>3850</v>
      </c>
      <c r="AO3854" s="11">
        <v>24344.73</v>
      </c>
      <c r="AP3854" s="9">
        <v>3.1515659978684822</v>
      </c>
    </row>
    <row r="3855" spans="40:42" x14ac:dyDescent="0.3">
      <c r="AN3855">
        <v>3851</v>
      </c>
      <c r="AO3855" s="11">
        <v>30546.23</v>
      </c>
      <c r="AP3855" s="9">
        <v>3.3523321582133683</v>
      </c>
    </row>
    <row r="3856" spans="40:42" x14ac:dyDescent="0.3">
      <c r="AN3856">
        <v>3852</v>
      </c>
      <c r="AO3856" s="11">
        <v>14519.57</v>
      </c>
      <c r="AP3856" s="9">
        <v>3.711209599218118</v>
      </c>
    </row>
    <row r="3857" spans="40:42" x14ac:dyDescent="0.3">
      <c r="AN3857">
        <v>3853</v>
      </c>
      <c r="AO3857" s="11">
        <v>21513.17</v>
      </c>
      <c r="AP3857" s="9">
        <v>3.0091522858090798</v>
      </c>
    </row>
    <row r="3858" spans="40:42" x14ac:dyDescent="0.3">
      <c r="AN3858">
        <v>3854</v>
      </c>
      <c r="AO3858" s="11">
        <v>34585.46</v>
      </c>
      <c r="AP3858" s="9">
        <v>3.1729924172567414</v>
      </c>
    </row>
    <row r="3859" spans="40:42" x14ac:dyDescent="0.3">
      <c r="AN3859">
        <v>3855</v>
      </c>
      <c r="AO3859" s="11">
        <v>41320.559999999998</v>
      </c>
      <c r="AP3859" s="9">
        <v>3.464174716728238</v>
      </c>
    </row>
    <row r="3860" spans="40:42" x14ac:dyDescent="0.3">
      <c r="AN3860">
        <v>3856</v>
      </c>
      <c r="AO3860" s="11">
        <v>16103.87</v>
      </c>
      <c r="AP3860" s="9">
        <v>3.4117580243480581</v>
      </c>
    </row>
    <row r="3861" spans="40:42" x14ac:dyDescent="0.3">
      <c r="AN3861">
        <v>3857</v>
      </c>
      <c r="AO3861" s="11">
        <v>32700.26</v>
      </c>
      <c r="AP3861" s="9">
        <v>3.6063690560859616</v>
      </c>
    </row>
    <row r="3862" spans="40:42" x14ac:dyDescent="0.3">
      <c r="AN3862">
        <v>3858</v>
      </c>
      <c r="AO3862" s="11">
        <v>26759.32</v>
      </c>
      <c r="AP3862" s="9">
        <v>3.1893177498604457</v>
      </c>
    </row>
    <row r="3863" spans="40:42" x14ac:dyDescent="0.3">
      <c r="AN3863">
        <v>3859</v>
      </c>
      <c r="AO3863" s="11">
        <v>33589.74</v>
      </c>
      <c r="AP3863" s="9">
        <v>3.3556191353194418</v>
      </c>
    </row>
    <row r="3864" spans="40:42" x14ac:dyDescent="0.3">
      <c r="AN3864">
        <v>3860</v>
      </c>
      <c r="AO3864" s="11">
        <v>26957.69</v>
      </c>
      <c r="AP3864" s="9">
        <v>3.6213641711163715</v>
      </c>
    </row>
    <row r="3865" spans="40:42" x14ac:dyDescent="0.3">
      <c r="AN3865">
        <v>3861</v>
      </c>
      <c r="AO3865" s="11">
        <v>22680.17</v>
      </c>
      <c r="AP3865" s="9">
        <v>3.4086434038953426</v>
      </c>
    </row>
    <row r="3866" spans="40:42" x14ac:dyDescent="0.3">
      <c r="AN3866">
        <v>3862</v>
      </c>
      <c r="AO3866" s="11">
        <v>35391.599999999999</v>
      </c>
      <c r="AP3866" s="9">
        <v>3.7620167955433286</v>
      </c>
    </row>
    <row r="3867" spans="40:42" x14ac:dyDescent="0.3">
      <c r="AN3867">
        <v>3863</v>
      </c>
      <c r="AO3867" s="11">
        <v>37952.81</v>
      </c>
      <c r="AP3867" s="9">
        <v>4.247689727495584</v>
      </c>
    </row>
    <row r="3868" spans="40:42" x14ac:dyDescent="0.3">
      <c r="AN3868">
        <v>3864</v>
      </c>
      <c r="AO3868" s="11">
        <v>16952.29</v>
      </c>
      <c r="AP3868" s="9">
        <v>2.6469887106623471</v>
      </c>
    </row>
    <row r="3869" spans="40:42" x14ac:dyDescent="0.3">
      <c r="AN3869">
        <v>3865</v>
      </c>
      <c r="AO3869" s="11">
        <v>24423.01</v>
      </c>
      <c r="AP3869" s="9">
        <v>4.1053665525711498</v>
      </c>
    </row>
    <row r="3870" spans="40:42" x14ac:dyDescent="0.3">
      <c r="AN3870">
        <v>3866</v>
      </c>
      <c r="AO3870" s="11">
        <v>18893.810000000001</v>
      </c>
      <c r="AP3870" s="9">
        <v>2.7395175820012492</v>
      </c>
    </row>
    <row r="3871" spans="40:42" x14ac:dyDescent="0.3">
      <c r="AN3871">
        <v>3867</v>
      </c>
      <c r="AO3871" s="11">
        <v>26227.9</v>
      </c>
      <c r="AP3871" s="9">
        <v>2.7067480913080564</v>
      </c>
    </row>
    <row r="3872" spans="40:42" x14ac:dyDescent="0.3">
      <c r="AN3872">
        <v>3868</v>
      </c>
      <c r="AO3872" s="11">
        <v>34125.879999999997</v>
      </c>
      <c r="AP3872" s="9">
        <v>3.8422483841172919</v>
      </c>
    </row>
    <row r="3873" spans="40:42" x14ac:dyDescent="0.3">
      <c r="AN3873">
        <v>3869</v>
      </c>
      <c r="AO3873" s="11">
        <v>22408.89</v>
      </c>
      <c r="AP3873" s="9">
        <v>3.5691919369201464</v>
      </c>
    </row>
    <row r="3874" spans="40:42" x14ac:dyDescent="0.3">
      <c r="AN3874">
        <v>3870</v>
      </c>
      <c r="AO3874" s="11">
        <v>24890.959999999999</v>
      </c>
      <c r="AP3874" s="9">
        <v>2.9508717389109322</v>
      </c>
    </row>
    <row r="3875" spans="40:42" x14ac:dyDescent="0.3">
      <c r="AN3875">
        <v>3871</v>
      </c>
      <c r="AO3875" s="11">
        <v>26269.17</v>
      </c>
      <c r="AP3875" s="9">
        <v>3.2369077829979749</v>
      </c>
    </row>
    <row r="3876" spans="40:42" x14ac:dyDescent="0.3">
      <c r="AN3876">
        <v>3872</v>
      </c>
      <c r="AO3876" s="11">
        <v>24453.93</v>
      </c>
      <c r="AP3876" s="9">
        <v>3.5627005261805418</v>
      </c>
    </row>
    <row r="3877" spans="40:42" x14ac:dyDescent="0.3">
      <c r="AN3877">
        <v>3873</v>
      </c>
      <c r="AO3877" s="11">
        <v>30486.31</v>
      </c>
      <c r="AP3877" s="9">
        <v>3.4979479139009819</v>
      </c>
    </row>
    <row r="3878" spans="40:42" x14ac:dyDescent="0.3">
      <c r="AN3878">
        <v>3874</v>
      </c>
      <c r="AO3878" s="11">
        <v>24248.98</v>
      </c>
      <c r="AP3878" s="9">
        <v>2.9030912801403383</v>
      </c>
    </row>
    <row r="3879" spans="40:42" x14ac:dyDescent="0.3">
      <c r="AN3879">
        <v>3875</v>
      </c>
      <c r="AO3879" s="11">
        <v>20941.759999999998</v>
      </c>
      <c r="AP3879" s="9">
        <v>2.7944764242826854</v>
      </c>
    </row>
    <row r="3880" spans="40:42" x14ac:dyDescent="0.3">
      <c r="AN3880">
        <v>3876</v>
      </c>
      <c r="AO3880" s="11">
        <v>19673.009999999998</v>
      </c>
      <c r="AP3880" s="9">
        <v>3.225748907466818</v>
      </c>
    </row>
    <row r="3881" spans="40:42" x14ac:dyDescent="0.3">
      <c r="AN3881">
        <v>3877</v>
      </c>
      <c r="AO3881" s="11">
        <v>28583.17</v>
      </c>
      <c r="AP3881" s="9">
        <v>3.4110637435363831</v>
      </c>
    </row>
    <row r="3882" spans="40:42" x14ac:dyDescent="0.3">
      <c r="AN3882">
        <v>3878</v>
      </c>
      <c r="AO3882" s="11">
        <v>28384.9</v>
      </c>
      <c r="AP3882" s="9">
        <v>3.34448325465952</v>
      </c>
    </row>
    <row r="3883" spans="40:42" x14ac:dyDescent="0.3">
      <c r="AN3883">
        <v>3879</v>
      </c>
      <c r="AO3883" s="11">
        <v>24487.74</v>
      </c>
      <c r="AP3883" s="9">
        <v>2.773805263200674</v>
      </c>
    </row>
    <row r="3884" spans="40:42" x14ac:dyDescent="0.3">
      <c r="AN3884">
        <v>3880</v>
      </c>
      <c r="AO3884" s="11">
        <v>28398.04</v>
      </c>
      <c r="AP3884" s="9">
        <v>4.039847694531395</v>
      </c>
    </row>
    <row r="3885" spans="40:42" x14ac:dyDescent="0.3">
      <c r="AN3885">
        <v>3881</v>
      </c>
      <c r="AO3885" s="11">
        <v>26699.82</v>
      </c>
      <c r="AP3885" s="9">
        <v>3.1819604552759708</v>
      </c>
    </row>
    <row r="3886" spans="40:42" x14ac:dyDescent="0.3">
      <c r="AN3886">
        <v>3882</v>
      </c>
      <c r="AO3886" s="11">
        <v>27182.98</v>
      </c>
      <c r="AP3886" s="9">
        <v>2.9019520441580959</v>
      </c>
    </row>
    <row r="3887" spans="40:42" x14ac:dyDescent="0.3">
      <c r="AN3887">
        <v>3883</v>
      </c>
      <c r="AO3887" s="11">
        <v>32448.17</v>
      </c>
      <c r="AP3887" s="9">
        <v>4.4101273780400421</v>
      </c>
    </row>
    <row r="3888" spans="40:42" x14ac:dyDescent="0.3">
      <c r="AN3888">
        <v>3884</v>
      </c>
      <c r="AO3888" s="11">
        <v>29753.42</v>
      </c>
      <c r="AP3888" s="9">
        <v>3.3611300474196475</v>
      </c>
    </row>
    <row r="3889" spans="40:42" x14ac:dyDescent="0.3">
      <c r="AN3889">
        <v>3885</v>
      </c>
      <c r="AO3889" s="11">
        <v>21914.29</v>
      </c>
      <c r="AP3889" s="9">
        <v>3.6440496370485054</v>
      </c>
    </row>
    <row r="3890" spans="40:42" x14ac:dyDescent="0.3">
      <c r="AN3890">
        <v>3886</v>
      </c>
      <c r="AO3890" s="11">
        <v>42063.8</v>
      </c>
      <c r="AP3890" s="9">
        <v>3.2502394226044982</v>
      </c>
    </row>
    <row r="3891" spans="40:42" x14ac:dyDescent="0.3">
      <c r="AN3891">
        <v>3887</v>
      </c>
      <c r="AO3891" s="11">
        <v>18418.310000000001</v>
      </c>
      <c r="AP3891" s="9">
        <v>3.1096935287339109</v>
      </c>
    </row>
    <row r="3892" spans="40:42" x14ac:dyDescent="0.3">
      <c r="AN3892">
        <v>3888</v>
      </c>
      <c r="AO3892" s="11">
        <v>20715.66</v>
      </c>
      <c r="AP3892" s="9">
        <v>3.6143206737937672</v>
      </c>
    </row>
    <row r="3893" spans="40:42" x14ac:dyDescent="0.3">
      <c r="AN3893">
        <v>3889</v>
      </c>
      <c r="AO3893" s="11">
        <v>29101.53</v>
      </c>
      <c r="AP3893" s="9">
        <v>3.229338669589306</v>
      </c>
    </row>
    <row r="3894" spans="40:42" x14ac:dyDescent="0.3">
      <c r="AN3894">
        <v>3890</v>
      </c>
      <c r="AO3894" s="11">
        <v>20548.27</v>
      </c>
      <c r="AP3894" s="9">
        <v>2.9397669559805748</v>
      </c>
    </row>
    <row r="3895" spans="40:42" x14ac:dyDescent="0.3">
      <c r="AN3895">
        <v>3891</v>
      </c>
      <c r="AO3895" s="11">
        <v>38592.25</v>
      </c>
      <c r="AP3895" s="9">
        <v>3.5682990242315351</v>
      </c>
    </row>
    <row r="3896" spans="40:42" x14ac:dyDescent="0.3">
      <c r="AN3896">
        <v>3892</v>
      </c>
      <c r="AO3896" s="11">
        <v>13993.6</v>
      </c>
      <c r="AP3896" s="9">
        <v>2.9940600292663158</v>
      </c>
    </row>
    <row r="3897" spans="40:42" x14ac:dyDescent="0.3">
      <c r="AN3897">
        <v>3893</v>
      </c>
      <c r="AO3897" s="11">
        <v>32008.18</v>
      </c>
      <c r="AP3897" s="9">
        <v>2.7378855116727854</v>
      </c>
    </row>
    <row r="3898" spans="40:42" x14ac:dyDescent="0.3">
      <c r="AN3898">
        <v>3894</v>
      </c>
      <c r="AO3898" s="11">
        <v>27908.92</v>
      </c>
      <c r="AP3898" s="9">
        <v>3.6519251257271237</v>
      </c>
    </row>
    <row r="3899" spans="40:42" x14ac:dyDescent="0.3">
      <c r="AN3899">
        <v>3895</v>
      </c>
      <c r="AO3899" s="11">
        <v>21346.53</v>
      </c>
      <c r="AP3899" s="9">
        <v>3.2514177296266724</v>
      </c>
    </row>
    <row r="3900" spans="40:42" x14ac:dyDescent="0.3">
      <c r="AN3900">
        <v>3896</v>
      </c>
      <c r="AO3900" s="11">
        <v>37125.5</v>
      </c>
      <c r="AP3900" s="9">
        <v>3.2333872477853318</v>
      </c>
    </row>
    <row r="3901" spans="40:42" x14ac:dyDescent="0.3">
      <c r="AN3901">
        <v>3897</v>
      </c>
      <c r="AO3901" s="11">
        <v>25338.26</v>
      </c>
      <c r="AP3901" s="9">
        <v>3.2800279897857219</v>
      </c>
    </row>
    <row r="3902" spans="40:42" x14ac:dyDescent="0.3">
      <c r="AN3902">
        <v>3898</v>
      </c>
      <c r="AO3902" s="11">
        <v>28311.45</v>
      </c>
      <c r="AP3902" s="9">
        <v>3.5781511586232426</v>
      </c>
    </row>
    <row r="3903" spans="40:42" x14ac:dyDescent="0.3">
      <c r="AN3903">
        <v>3899</v>
      </c>
      <c r="AO3903" s="11">
        <v>32833.040000000001</v>
      </c>
      <c r="AP3903" s="9">
        <v>3.1358703188497059</v>
      </c>
    </row>
    <row r="3904" spans="40:42" x14ac:dyDescent="0.3">
      <c r="AN3904">
        <v>3900</v>
      </c>
      <c r="AO3904" s="11">
        <v>37039.31</v>
      </c>
      <c r="AP3904" s="9">
        <v>3.2231315685511688</v>
      </c>
    </row>
    <row r="3905" spans="40:42" x14ac:dyDescent="0.3">
      <c r="AN3905">
        <v>3901</v>
      </c>
      <c r="AO3905" s="11">
        <v>28010.93</v>
      </c>
      <c r="AP3905" s="9">
        <v>3.1838579978445094</v>
      </c>
    </row>
    <row r="3906" spans="40:42" x14ac:dyDescent="0.3">
      <c r="AN3906">
        <v>3902</v>
      </c>
      <c r="AO3906" s="11">
        <v>14778.91</v>
      </c>
      <c r="AP3906" s="9">
        <v>3.6722397710909043</v>
      </c>
    </row>
    <row r="3907" spans="40:42" x14ac:dyDescent="0.3">
      <c r="AN3907">
        <v>3903</v>
      </c>
      <c r="AO3907" s="11">
        <v>26823.72</v>
      </c>
      <c r="AP3907" s="9">
        <v>3.2727618636691957</v>
      </c>
    </row>
    <row r="3908" spans="40:42" x14ac:dyDescent="0.3">
      <c r="AN3908">
        <v>3904</v>
      </c>
      <c r="AO3908" s="11">
        <v>34621.96</v>
      </c>
      <c r="AP3908" s="9">
        <v>3.4523553503315592</v>
      </c>
    </row>
    <row r="3909" spans="40:42" x14ac:dyDescent="0.3">
      <c r="AN3909">
        <v>3905</v>
      </c>
      <c r="AO3909" s="11">
        <v>30162.47</v>
      </c>
      <c r="AP3909" s="9">
        <v>3.6036711263118462</v>
      </c>
    </row>
    <row r="3910" spans="40:42" x14ac:dyDescent="0.3">
      <c r="AN3910">
        <v>3906</v>
      </c>
      <c r="AO3910" s="11">
        <v>31314.7</v>
      </c>
      <c r="AP3910" s="9">
        <v>3.810998394648919</v>
      </c>
    </row>
    <row r="3911" spans="40:42" x14ac:dyDescent="0.3">
      <c r="AN3911">
        <v>3907</v>
      </c>
      <c r="AO3911" s="11">
        <v>23739.86</v>
      </c>
      <c r="AP3911" s="9">
        <v>3.8208880119848434</v>
      </c>
    </row>
    <row r="3912" spans="40:42" x14ac:dyDescent="0.3">
      <c r="AN3912">
        <v>3908</v>
      </c>
      <c r="AO3912" s="11">
        <v>30646.18</v>
      </c>
      <c r="AP3912" s="9">
        <v>3.3173125250024702</v>
      </c>
    </row>
    <row r="3913" spans="40:42" x14ac:dyDescent="0.3">
      <c r="AN3913">
        <v>3909</v>
      </c>
      <c r="AO3913" s="11">
        <v>27551.22</v>
      </c>
      <c r="AP3913" s="9">
        <v>3.5016236550926463</v>
      </c>
    </row>
    <row r="3914" spans="40:42" x14ac:dyDescent="0.3">
      <c r="AN3914">
        <v>3910</v>
      </c>
      <c r="AO3914" s="11">
        <v>19349.150000000001</v>
      </c>
      <c r="AP3914" s="9">
        <v>2.9402546587220968</v>
      </c>
    </row>
    <row r="3915" spans="40:42" x14ac:dyDescent="0.3">
      <c r="AN3915">
        <v>3911</v>
      </c>
      <c r="AO3915" s="11">
        <v>28494</v>
      </c>
      <c r="AP3915" s="9">
        <v>3.0830496456178071</v>
      </c>
    </row>
    <row r="3916" spans="40:42" x14ac:dyDescent="0.3">
      <c r="AN3916">
        <v>3912</v>
      </c>
      <c r="AO3916" s="11">
        <v>21505.47</v>
      </c>
      <c r="AP3916" s="9">
        <v>3.3466436004780458</v>
      </c>
    </row>
    <row r="3917" spans="40:42" x14ac:dyDescent="0.3">
      <c r="AN3917">
        <v>3913</v>
      </c>
      <c r="AO3917" s="11">
        <v>16480.37</v>
      </c>
      <c r="AP3917" s="9">
        <v>3.2698065494901676</v>
      </c>
    </row>
    <row r="3918" spans="40:42" x14ac:dyDescent="0.3">
      <c r="AN3918">
        <v>3914</v>
      </c>
      <c r="AO3918" s="11">
        <v>21171.48</v>
      </c>
      <c r="AP3918" s="9">
        <v>3.3346375480772092</v>
      </c>
    </row>
    <row r="3919" spans="40:42" x14ac:dyDescent="0.3">
      <c r="AN3919">
        <v>3915</v>
      </c>
      <c r="AO3919" s="11">
        <v>31857.08</v>
      </c>
      <c r="AP3919" s="9">
        <v>4.026937142428598</v>
      </c>
    </row>
    <row r="3920" spans="40:42" x14ac:dyDescent="0.3">
      <c r="AN3920">
        <v>3916</v>
      </c>
      <c r="AO3920" s="11">
        <v>25738.86</v>
      </c>
      <c r="AP3920" s="9">
        <v>3.5304369696386377</v>
      </c>
    </row>
    <row r="3921" spans="40:42" x14ac:dyDescent="0.3">
      <c r="AN3921">
        <v>3917</v>
      </c>
      <c r="AO3921" s="11">
        <v>25894.46</v>
      </c>
      <c r="AP3921" s="9">
        <v>3.2171877434527505</v>
      </c>
    </row>
    <row r="3922" spans="40:42" x14ac:dyDescent="0.3">
      <c r="AN3922">
        <v>3918</v>
      </c>
      <c r="AO3922" s="11">
        <v>20804.580000000002</v>
      </c>
      <c r="AP3922" s="9">
        <v>2.9843087973292883</v>
      </c>
    </row>
    <row r="3923" spans="40:42" x14ac:dyDescent="0.3">
      <c r="AN3923">
        <v>3919</v>
      </c>
      <c r="AO3923" s="11">
        <v>22536.2</v>
      </c>
      <c r="AP3923" s="9">
        <v>3.2327441366825358</v>
      </c>
    </row>
    <row r="3924" spans="40:42" x14ac:dyDescent="0.3">
      <c r="AN3924">
        <v>3920</v>
      </c>
      <c r="AO3924" s="11">
        <v>26720.48</v>
      </c>
      <c r="AP3924" s="9">
        <v>3.5166384471679626</v>
      </c>
    </row>
    <row r="3925" spans="40:42" x14ac:dyDescent="0.3">
      <c r="AN3925">
        <v>3921</v>
      </c>
      <c r="AO3925" s="11">
        <v>18992.11</v>
      </c>
      <c r="AP3925" s="9">
        <v>2.6256342283618337</v>
      </c>
    </row>
    <row r="3926" spans="40:42" x14ac:dyDescent="0.3">
      <c r="AN3926">
        <v>3922</v>
      </c>
      <c r="AO3926" s="11">
        <v>27537.89</v>
      </c>
      <c r="AP3926" s="9">
        <v>3.7654289464408524</v>
      </c>
    </row>
    <row r="3927" spans="40:42" x14ac:dyDescent="0.3">
      <c r="AN3927">
        <v>3923</v>
      </c>
      <c r="AO3927" s="11">
        <v>24082.44</v>
      </c>
      <c r="AP3927" s="9">
        <v>3.5417136319563447</v>
      </c>
    </row>
    <row r="3928" spans="40:42" x14ac:dyDescent="0.3">
      <c r="AN3928">
        <v>3924</v>
      </c>
      <c r="AO3928" s="11">
        <v>40947.68</v>
      </c>
      <c r="AP3928" s="9">
        <v>3.3135682081982596</v>
      </c>
    </row>
    <row r="3929" spans="40:42" x14ac:dyDescent="0.3">
      <c r="AN3929">
        <v>3925</v>
      </c>
      <c r="AO3929" s="11">
        <v>29423.07</v>
      </c>
      <c r="AP3929" s="9">
        <v>4.0154415379665833</v>
      </c>
    </row>
    <row r="3930" spans="40:42" x14ac:dyDescent="0.3">
      <c r="AN3930">
        <v>3926</v>
      </c>
      <c r="AO3930" s="11">
        <v>21644.65</v>
      </c>
      <c r="AP3930" s="9">
        <v>3.1978844011591794</v>
      </c>
    </row>
    <row r="3931" spans="40:42" x14ac:dyDescent="0.3">
      <c r="AN3931">
        <v>3927</v>
      </c>
      <c r="AO3931" s="11">
        <v>39858.870000000003</v>
      </c>
      <c r="AP3931" s="9">
        <v>4.170885110429281</v>
      </c>
    </row>
    <row r="3932" spans="40:42" x14ac:dyDescent="0.3">
      <c r="AN3932">
        <v>3928</v>
      </c>
      <c r="AO3932" s="11">
        <v>28601.07</v>
      </c>
      <c r="AP3932" s="9">
        <v>3.7380926381595456</v>
      </c>
    </row>
    <row r="3933" spans="40:42" x14ac:dyDescent="0.3">
      <c r="AN3933">
        <v>3929</v>
      </c>
      <c r="AO3933" s="11">
        <v>35101.78</v>
      </c>
      <c r="AP3933" s="9">
        <v>3.4201019531400187</v>
      </c>
    </row>
    <row r="3934" spans="40:42" x14ac:dyDescent="0.3">
      <c r="AN3934">
        <v>3930</v>
      </c>
      <c r="AO3934" s="11">
        <v>17427.419999999998</v>
      </c>
      <c r="AP3934" s="9">
        <v>3.4901460126760901</v>
      </c>
    </row>
    <row r="3935" spans="40:42" x14ac:dyDescent="0.3">
      <c r="AN3935">
        <v>3931</v>
      </c>
      <c r="AO3935" s="11">
        <v>30779.06</v>
      </c>
      <c r="AP3935" s="9">
        <v>3.7661542028209647</v>
      </c>
    </row>
    <row r="3936" spans="40:42" x14ac:dyDescent="0.3">
      <c r="AN3936">
        <v>3932</v>
      </c>
      <c r="AO3936" s="11">
        <v>41091.449999999997</v>
      </c>
      <c r="AP3936" s="9">
        <v>3.7513754264137771</v>
      </c>
    </row>
    <row r="3937" spans="40:42" x14ac:dyDescent="0.3">
      <c r="AN3937">
        <v>3933</v>
      </c>
      <c r="AO3937" s="11">
        <v>23279.55</v>
      </c>
      <c r="AP3937" s="9">
        <v>3.0667717666620571</v>
      </c>
    </row>
    <row r="3938" spans="40:42" x14ac:dyDescent="0.3">
      <c r="AN3938">
        <v>3934</v>
      </c>
      <c r="AO3938" s="11">
        <v>28829.4</v>
      </c>
      <c r="AP3938" s="9">
        <v>3.5165723708295449</v>
      </c>
    </row>
    <row r="3939" spans="40:42" x14ac:dyDescent="0.3">
      <c r="AN3939">
        <v>3935</v>
      </c>
      <c r="AO3939" s="11">
        <v>33998.18</v>
      </c>
      <c r="AP3939" s="9">
        <v>3.310585233077469</v>
      </c>
    </row>
    <row r="3940" spans="40:42" x14ac:dyDescent="0.3">
      <c r="AN3940">
        <v>3936</v>
      </c>
      <c r="AO3940" s="11">
        <v>40079.379999999997</v>
      </c>
      <c r="AP3940" s="9">
        <v>3.9017883103163244</v>
      </c>
    </row>
    <row r="3941" spans="40:42" x14ac:dyDescent="0.3">
      <c r="AN3941">
        <v>3937</v>
      </c>
      <c r="AO3941" s="11">
        <v>32001.08</v>
      </c>
      <c r="AP3941" s="9">
        <v>3.4629785128864263</v>
      </c>
    </row>
    <row r="3942" spans="40:42" x14ac:dyDescent="0.3">
      <c r="AN3942">
        <v>3938</v>
      </c>
      <c r="AO3942" s="11">
        <v>24397.5</v>
      </c>
      <c r="AP3942" s="9">
        <v>3.1131542342896461</v>
      </c>
    </row>
    <row r="3943" spans="40:42" x14ac:dyDescent="0.3">
      <c r="AN3943">
        <v>3939</v>
      </c>
      <c r="AO3943" s="11">
        <v>21066.67</v>
      </c>
      <c r="AP3943" s="9">
        <v>3.4804797779110879</v>
      </c>
    </row>
    <row r="3944" spans="40:42" x14ac:dyDescent="0.3">
      <c r="AN3944">
        <v>3940</v>
      </c>
      <c r="AO3944" s="11">
        <v>22323.16</v>
      </c>
      <c r="AP3944" s="9">
        <v>3.2654952743543761</v>
      </c>
    </row>
    <row r="3945" spans="40:42" x14ac:dyDescent="0.3">
      <c r="AN3945">
        <v>3941</v>
      </c>
      <c r="AO3945" s="11">
        <v>20491.689999999999</v>
      </c>
      <c r="AP3945" s="9">
        <v>3.2273140406838219</v>
      </c>
    </row>
    <row r="3946" spans="40:42" x14ac:dyDescent="0.3">
      <c r="AN3946">
        <v>3942</v>
      </c>
      <c r="AO3946" s="11">
        <v>24521.96</v>
      </c>
      <c r="AP3946" s="9">
        <v>3.5205375049735976</v>
      </c>
    </row>
    <row r="3947" spans="40:42" x14ac:dyDescent="0.3">
      <c r="AN3947">
        <v>3943</v>
      </c>
      <c r="AO3947" s="11">
        <v>25517.23</v>
      </c>
      <c r="AP3947" s="9">
        <v>3.5788794868489298</v>
      </c>
    </row>
    <row r="3948" spans="40:42" x14ac:dyDescent="0.3">
      <c r="AN3948">
        <v>3944</v>
      </c>
      <c r="AO3948" s="11">
        <v>17233.95</v>
      </c>
      <c r="AP3948" s="9">
        <v>3.4371414111722762</v>
      </c>
    </row>
    <row r="3949" spans="40:42" x14ac:dyDescent="0.3">
      <c r="AN3949">
        <v>3945</v>
      </c>
      <c r="AO3949" s="11">
        <v>20967.36</v>
      </c>
      <c r="AP3949" s="9">
        <v>2.8830169768000933</v>
      </c>
    </row>
    <row r="3950" spans="40:42" x14ac:dyDescent="0.3">
      <c r="AN3950">
        <v>3946</v>
      </c>
      <c r="AO3950" s="11">
        <v>27546.400000000001</v>
      </c>
      <c r="AP3950" s="9">
        <v>3.2099035084045648</v>
      </c>
    </row>
    <row r="3951" spans="40:42" x14ac:dyDescent="0.3">
      <c r="AN3951">
        <v>3947</v>
      </c>
      <c r="AO3951" s="11">
        <v>26359.07</v>
      </c>
      <c r="AP3951" s="9">
        <v>4.1339342571367137</v>
      </c>
    </row>
    <row r="3952" spans="40:42" x14ac:dyDescent="0.3">
      <c r="AN3952">
        <v>3948</v>
      </c>
      <c r="AO3952" s="11">
        <v>26728.51</v>
      </c>
      <c r="AP3952" s="9">
        <v>3.0597676716518101</v>
      </c>
    </row>
    <row r="3953" spans="40:42" x14ac:dyDescent="0.3">
      <c r="AN3953">
        <v>3949</v>
      </c>
      <c r="AO3953" s="11">
        <v>18101.14</v>
      </c>
      <c r="AP3953" s="9">
        <v>3.3145253646460411</v>
      </c>
    </row>
    <row r="3954" spans="40:42" x14ac:dyDescent="0.3">
      <c r="AN3954">
        <v>3950</v>
      </c>
      <c r="AO3954" s="11">
        <v>18806.52</v>
      </c>
      <c r="AP3954" s="9">
        <v>3.3625669897325028</v>
      </c>
    </row>
    <row r="3955" spans="40:42" x14ac:dyDescent="0.3">
      <c r="AN3955">
        <v>3951</v>
      </c>
      <c r="AO3955" s="11">
        <v>35530.379999999997</v>
      </c>
      <c r="AP3955" s="9">
        <v>3.4636893632824419</v>
      </c>
    </row>
    <row r="3956" spans="40:42" x14ac:dyDescent="0.3">
      <c r="AN3956">
        <v>3952</v>
      </c>
      <c r="AO3956" s="11">
        <v>36942.18</v>
      </c>
      <c r="AP3956" s="9">
        <v>4.1701367891408685</v>
      </c>
    </row>
    <row r="3957" spans="40:42" x14ac:dyDescent="0.3">
      <c r="AN3957">
        <v>3953</v>
      </c>
      <c r="AO3957" s="11">
        <v>24899.65</v>
      </c>
      <c r="AP3957" s="9">
        <v>2.6518397876832656</v>
      </c>
    </row>
    <row r="3958" spans="40:42" x14ac:dyDescent="0.3">
      <c r="AN3958">
        <v>3954</v>
      </c>
      <c r="AO3958" s="11">
        <v>18901.18</v>
      </c>
      <c r="AP3958" s="9">
        <v>2.939907490377033</v>
      </c>
    </row>
    <row r="3959" spans="40:42" x14ac:dyDescent="0.3">
      <c r="AN3959">
        <v>3955</v>
      </c>
      <c r="AO3959" s="11">
        <v>22340.28</v>
      </c>
      <c r="AP3959" s="9">
        <v>3.4344882945157593</v>
      </c>
    </row>
    <row r="3960" spans="40:42" x14ac:dyDescent="0.3">
      <c r="AN3960">
        <v>3956</v>
      </c>
      <c r="AO3960" s="11">
        <v>20408.02</v>
      </c>
      <c r="AP3960" s="9">
        <v>3.8803669103295295</v>
      </c>
    </row>
    <row r="3961" spans="40:42" x14ac:dyDescent="0.3">
      <c r="AN3961">
        <v>3957</v>
      </c>
      <c r="AO3961" s="11">
        <v>33543.31</v>
      </c>
      <c r="AP3961" s="9">
        <v>3.7005603631390218</v>
      </c>
    </row>
    <row r="3962" spans="40:42" x14ac:dyDescent="0.3">
      <c r="AN3962">
        <v>3958</v>
      </c>
      <c r="AO3962" s="11">
        <v>24674.81</v>
      </c>
      <c r="AP3962" s="9">
        <v>3.7941559529802578</v>
      </c>
    </row>
    <row r="3963" spans="40:42" x14ac:dyDescent="0.3">
      <c r="AN3963">
        <v>3959</v>
      </c>
      <c r="AO3963" s="11">
        <v>37494.82</v>
      </c>
      <c r="AP3963" s="9">
        <v>3.8162805795729984</v>
      </c>
    </row>
    <row r="3964" spans="40:42" x14ac:dyDescent="0.3">
      <c r="AN3964">
        <v>3960</v>
      </c>
      <c r="AO3964" s="11">
        <v>27410.19</v>
      </c>
      <c r="AP3964" s="9">
        <v>3.6410273236492472</v>
      </c>
    </row>
    <row r="3965" spans="40:42" x14ac:dyDescent="0.3">
      <c r="AN3965">
        <v>3961</v>
      </c>
      <c r="AO3965" s="11">
        <v>26225.42</v>
      </c>
      <c r="AP3965" s="9">
        <v>3.5438271441909461</v>
      </c>
    </row>
    <row r="3966" spans="40:42" x14ac:dyDescent="0.3">
      <c r="AN3966">
        <v>3962</v>
      </c>
      <c r="AO3966" s="11">
        <v>29136.59</v>
      </c>
      <c r="AP3966" s="9">
        <v>3.7876085604710674</v>
      </c>
    </row>
    <row r="3967" spans="40:42" x14ac:dyDescent="0.3">
      <c r="AN3967">
        <v>3963</v>
      </c>
      <c r="AO3967" s="11">
        <v>30970.46</v>
      </c>
      <c r="AP3967" s="9">
        <v>4.184605642619073</v>
      </c>
    </row>
    <row r="3968" spans="40:42" x14ac:dyDescent="0.3">
      <c r="AN3968">
        <v>3964</v>
      </c>
      <c r="AO3968" s="11">
        <v>23686.01</v>
      </c>
      <c r="AP3968" s="9">
        <v>3.0780792740482275</v>
      </c>
    </row>
    <row r="3969" spans="40:42" x14ac:dyDescent="0.3">
      <c r="AN3969">
        <v>3965</v>
      </c>
      <c r="AO3969" s="11">
        <v>31842.94</v>
      </c>
      <c r="AP3969" s="9">
        <v>4.3054497451369276</v>
      </c>
    </row>
    <row r="3970" spans="40:42" x14ac:dyDescent="0.3">
      <c r="AN3970">
        <v>3966</v>
      </c>
      <c r="AO3970" s="11">
        <v>44391.79</v>
      </c>
      <c r="AP3970" s="9">
        <v>3.4294104422222702</v>
      </c>
    </row>
    <row r="3971" spans="40:42" x14ac:dyDescent="0.3">
      <c r="AN3971">
        <v>3967</v>
      </c>
      <c r="AO3971" s="11">
        <v>29640.51</v>
      </c>
      <c r="AP3971" s="9">
        <v>3.4230439786293063</v>
      </c>
    </row>
    <row r="3972" spans="40:42" x14ac:dyDescent="0.3">
      <c r="AN3972">
        <v>3968</v>
      </c>
      <c r="AO3972" s="11">
        <v>25877.119999999999</v>
      </c>
      <c r="AP3972" s="9">
        <v>3.8318495162818844</v>
      </c>
    </row>
    <row r="3973" spans="40:42" x14ac:dyDescent="0.3">
      <c r="AN3973">
        <v>3969</v>
      </c>
      <c r="AO3973" s="11">
        <v>33855.769999999997</v>
      </c>
      <c r="AP3973" s="9">
        <v>3.2065421514642192</v>
      </c>
    </row>
    <row r="3974" spans="40:42" x14ac:dyDescent="0.3">
      <c r="AN3974">
        <v>3970</v>
      </c>
      <c r="AO3974" s="11">
        <v>19218.23</v>
      </c>
      <c r="AP3974" s="9">
        <v>3.3586321431081481</v>
      </c>
    </row>
    <row r="3975" spans="40:42" x14ac:dyDescent="0.3">
      <c r="AN3975">
        <v>3971</v>
      </c>
      <c r="AO3975" s="11">
        <v>26793.49</v>
      </c>
      <c r="AP3975" s="9">
        <v>3.528267099238422</v>
      </c>
    </row>
    <row r="3976" spans="40:42" x14ac:dyDescent="0.3">
      <c r="AN3976">
        <v>3972</v>
      </c>
      <c r="AO3976" s="11">
        <v>22257.94</v>
      </c>
      <c r="AP3976" s="9">
        <v>3.0369928146308678</v>
      </c>
    </row>
    <row r="3977" spans="40:42" x14ac:dyDescent="0.3">
      <c r="AN3977">
        <v>3973</v>
      </c>
      <c r="AO3977" s="11">
        <v>27425.74</v>
      </c>
      <c r="AP3977" s="9">
        <v>3.0126311960369252</v>
      </c>
    </row>
    <row r="3978" spans="40:42" x14ac:dyDescent="0.3">
      <c r="AN3978">
        <v>3974</v>
      </c>
      <c r="AO3978" s="11">
        <v>22757.61</v>
      </c>
      <c r="AP3978" s="9">
        <v>2.7803260917368293</v>
      </c>
    </row>
    <row r="3979" spans="40:42" x14ac:dyDescent="0.3">
      <c r="AN3979">
        <v>3975</v>
      </c>
      <c r="AO3979" s="11">
        <v>17183.650000000001</v>
      </c>
      <c r="AP3979" s="9">
        <v>3.2468557766684234</v>
      </c>
    </row>
    <row r="3980" spans="40:42" x14ac:dyDescent="0.3">
      <c r="AN3980">
        <v>3976</v>
      </c>
      <c r="AO3980" s="11">
        <v>46224.76</v>
      </c>
      <c r="AP3980" s="9">
        <v>3.8012248238990756</v>
      </c>
    </row>
    <row r="3981" spans="40:42" x14ac:dyDescent="0.3">
      <c r="AN3981">
        <v>3977</v>
      </c>
      <c r="AO3981" s="11">
        <v>31480.07</v>
      </c>
      <c r="AP3981" s="9">
        <v>3.9221177682090587</v>
      </c>
    </row>
    <row r="3982" spans="40:42" x14ac:dyDescent="0.3">
      <c r="AN3982">
        <v>3978</v>
      </c>
      <c r="AO3982" s="11">
        <v>25193.18</v>
      </c>
      <c r="AP3982" s="9">
        <v>3.2991128364033782</v>
      </c>
    </row>
    <row r="3983" spans="40:42" x14ac:dyDescent="0.3">
      <c r="AN3983">
        <v>3979</v>
      </c>
      <c r="AO3983" s="11">
        <v>28898.66</v>
      </c>
      <c r="AP3983" s="9">
        <v>3.1544915149512751</v>
      </c>
    </row>
    <row r="3984" spans="40:42" x14ac:dyDescent="0.3">
      <c r="AN3984">
        <v>3980</v>
      </c>
      <c r="AO3984" s="11">
        <v>32368.31</v>
      </c>
      <c r="AP3984" s="9">
        <v>2.7394673101979983</v>
      </c>
    </row>
    <row r="3985" spans="40:42" x14ac:dyDescent="0.3">
      <c r="AN3985">
        <v>3981</v>
      </c>
      <c r="AO3985" s="11">
        <v>20926.05</v>
      </c>
      <c r="AP3985" s="9">
        <v>2.7174018356429244</v>
      </c>
    </row>
    <row r="3986" spans="40:42" x14ac:dyDescent="0.3">
      <c r="AN3986">
        <v>3982</v>
      </c>
      <c r="AO3986" s="11">
        <v>29071.16</v>
      </c>
      <c r="AP3986" s="9">
        <v>3.2390126241501425</v>
      </c>
    </row>
    <row r="3987" spans="40:42" x14ac:dyDescent="0.3">
      <c r="AN3987">
        <v>3983</v>
      </c>
      <c r="AO3987" s="11">
        <v>17920.07</v>
      </c>
      <c r="AP3987" s="9">
        <v>3.0739367777848856</v>
      </c>
    </row>
    <row r="3988" spans="40:42" x14ac:dyDescent="0.3">
      <c r="AN3988">
        <v>3984</v>
      </c>
      <c r="AO3988" s="11">
        <v>27977.49</v>
      </c>
      <c r="AP3988" s="9">
        <v>3.5624001849031686</v>
      </c>
    </row>
    <row r="3989" spans="40:42" x14ac:dyDescent="0.3">
      <c r="AN3989">
        <v>3985</v>
      </c>
      <c r="AO3989" s="11">
        <v>17591.39</v>
      </c>
      <c r="AP3989" s="9">
        <v>3.5286312756485088</v>
      </c>
    </row>
    <row r="3990" spans="40:42" x14ac:dyDescent="0.3">
      <c r="AN3990">
        <v>3986</v>
      </c>
      <c r="AO3990" s="11">
        <v>36762.01</v>
      </c>
      <c r="AP3990" s="9">
        <v>3.3283121613021023</v>
      </c>
    </row>
    <row r="3991" spans="40:42" x14ac:dyDescent="0.3">
      <c r="AN3991">
        <v>3987</v>
      </c>
      <c r="AO3991" s="11">
        <v>34820.629999999997</v>
      </c>
      <c r="AP3991" s="9">
        <v>3.6014915561381491</v>
      </c>
    </row>
    <row r="3992" spans="40:42" x14ac:dyDescent="0.3">
      <c r="AN3992">
        <v>3988</v>
      </c>
      <c r="AO3992" s="11">
        <v>25198.14</v>
      </c>
      <c r="AP3992" s="9">
        <v>3.189619623563432</v>
      </c>
    </row>
    <row r="3993" spans="40:42" x14ac:dyDescent="0.3">
      <c r="AN3993">
        <v>3989</v>
      </c>
      <c r="AO3993" s="11">
        <v>26851.18</v>
      </c>
      <c r="AP3993" s="9">
        <v>2.8853786377016548</v>
      </c>
    </row>
    <row r="3994" spans="40:42" x14ac:dyDescent="0.3">
      <c r="AN3994">
        <v>3990</v>
      </c>
      <c r="AO3994" s="11">
        <v>14853</v>
      </c>
      <c r="AP3994" s="9">
        <v>3.3490537860261931</v>
      </c>
    </row>
    <row r="3995" spans="40:42" x14ac:dyDescent="0.3">
      <c r="AN3995">
        <v>3991</v>
      </c>
      <c r="AO3995" s="11">
        <v>26582.34</v>
      </c>
      <c r="AP3995" s="9">
        <v>3.5587514079394862</v>
      </c>
    </row>
    <row r="3996" spans="40:42" x14ac:dyDescent="0.3">
      <c r="AN3996">
        <v>3992</v>
      </c>
      <c r="AO3996" s="11">
        <v>17149.18</v>
      </c>
      <c r="AP3996" s="9">
        <v>2.6446771893020222</v>
      </c>
    </row>
    <row r="3997" spans="40:42" x14ac:dyDescent="0.3">
      <c r="AN3997">
        <v>3993</v>
      </c>
      <c r="AO3997" s="11">
        <v>29241.38</v>
      </c>
      <c r="AP3997" s="9">
        <v>3.2413077038477955</v>
      </c>
    </row>
    <row r="3998" spans="40:42" x14ac:dyDescent="0.3">
      <c r="AN3998">
        <v>3994</v>
      </c>
      <c r="AO3998" s="11">
        <v>24290.47</v>
      </c>
      <c r="AP3998" s="9">
        <v>3.0826652208057164</v>
      </c>
    </row>
    <row r="3999" spans="40:42" x14ac:dyDescent="0.3">
      <c r="AN3999">
        <v>3995</v>
      </c>
      <c r="AO3999" s="11">
        <v>26253.599999999999</v>
      </c>
      <c r="AP3999" s="9">
        <v>3.109624508095751</v>
      </c>
    </row>
    <row r="4000" spans="40:42" x14ac:dyDescent="0.3">
      <c r="AN4000">
        <v>3996</v>
      </c>
      <c r="AO4000" s="11">
        <v>31598.880000000001</v>
      </c>
      <c r="AP4000" s="9">
        <v>3.4811914166454647</v>
      </c>
    </row>
    <row r="4001" spans="40:42" x14ac:dyDescent="0.3">
      <c r="AN4001">
        <v>3997</v>
      </c>
      <c r="AO4001" s="11">
        <v>28079.89</v>
      </c>
      <c r="AP4001" s="9">
        <v>3.2363727347649016</v>
      </c>
    </row>
    <row r="4002" spans="40:42" x14ac:dyDescent="0.3">
      <c r="AN4002">
        <v>3998</v>
      </c>
      <c r="AO4002" s="11">
        <v>22159.59</v>
      </c>
      <c r="AP4002" s="9">
        <v>3.4888008646420845</v>
      </c>
    </row>
    <row r="4003" spans="40:42" x14ac:dyDescent="0.3">
      <c r="AN4003">
        <v>3999</v>
      </c>
      <c r="AO4003" s="11">
        <v>30062.02</v>
      </c>
      <c r="AP4003" s="9">
        <v>3.5886249236726848</v>
      </c>
    </row>
    <row r="4004" spans="40:42" x14ac:dyDescent="0.3">
      <c r="AN4004">
        <v>4000</v>
      </c>
      <c r="AO4004" s="11">
        <v>32360.23</v>
      </c>
      <c r="AP4004" s="9">
        <v>2.760523593336984</v>
      </c>
    </row>
    <row r="4005" spans="40:42" x14ac:dyDescent="0.3">
      <c r="AN4005">
        <v>4001</v>
      </c>
      <c r="AO4005" s="11">
        <v>22437.7</v>
      </c>
      <c r="AP4005" s="9">
        <v>3.2491886276613702</v>
      </c>
    </row>
    <row r="4006" spans="40:42" x14ac:dyDescent="0.3">
      <c r="AN4006">
        <v>4002</v>
      </c>
      <c r="AO4006" s="11">
        <v>19228.849999999999</v>
      </c>
      <c r="AP4006" s="9">
        <v>2.6847885013636907</v>
      </c>
    </row>
    <row r="4007" spans="40:42" x14ac:dyDescent="0.3">
      <c r="AN4007">
        <v>4003</v>
      </c>
      <c r="AO4007" s="11">
        <v>28051.43</v>
      </c>
      <c r="AP4007" s="9">
        <v>3.8494495551416335</v>
      </c>
    </row>
    <row r="4008" spans="40:42" x14ac:dyDescent="0.3">
      <c r="AN4008">
        <v>4004</v>
      </c>
      <c r="AO4008" s="11">
        <v>29144.2</v>
      </c>
      <c r="AP4008" s="9">
        <v>2.8074044858832612</v>
      </c>
    </row>
    <row r="4009" spans="40:42" x14ac:dyDescent="0.3">
      <c r="AN4009">
        <v>4005</v>
      </c>
      <c r="AO4009" s="11">
        <v>34687.519999999997</v>
      </c>
      <c r="AP4009" s="9">
        <v>3.0306484126053581</v>
      </c>
    </row>
    <row r="4010" spans="40:42" x14ac:dyDescent="0.3">
      <c r="AN4010">
        <v>4006</v>
      </c>
      <c r="AO4010" s="11">
        <v>35464.949999999997</v>
      </c>
      <c r="AP4010" s="9">
        <v>3.3014453202809317</v>
      </c>
    </row>
    <row r="4011" spans="40:42" x14ac:dyDescent="0.3">
      <c r="AN4011">
        <v>4007</v>
      </c>
      <c r="AO4011" s="11">
        <v>24901.64</v>
      </c>
      <c r="AP4011" s="9">
        <v>4.0197382655672289</v>
      </c>
    </row>
    <row r="4012" spans="40:42" x14ac:dyDescent="0.3">
      <c r="AN4012">
        <v>4008</v>
      </c>
      <c r="AO4012" s="11">
        <v>26373.21</v>
      </c>
      <c r="AP4012" s="9">
        <v>2.6173353117790308</v>
      </c>
    </row>
    <row r="4013" spans="40:42" x14ac:dyDescent="0.3">
      <c r="AN4013">
        <v>4009</v>
      </c>
      <c r="AO4013" s="11">
        <v>18859.73</v>
      </c>
      <c r="AP4013" s="9">
        <v>3.1403581002210821</v>
      </c>
    </row>
    <row r="4014" spans="40:42" x14ac:dyDescent="0.3">
      <c r="AN4014">
        <v>4010</v>
      </c>
      <c r="AO4014" s="11">
        <v>17032.099999999999</v>
      </c>
      <c r="AP4014" s="9">
        <v>3.1268653401290503</v>
      </c>
    </row>
    <row r="4015" spans="40:42" x14ac:dyDescent="0.3">
      <c r="AN4015">
        <v>4011</v>
      </c>
      <c r="AO4015" s="11">
        <v>33724.959999999999</v>
      </c>
      <c r="AP4015" s="9">
        <v>3.1239170355715467</v>
      </c>
    </row>
    <row r="4016" spans="40:42" x14ac:dyDescent="0.3">
      <c r="AN4016">
        <v>4012</v>
      </c>
      <c r="AO4016" s="11">
        <v>21409.46</v>
      </c>
      <c r="AP4016" s="9">
        <v>3.4826252007377363</v>
      </c>
    </row>
    <row r="4017" spans="40:42" x14ac:dyDescent="0.3">
      <c r="AN4017">
        <v>4013</v>
      </c>
      <c r="AO4017" s="11">
        <v>25821.34</v>
      </c>
      <c r="AP4017" s="9">
        <v>2.5711040753898149</v>
      </c>
    </row>
    <row r="4018" spans="40:42" x14ac:dyDescent="0.3">
      <c r="AN4018">
        <v>4014</v>
      </c>
      <c r="AO4018" s="11">
        <v>18810.919999999998</v>
      </c>
      <c r="AP4018" s="9">
        <v>3.4121117176484757</v>
      </c>
    </row>
    <row r="4019" spans="40:42" x14ac:dyDescent="0.3">
      <c r="AN4019">
        <v>4015</v>
      </c>
      <c r="AO4019" s="11">
        <v>23450.73</v>
      </c>
      <c r="AP4019" s="9">
        <v>3.5090330305534749</v>
      </c>
    </row>
    <row r="4020" spans="40:42" x14ac:dyDescent="0.3">
      <c r="AN4020">
        <v>4016</v>
      </c>
      <c r="AO4020" s="11">
        <v>27736.87</v>
      </c>
      <c r="AP4020" s="9">
        <v>2.9773679760459739</v>
      </c>
    </row>
    <row r="4021" spans="40:42" x14ac:dyDescent="0.3">
      <c r="AN4021">
        <v>4017</v>
      </c>
      <c r="AO4021" s="11">
        <v>29769.03</v>
      </c>
      <c r="AP4021" s="9">
        <v>3.2686402431441768</v>
      </c>
    </row>
    <row r="4022" spans="40:42" x14ac:dyDescent="0.3">
      <c r="AN4022">
        <v>4018</v>
      </c>
      <c r="AO4022" s="11">
        <v>30645.38</v>
      </c>
      <c r="AP4022" s="9">
        <v>3.1366113035884444</v>
      </c>
    </row>
    <row r="4023" spans="40:42" x14ac:dyDescent="0.3">
      <c r="AN4023">
        <v>4019</v>
      </c>
      <c r="AO4023" s="11">
        <v>36164.35</v>
      </c>
      <c r="AP4023" s="9">
        <v>3.3073951033102267</v>
      </c>
    </row>
    <row r="4024" spans="40:42" x14ac:dyDescent="0.3">
      <c r="AN4024">
        <v>4020</v>
      </c>
      <c r="AO4024" s="11">
        <v>31624.91</v>
      </c>
      <c r="AP4024" s="9">
        <v>3.4681232942556988</v>
      </c>
    </row>
    <row r="4025" spans="40:42" x14ac:dyDescent="0.3">
      <c r="AN4025">
        <v>4021</v>
      </c>
      <c r="AO4025" s="11">
        <v>20596.57</v>
      </c>
      <c r="AP4025" s="9">
        <v>3.0188478536590906</v>
      </c>
    </row>
    <row r="4026" spans="40:42" x14ac:dyDescent="0.3">
      <c r="AN4026">
        <v>4022</v>
      </c>
      <c r="AO4026" s="11">
        <v>19600.3</v>
      </c>
      <c r="AP4026" s="9">
        <v>2.7866525779511413</v>
      </c>
    </row>
    <row r="4027" spans="40:42" x14ac:dyDescent="0.3">
      <c r="AN4027">
        <v>4023</v>
      </c>
      <c r="AO4027" s="11">
        <v>27437.94</v>
      </c>
      <c r="AP4027" s="9">
        <v>3.6243016895526923</v>
      </c>
    </row>
    <row r="4028" spans="40:42" x14ac:dyDescent="0.3">
      <c r="AN4028">
        <v>4024</v>
      </c>
      <c r="AO4028" s="11">
        <v>27581.439999999999</v>
      </c>
      <c r="AP4028" s="9">
        <v>3.394269519699276</v>
      </c>
    </row>
    <row r="4029" spans="40:42" x14ac:dyDescent="0.3">
      <c r="AN4029">
        <v>4025</v>
      </c>
      <c r="AO4029" s="11">
        <v>28346.6</v>
      </c>
      <c r="AP4029" s="9">
        <v>3.8758242371240175</v>
      </c>
    </row>
    <row r="4030" spans="40:42" x14ac:dyDescent="0.3">
      <c r="AN4030">
        <v>4026</v>
      </c>
      <c r="AO4030" s="11">
        <v>15339.14</v>
      </c>
      <c r="AP4030" s="9">
        <v>2.8103993363346089</v>
      </c>
    </row>
    <row r="4031" spans="40:42" x14ac:dyDescent="0.3">
      <c r="AN4031">
        <v>4027</v>
      </c>
      <c r="AO4031" s="11">
        <v>25148.01</v>
      </c>
      <c r="AP4031" s="9">
        <v>3.0230574128916436</v>
      </c>
    </row>
    <row r="4032" spans="40:42" x14ac:dyDescent="0.3">
      <c r="AN4032">
        <v>4028</v>
      </c>
      <c r="AO4032" s="11">
        <v>23365.040000000001</v>
      </c>
      <c r="AP4032" s="9">
        <v>2.9829436093479491</v>
      </c>
    </row>
    <row r="4033" spans="40:42" x14ac:dyDescent="0.3">
      <c r="AN4033">
        <v>4029</v>
      </c>
      <c r="AO4033" s="11">
        <v>41551.4</v>
      </c>
      <c r="AP4033" s="9">
        <v>3.7669160788891265</v>
      </c>
    </row>
    <row r="4034" spans="40:42" x14ac:dyDescent="0.3">
      <c r="AN4034">
        <v>4030</v>
      </c>
      <c r="AO4034" s="11">
        <v>21361.08</v>
      </c>
      <c r="AP4034" s="9">
        <v>3.120858551717911</v>
      </c>
    </row>
    <row r="4035" spans="40:42" x14ac:dyDescent="0.3">
      <c r="AN4035">
        <v>4031</v>
      </c>
      <c r="AO4035" s="11">
        <v>28710.93</v>
      </c>
      <c r="AP4035" s="9">
        <v>3.578864769697319</v>
      </c>
    </row>
    <row r="4036" spans="40:42" x14ac:dyDescent="0.3">
      <c r="AN4036">
        <v>4032</v>
      </c>
      <c r="AO4036" s="11">
        <v>23533.78</v>
      </c>
      <c r="AP4036" s="9">
        <v>3.0016766842310849</v>
      </c>
    </row>
    <row r="4037" spans="40:42" x14ac:dyDescent="0.3">
      <c r="AN4037">
        <v>4033</v>
      </c>
      <c r="AO4037" s="11">
        <v>39155.019999999997</v>
      </c>
      <c r="AP4037" s="9">
        <v>3.9138157188600884</v>
      </c>
    </row>
    <row r="4038" spans="40:42" x14ac:dyDescent="0.3">
      <c r="AN4038">
        <v>4034</v>
      </c>
      <c r="AO4038" s="11">
        <v>17420.32</v>
      </c>
      <c r="AP4038" s="9">
        <v>3.0942385668148313</v>
      </c>
    </row>
    <row r="4039" spans="40:42" x14ac:dyDescent="0.3">
      <c r="AN4039">
        <v>4035</v>
      </c>
      <c r="AO4039" s="11">
        <v>16812.13</v>
      </c>
      <c r="AP4039" s="9">
        <v>2.8851161293808372</v>
      </c>
    </row>
    <row r="4040" spans="40:42" x14ac:dyDescent="0.3">
      <c r="AN4040">
        <v>4036</v>
      </c>
      <c r="AO4040" s="11">
        <v>21727.29</v>
      </c>
      <c r="AP4040" s="9">
        <v>3.1355162200014091</v>
      </c>
    </row>
    <row r="4041" spans="40:42" x14ac:dyDescent="0.3">
      <c r="AN4041">
        <v>4037</v>
      </c>
      <c r="AO4041" s="11">
        <v>18877.990000000002</v>
      </c>
      <c r="AP4041" s="9">
        <v>2.968092119575144</v>
      </c>
    </row>
    <row r="4042" spans="40:42" x14ac:dyDescent="0.3">
      <c r="AN4042">
        <v>4038</v>
      </c>
      <c r="AO4042" s="11">
        <v>14610.08</v>
      </c>
      <c r="AP4042" s="9">
        <v>3.3796475766599956</v>
      </c>
    </row>
    <row r="4043" spans="40:42" x14ac:dyDescent="0.3">
      <c r="AN4043">
        <v>4039</v>
      </c>
      <c r="AO4043" s="11">
        <v>18189.650000000001</v>
      </c>
      <c r="AP4043" s="9">
        <v>2.9120974128238921</v>
      </c>
    </row>
    <row r="4044" spans="40:42" x14ac:dyDescent="0.3">
      <c r="AN4044">
        <v>4040</v>
      </c>
      <c r="AO4044" s="11">
        <v>23466.14</v>
      </c>
      <c r="AP4044" s="9">
        <v>3.196113530646755</v>
      </c>
    </row>
    <row r="4045" spans="40:42" x14ac:dyDescent="0.3">
      <c r="AN4045">
        <v>4041</v>
      </c>
      <c r="AO4045" s="11">
        <v>26705.96</v>
      </c>
      <c r="AP4045" s="9">
        <v>3.0681210741433671</v>
      </c>
    </row>
    <row r="4046" spans="40:42" x14ac:dyDescent="0.3">
      <c r="AN4046">
        <v>4042</v>
      </c>
      <c r="AO4046" s="11">
        <v>29001.96</v>
      </c>
      <c r="AP4046" s="9">
        <v>3.2678597183825029</v>
      </c>
    </row>
    <row r="4047" spans="40:42" x14ac:dyDescent="0.3">
      <c r="AN4047">
        <v>4043</v>
      </c>
      <c r="AO4047" s="11">
        <v>29038.77</v>
      </c>
      <c r="AP4047" s="9">
        <v>3.1311550191914566</v>
      </c>
    </row>
    <row r="4048" spans="40:42" x14ac:dyDescent="0.3">
      <c r="AN4048">
        <v>4044</v>
      </c>
      <c r="AO4048" s="11">
        <v>29071.08</v>
      </c>
      <c r="AP4048" s="9">
        <v>3.6132984900615979</v>
      </c>
    </row>
    <row r="4049" spans="40:42" x14ac:dyDescent="0.3">
      <c r="AN4049">
        <v>4045</v>
      </c>
      <c r="AO4049" s="11">
        <v>19487.25</v>
      </c>
      <c r="AP4049" s="9">
        <v>3.915500702381379</v>
      </c>
    </row>
    <row r="4050" spans="40:42" x14ac:dyDescent="0.3">
      <c r="AN4050">
        <v>4046</v>
      </c>
      <c r="AO4050" s="11">
        <v>14687.49</v>
      </c>
      <c r="AP4050" s="9">
        <v>2.9689683695754927</v>
      </c>
    </row>
    <row r="4051" spans="40:42" x14ac:dyDescent="0.3">
      <c r="AN4051">
        <v>4047</v>
      </c>
      <c r="AO4051" s="11">
        <v>37280.019999999997</v>
      </c>
      <c r="AP4051" s="9">
        <v>3.3579491448452456</v>
      </c>
    </row>
    <row r="4052" spans="40:42" x14ac:dyDescent="0.3">
      <c r="AN4052">
        <v>4048</v>
      </c>
      <c r="AO4052" s="11">
        <v>22851.42</v>
      </c>
      <c r="AP4052" s="9">
        <v>3.4711601139821138</v>
      </c>
    </row>
    <row r="4053" spans="40:42" x14ac:dyDescent="0.3">
      <c r="AN4053">
        <v>4049</v>
      </c>
      <c r="AO4053" s="11">
        <v>25375.99</v>
      </c>
      <c r="AP4053" s="9">
        <v>3.391734364134837</v>
      </c>
    </row>
    <row r="4054" spans="40:42" x14ac:dyDescent="0.3">
      <c r="AN4054">
        <v>4050</v>
      </c>
      <c r="AO4054" s="11">
        <v>27448.36</v>
      </c>
      <c r="AP4054" s="9">
        <v>2.9601756371225214</v>
      </c>
    </row>
    <row r="4055" spans="40:42" x14ac:dyDescent="0.3">
      <c r="AN4055">
        <v>4051</v>
      </c>
      <c r="AO4055" s="11">
        <v>20570.669999999998</v>
      </c>
      <c r="AP4055" s="9">
        <v>3.52287159983142</v>
      </c>
    </row>
    <row r="4056" spans="40:42" x14ac:dyDescent="0.3">
      <c r="AN4056">
        <v>4052</v>
      </c>
      <c r="AO4056" s="11">
        <v>24293.200000000001</v>
      </c>
      <c r="AP4056" s="9">
        <v>3.6778020049231337</v>
      </c>
    </row>
    <row r="4057" spans="40:42" x14ac:dyDescent="0.3">
      <c r="AN4057">
        <v>4053</v>
      </c>
      <c r="AO4057" s="11">
        <v>22898.23</v>
      </c>
      <c r="AP4057" s="9">
        <v>2.9689807630607303</v>
      </c>
    </row>
    <row r="4058" spans="40:42" x14ac:dyDescent="0.3">
      <c r="AN4058">
        <v>4054</v>
      </c>
      <c r="AO4058" s="11">
        <v>30655.21</v>
      </c>
      <c r="AP4058" s="9">
        <v>3.5355825026582184</v>
      </c>
    </row>
    <row r="4059" spans="40:42" x14ac:dyDescent="0.3">
      <c r="AN4059">
        <v>4055</v>
      </c>
      <c r="AO4059" s="11">
        <v>20907.78</v>
      </c>
      <c r="AP4059" s="9">
        <v>2.8284291241622639</v>
      </c>
    </row>
    <row r="4060" spans="40:42" x14ac:dyDescent="0.3">
      <c r="AN4060">
        <v>4056</v>
      </c>
      <c r="AO4060" s="11">
        <v>28852.06</v>
      </c>
      <c r="AP4060" s="9">
        <v>3.2888336844635977</v>
      </c>
    </row>
    <row r="4061" spans="40:42" x14ac:dyDescent="0.3">
      <c r="AN4061">
        <v>4057</v>
      </c>
      <c r="AO4061" s="11">
        <v>33259.64</v>
      </c>
      <c r="AP4061" s="9">
        <v>3.6632231264920256</v>
      </c>
    </row>
    <row r="4062" spans="40:42" x14ac:dyDescent="0.3">
      <c r="AN4062">
        <v>4058</v>
      </c>
      <c r="AO4062" s="11">
        <v>24134.29</v>
      </c>
      <c r="AP4062" s="9">
        <v>3.5698511833550111</v>
      </c>
    </row>
    <row r="4063" spans="40:42" x14ac:dyDescent="0.3">
      <c r="AN4063">
        <v>4059</v>
      </c>
      <c r="AO4063" s="11">
        <v>17477.68</v>
      </c>
      <c r="AP4063" s="9">
        <v>3.3588473323563344</v>
      </c>
    </row>
    <row r="4064" spans="40:42" x14ac:dyDescent="0.3">
      <c r="AN4064">
        <v>4060</v>
      </c>
      <c r="AO4064" s="11">
        <v>22816.28</v>
      </c>
      <c r="AP4064" s="9">
        <v>2.9624046694083841</v>
      </c>
    </row>
    <row r="4065" spans="40:42" x14ac:dyDescent="0.3">
      <c r="AN4065">
        <v>4061</v>
      </c>
      <c r="AO4065" s="11">
        <v>34628.46</v>
      </c>
      <c r="AP4065" s="9">
        <v>3.6915511414700863</v>
      </c>
    </row>
    <row r="4066" spans="40:42" x14ac:dyDescent="0.3">
      <c r="AN4066">
        <v>4062</v>
      </c>
      <c r="AO4066" s="11">
        <v>19512.240000000002</v>
      </c>
      <c r="AP4066" s="9">
        <v>3.1293741014596095</v>
      </c>
    </row>
    <row r="4067" spans="40:42" x14ac:dyDescent="0.3">
      <c r="AN4067">
        <v>4063</v>
      </c>
      <c r="AO4067" s="11">
        <v>20758.060000000001</v>
      </c>
      <c r="AP4067" s="9">
        <v>2.8884214233016334</v>
      </c>
    </row>
    <row r="4068" spans="40:42" x14ac:dyDescent="0.3">
      <c r="AN4068">
        <v>4064</v>
      </c>
      <c r="AO4068" s="11">
        <v>28281.66</v>
      </c>
      <c r="AP4068" s="9">
        <v>3.7631642438434425</v>
      </c>
    </row>
    <row r="4069" spans="40:42" x14ac:dyDescent="0.3">
      <c r="AN4069">
        <v>4065</v>
      </c>
      <c r="AO4069" s="11">
        <v>24691.53</v>
      </c>
      <c r="AP4069" s="9">
        <v>3.1888732404999307</v>
      </c>
    </row>
    <row r="4070" spans="40:42" x14ac:dyDescent="0.3">
      <c r="AN4070">
        <v>4066</v>
      </c>
      <c r="AO4070" s="11">
        <v>22639.86</v>
      </c>
      <c r="AP4070" s="9">
        <v>3.1743855906662155</v>
      </c>
    </row>
    <row r="4071" spans="40:42" x14ac:dyDescent="0.3">
      <c r="AN4071">
        <v>4067</v>
      </c>
      <c r="AO4071" s="11">
        <v>30437.73</v>
      </c>
      <c r="AP4071" s="9">
        <v>3.2733933061102181</v>
      </c>
    </row>
    <row r="4072" spans="40:42" x14ac:dyDescent="0.3">
      <c r="AN4072">
        <v>4068</v>
      </c>
      <c r="AO4072" s="11">
        <v>28792.25</v>
      </c>
      <c r="AP4072" s="9">
        <v>3.499340379125834</v>
      </c>
    </row>
    <row r="4073" spans="40:42" x14ac:dyDescent="0.3">
      <c r="AN4073">
        <v>4069</v>
      </c>
      <c r="AO4073" s="11">
        <v>17197.990000000002</v>
      </c>
      <c r="AP4073" s="9">
        <v>3.0920375486906524</v>
      </c>
    </row>
    <row r="4074" spans="40:42" x14ac:dyDescent="0.3">
      <c r="AN4074">
        <v>4070</v>
      </c>
      <c r="AO4074" s="11">
        <v>23348.57</v>
      </c>
      <c r="AP4074" s="9">
        <v>2.9306936902637233</v>
      </c>
    </row>
    <row r="4075" spans="40:42" x14ac:dyDescent="0.3">
      <c r="AN4075">
        <v>4071</v>
      </c>
      <c r="AO4075" s="11">
        <v>39361.5</v>
      </c>
      <c r="AP4075" s="9">
        <v>3.6694009526802041</v>
      </c>
    </row>
    <row r="4076" spans="40:42" x14ac:dyDescent="0.3">
      <c r="AN4076">
        <v>4072</v>
      </c>
      <c r="AO4076" s="11">
        <v>28617.82</v>
      </c>
      <c r="AP4076" s="9">
        <v>3.0646098448261365</v>
      </c>
    </row>
    <row r="4077" spans="40:42" x14ac:dyDescent="0.3">
      <c r="AN4077">
        <v>4073</v>
      </c>
      <c r="AO4077" s="11">
        <v>45234.92</v>
      </c>
      <c r="AP4077" s="9">
        <v>4.588842746091836</v>
      </c>
    </row>
    <row r="4078" spans="40:42" x14ac:dyDescent="0.3">
      <c r="AN4078">
        <v>4074</v>
      </c>
      <c r="AO4078" s="11">
        <v>28782.17</v>
      </c>
      <c r="AP4078" s="9">
        <v>3.5840809614588687</v>
      </c>
    </row>
    <row r="4079" spans="40:42" x14ac:dyDescent="0.3">
      <c r="AN4079">
        <v>4075</v>
      </c>
      <c r="AO4079" s="11">
        <v>31070.17</v>
      </c>
      <c r="AP4079" s="9">
        <v>3.5385032921530244</v>
      </c>
    </row>
    <row r="4080" spans="40:42" x14ac:dyDescent="0.3">
      <c r="AN4080">
        <v>4076</v>
      </c>
      <c r="AO4080" s="11">
        <v>25606.39</v>
      </c>
      <c r="AP4080" s="9">
        <v>3.2807079698325996</v>
      </c>
    </row>
    <row r="4081" spans="40:42" x14ac:dyDescent="0.3">
      <c r="AN4081">
        <v>4077</v>
      </c>
      <c r="AO4081" s="11">
        <v>18958.03</v>
      </c>
      <c r="AP4081" s="9">
        <v>3.1828958586105425</v>
      </c>
    </row>
    <row r="4082" spans="40:42" x14ac:dyDescent="0.3">
      <c r="AN4082">
        <v>4078</v>
      </c>
      <c r="AO4082" s="11">
        <v>21721.67</v>
      </c>
      <c r="AP4082" s="9">
        <v>3.2679851453492064</v>
      </c>
    </row>
    <row r="4083" spans="40:42" x14ac:dyDescent="0.3">
      <c r="AN4083">
        <v>4079</v>
      </c>
      <c r="AO4083" s="11">
        <v>34286.879999999997</v>
      </c>
      <c r="AP4083" s="9">
        <v>4.3207691545625346</v>
      </c>
    </row>
    <row r="4084" spans="40:42" x14ac:dyDescent="0.3">
      <c r="AN4084">
        <v>4080</v>
      </c>
      <c r="AO4084" s="11">
        <v>30120.36</v>
      </c>
      <c r="AP4084" s="9">
        <v>3.1714174302227858</v>
      </c>
    </row>
    <row r="4085" spans="40:42" x14ac:dyDescent="0.3">
      <c r="AN4085">
        <v>4081</v>
      </c>
      <c r="AO4085" s="11">
        <v>17898.669999999998</v>
      </c>
      <c r="AP4085" s="9">
        <v>3.1767076546129025</v>
      </c>
    </row>
    <row r="4086" spans="40:42" x14ac:dyDescent="0.3">
      <c r="AN4086">
        <v>4082</v>
      </c>
      <c r="AO4086" s="11">
        <v>34697.730000000003</v>
      </c>
      <c r="AP4086" s="9">
        <v>3.8424481835010669</v>
      </c>
    </row>
    <row r="4087" spans="40:42" x14ac:dyDescent="0.3">
      <c r="AN4087">
        <v>4083</v>
      </c>
      <c r="AO4087" s="11">
        <v>48017.89</v>
      </c>
      <c r="AP4087" s="9">
        <v>3.6908753526606604</v>
      </c>
    </row>
    <row r="4088" spans="40:42" x14ac:dyDescent="0.3">
      <c r="AN4088">
        <v>4084</v>
      </c>
      <c r="AO4088" s="11">
        <v>26762.32</v>
      </c>
      <c r="AP4088" s="9">
        <v>3.5000111266356195</v>
      </c>
    </row>
    <row r="4089" spans="40:42" x14ac:dyDescent="0.3">
      <c r="AN4089">
        <v>4085</v>
      </c>
      <c r="AO4089" s="11">
        <v>23900.04</v>
      </c>
      <c r="AP4089" s="9">
        <v>3.4055903969128507</v>
      </c>
    </row>
    <row r="4090" spans="40:42" x14ac:dyDescent="0.3">
      <c r="AN4090">
        <v>4086</v>
      </c>
      <c r="AO4090" s="11">
        <v>21892.58</v>
      </c>
      <c r="AP4090" s="9">
        <v>3.1046775183550097</v>
      </c>
    </row>
    <row r="4091" spans="40:42" x14ac:dyDescent="0.3">
      <c r="AN4091">
        <v>4087</v>
      </c>
      <c r="AO4091" s="11">
        <v>25316.53</v>
      </c>
      <c r="AP4091" s="9">
        <v>3.5005011579239071</v>
      </c>
    </row>
    <row r="4092" spans="40:42" x14ac:dyDescent="0.3">
      <c r="AN4092">
        <v>4088</v>
      </c>
      <c r="AO4092" s="11">
        <v>40374.97</v>
      </c>
      <c r="AP4092" s="9">
        <v>3.9630604432305874</v>
      </c>
    </row>
    <row r="4093" spans="40:42" x14ac:dyDescent="0.3">
      <c r="AN4093">
        <v>4089</v>
      </c>
      <c r="AO4093" s="11">
        <v>26399.23</v>
      </c>
      <c r="AP4093" s="9">
        <v>2.9352787624952374</v>
      </c>
    </row>
    <row r="4094" spans="40:42" x14ac:dyDescent="0.3">
      <c r="AN4094">
        <v>4090</v>
      </c>
      <c r="AO4094" s="11">
        <v>31688.01</v>
      </c>
      <c r="AP4094" s="9">
        <v>3.0221150677446711</v>
      </c>
    </row>
    <row r="4095" spans="40:42" x14ac:dyDescent="0.3">
      <c r="AN4095">
        <v>4091</v>
      </c>
      <c r="AO4095" s="11">
        <v>26018.14</v>
      </c>
      <c r="AP4095" s="9">
        <v>3.504442552275012</v>
      </c>
    </row>
    <row r="4096" spans="40:42" x14ac:dyDescent="0.3">
      <c r="AN4096">
        <v>4092</v>
      </c>
      <c r="AO4096" s="11">
        <v>33599.760000000002</v>
      </c>
      <c r="AP4096" s="9">
        <v>3.9000417947658437</v>
      </c>
    </row>
    <row r="4097" spans="40:42" x14ac:dyDescent="0.3">
      <c r="AN4097">
        <v>4093</v>
      </c>
      <c r="AO4097" s="11">
        <v>20377.57</v>
      </c>
      <c r="AP4097" s="9">
        <v>3.0334573634453381</v>
      </c>
    </row>
    <row r="4098" spans="40:42" x14ac:dyDescent="0.3">
      <c r="AN4098">
        <v>4094</v>
      </c>
      <c r="AO4098" s="11">
        <v>21061.27</v>
      </c>
      <c r="AP4098" s="9">
        <v>3.156583006988158</v>
      </c>
    </row>
    <row r="4099" spans="40:42" x14ac:dyDescent="0.3">
      <c r="AN4099">
        <v>4095</v>
      </c>
      <c r="AO4099" s="11">
        <v>18472.759999999998</v>
      </c>
      <c r="AP4099" s="9">
        <v>3.9145942439417971</v>
      </c>
    </row>
    <row r="4100" spans="40:42" x14ac:dyDescent="0.3">
      <c r="AN4100">
        <v>4096</v>
      </c>
      <c r="AO4100" s="11">
        <v>23823.17</v>
      </c>
      <c r="AP4100" s="9">
        <v>3.2465065070626555</v>
      </c>
    </row>
    <row r="4101" spans="40:42" x14ac:dyDescent="0.3">
      <c r="AN4101">
        <v>4097</v>
      </c>
      <c r="AO4101" s="11">
        <v>29510.11</v>
      </c>
      <c r="AP4101" s="9">
        <v>3.5946819342312186</v>
      </c>
    </row>
    <row r="4102" spans="40:42" x14ac:dyDescent="0.3">
      <c r="AN4102">
        <v>4098</v>
      </c>
      <c r="AO4102" s="11">
        <v>29107.55</v>
      </c>
      <c r="AP4102" s="9">
        <v>3.2363429748358272</v>
      </c>
    </row>
    <row r="4103" spans="40:42" x14ac:dyDescent="0.3">
      <c r="AN4103">
        <v>4099</v>
      </c>
      <c r="AO4103" s="11">
        <v>23790.15</v>
      </c>
      <c r="AP4103" s="9">
        <v>3.4636852085102277</v>
      </c>
    </row>
    <row r="4104" spans="40:42" x14ac:dyDescent="0.3">
      <c r="AN4104">
        <v>4100</v>
      </c>
      <c r="AO4104" s="11">
        <v>34210.370000000003</v>
      </c>
      <c r="AP4104" s="9">
        <v>3.5707645383349855</v>
      </c>
    </row>
    <row r="4105" spans="40:42" x14ac:dyDescent="0.3">
      <c r="AN4105">
        <v>4101</v>
      </c>
      <c r="AO4105" s="11">
        <v>34980.69</v>
      </c>
      <c r="AP4105" s="9">
        <v>3.4034637627383741</v>
      </c>
    </row>
    <row r="4106" spans="40:42" x14ac:dyDescent="0.3">
      <c r="AN4106">
        <v>4102</v>
      </c>
      <c r="AO4106" s="11">
        <v>31078.04</v>
      </c>
      <c r="AP4106" s="9">
        <v>3.9752686510964077</v>
      </c>
    </row>
    <row r="4107" spans="40:42" x14ac:dyDescent="0.3">
      <c r="AN4107">
        <v>4103</v>
      </c>
      <c r="AO4107" s="11">
        <v>23109.3</v>
      </c>
      <c r="AP4107" s="9">
        <v>3.3657698723149125</v>
      </c>
    </row>
    <row r="4108" spans="40:42" x14ac:dyDescent="0.3">
      <c r="AN4108">
        <v>4104</v>
      </c>
      <c r="AO4108" s="11">
        <v>29499.08</v>
      </c>
      <c r="AP4108" s="9">
        <v>3.4138951604315064</v>
      </c>
    </row>
    <row r="4109" spans="40:42" x14ac:dyDescent="0.3">
      <c r="AN4109">
        <v>4105</v>
      </c>
      <c r="AO4109" s="11">
        <v>29750.06</v>
      </c>
      <c r="AP4109" s="9">
        <v>3.5648787048664947</v>
      </c>
    </row>
    <row r="4110" spans="40:42" x14ac:dyDescent="0.3">
      <c r="AN4110">
        <v>4106</v>
      </c>
      <c r="AO4110" s="11">
        <v>37920.93</v>
      </c>
      <c r="AP4110" s="9">
        <v>3.6010038176833414</v>
      </c>
    </row>
    <row r="4111" spans="40:42" x14ac:dyDescent="0.3">
      <c r="AN4111">
        <v>4107</v>
      </c>
      <c r="AO4111" s="11">
        <v>35099.31</v>
      </c>
      <c r="AP4111" s="9">
        <v>3.1091776104321731</v>
      </c>
    </row>
    <row r="4112" spans="40:42" x14ac:dyDescent="0.3">
      <c r="AN4112">
        <v>4108</v>
      </c>
      <c r="AO4112" s="11">
        <v>23335.63</v>
      </c>
      <c r="AP4112" s="9">
        <v>3.6294953971950665</v>
      </c>
    </row>
    <row r="4113" spans="40:42" x14ac:dyDescent="0.3">
      <c r="AN4113">
        <v>4109</v>
      </c>
      <c r="AO4113" s="11">
        <v>29778.75</v>
      </c>
      <c r="AP4113" s="9">
        <v>3.8781819940676936</v>
      </c>
    </row>
    <row r="4114" spans="40:42" x14ac:dyDescent="0.3">
      <c r="AN4114">
        <v>4110</v>
      </c>
      <c r="AO4114" s="11">
        <v>29859.83</v>
      </c>
      <c r="AP4114" s="9">
        <v>3.0050492648486675</v>
      </c>
    </row>
    <row r="4115" spans="40:42" x14ac:dyDescent="0.3">
      <c r="AN4115">
        <v>4111</v>
      </c>
      <c r="AO4115" s="11">
        <v>29510.66</v>
      </c>
      <c r="AP4115" s="9">
        <v>3.7111911834765694</v>
      </c>
    </row>
    <row r="4116" spans="40:42" x14ac:dyDescent="0.3">
      <c r="AN4116">
        <v>4112</v>
      </c>
      <c r="AO4116" s="11">
        <v>24188.04</v>
      </c>
      <c r="AP4116" s="9">
        <v>3.3825919037841925</v>
      </c>
    </row>
    <row r="4117" spans="40:42" x14ac:dyDescent="0.3">
      <c r="AN4117">
        <v>4113</v>
      </c>
      <c r="AO4117" s="11">
        <v>15547.02</v>
      </c>
      <c r="AP4117" s="9">
        <v>2.9437594967746206</v>
      </c>
    </row>
    <row r="4118" spans="40:42" x14ac:dyDescent="0.3">
      <c r="AN4118">
        <v>4114</v>
      </c>
      <c r="AO4118" s="11">
        <v>18779.57</v>
      </c>
      <c r="AP4118" s="9">
        <v>3.5211201973223956</v>
      </c>
    </row>
    <row r="4119" spans="40:42" x14ac:dyDescent="0.3">
      <c r="AN4119">
        <v>4115</v>
      </c>
      <c r="AO4119" s="11">
        <v>31037.97</v>
      </c>
      <c r="AP4119" s="9">
        <v>3.1665476559261831</v>
      </c>
    </row>
    <row r="4120" spans="40:42" x14ac:dyDescent="0.3">
      <c r="AN4120">
        <v>4116</v>
      </c>
      <c r="AO4120" s="11">
        <v>24645.759999999998</v>
      </c>
      <c r="AP4120" s="9">
        <v>3.0858819303462743</v>
      </c>
    </row>
    <row r="4121" spans="40:42" x14ac:dyDescent="0.3">
      <c r="AN4121">
        <v>4117</v>
      </c>
      <c r="AO4121" s="11">
        <v>32231.82</v>
      </c>
      <c r="AP4121" s="9">
        <v>3.4645651221731644</v>
      </c>
    </row>
    <row r="4122" spans="40:42" x14ac:dyDescent="0.3">
      <c r="AN4122">
        <v>4118</v>
      </c>
      <c r="AO4122" s="11">
        <v>23518.93</v>
      </c>
      <c r="AP4122" s="9">
        <v>3.8871150673425161</v>
      </c>
    </row>
    <row r="4123" spans="40:42" x14ac:dyDescent="0.3">
      <c r="AN4123">
        <v>4119</v>
      </c>
      <c r="AO4123" s="11">
        <v>18478.91</v>
      </c>
      <c r="AP4123" s="9">
        <v>2.919370580241472</v>
      </c>
    </row>
    <row r="4124" spans="40:42" x14ac:dyDescent="0.3">
      <c r="AN4124">
        <v>4120</v>
      </c>
      <c r="AO4124" s="11">
        <v>23709.13</v>
      </c>
      <c r="AP4124" s="9">
        <v>3.2447770789830703</v>
      </c>
    </row>
    <row r="4125" spans="40:42" x14ac:dyDescent="0.3">
      <c r="AN4125">
        <v>4121</v>
      </c>
      <c r="AO4125" s="11">
        <v>27722.21</v>
      </c>
      <c r="AP4125" s="9">
        <v>3.4988109978613378</v>
      </c>
    </row>
    <row r="4126" spans="40:42" x14ac:dyDescent="0.3">
      <c r="AN4126">
        <v>4122</v>
      </c>
      <c r="AO4126" s="11">
        <v>22160.87</v>
      </c>
      <c r="AP4126" s="9">
        <v>3.4337933608783264</v>
      </c>
    </row>
    <row r="4127" spans="40:42" x14ac:dyDescent="0.3">
      <c r="AN4127">
        <v>4123</v>
      </c>
      <c r="AO4127" s="11">
        <v>16408.48</v>
      </c>
      <c r="AP4127" s="9">
        <v>3.1590543971689429</v>
      </c>
    </row>
    <row r="4128" spans="40:42" x14ac:dyDescent="0.3">
      <c r="AN4128">
        <v>4124</v>
      </c>
      <c r="AO4128" s="11">
        <v>31531.43</v>
      </c>
      <c r="AP4128" s="9">
        <v>3.8068756421262955</v>
      </c>
    </row>
    <row r="4129" spans="40:42" x14ac:dyDescent="0.3">
      <c r="AN4129">
        <v>4125</v>
      </c>
      <c r="AO4129" s="11">
        <v>22145.66</v>
      </c>
      <c r="AP4129" s="9">
        <v>3.3478795514950233</v>
      </c>
    </row>
    <row r="4130" spans="40:42" x14ac:dyDescent="0.3">
      <c r="AN4130">
        <v>4126</v>
      </c>
      <c r="AO4130" s="11">
        <v>17503.41</v>
      </c>
      <c r="AP4130" s="9">
        <v>3.0626629210205043</v>
      </c>
    </row>
    <row r="4131" spans="40:42" x14ac:dyDescent="0.3">
      <c r="AN4131">
        <v>4127</v>
      </c>
      <c r="AO4131" s="11">
        <v>33695.72</v>
      </c>
      <c r="AP4131" s="9">
        <v>4.2463306205209959</v>
      </c>
    </row>
    <row r="4132" spans="40:42" x14ac:dyDescent="0.3">
      <c r="AN4132">
        <v>4128</v>
      </c>
      <c r="AO4132" s="11">
        <v>20000.080000000002</v>
      </c>
      <c r="AP4132" s="9">
        <v>3.1130181104320274</v>
      </c>
    </row>
    <row r="4133" spans="40:42" x14ac:dyDescent="0.3">
      <c r="AN4133">
        <v>4129</v>
      </c>
      <c r="AO4133" s="11">
        <v>22658.080000000002</v>
      </c>
      <c r="AP4133" s="9">
        <v>3.6475465481232092</v>
      </c>
    </row>
    <row r="4134" spans="40:42" x14ac:dyDescent="0.3">
      <c r="AN4134">
        <v>4130</v>
      </c>
      <c r="AO4134" s="11">
        <v>37676.5</v>
      </c>
      <c r="AP4134" s="9">
        <v>3.328587880191908</v>
      </c>
    </row>
    <row r="4135" spans="40:42" x14ac:dyDescent="0.3">
      <c r="AN4135">
        <v>4131</v>
      </c>
      <c r="AO4135" s="11">
        <v>35224.379999999997</v>
      </c>
      <c r="AP4135" s="9">
        <v>3.1884530734365284</v>
      </c>
    </row>
    <row r="4136" spans="40:42" x14ac:dyDescent="0.3">
      <c r="AN4136">
        <v>4132</v>
      </c>
      <c r="AO4136" s="11">
        <v>22121.24</v>
      </c>
      <c r="AP4136" s="9">
        <v>3.4850967042453784</v>
      </c>
    </row>
    <row r="4137" spans="40:42" x14ac:dyDescent="0.3">
      <c r="AN4137">
        <v>4133</v>
      </c>
      <c r="AO4137" s="11">
        <v>22857.8</v>
      </c>
      <c r="AP4137" s="9">
        <v>3.2220377983863915</v>
      </c>
    </row>
    <row r="4138" spans="40:42" x14ac:dyDescent="0.3">
      <c r="AN4138">
        <v>4134</v>
      </c>
      <c r="AO4138" s="11">
        <v>23410.87</v>
      </c>
      <c r="AP4138" s="9">
        <v>2.9430811588689183</v>
      </c>
    </row>
    <row r="4139" spans="40:42" x14ac:dyDescent="0.3">
      <c r="AN4139">
        <v>4135</v>
      </c>
      <c r="AO4139" s="11">
        <v>27954.26</v>
      </c>
      <c r="AP4139" s="9">
        <v>4.0839116272284945</v>
      </c>
    </row>
    <row r="4140" spans="40:42" x14ac:dyDescent="0.3">
      <c r="AN4140">
        <v>4136</v>
      </c>
      <c r="AO4140" s="11">
        <v>32666.36</v>
      </c>
      <c r="AP4140" s="9">
        <v>4.099976965231849</v>
      </c>
    </row>
    <row r="4141" spans="40:42" x14ac:dyDescent="0.3">
      <c r="AN4141">
        <v>4137</v>
      </c>
      <c r="AO4141" s="11">
        <v>20464.97</v>
      </c>
      <c r="AP4141" s="9">
        <v>3.9355360345024097</v>
      </c>
    </row>
    <row r="4142" spans="40:42" x14ac:dyDescent="0.3">
      <c r="AN4142">
        <v>4138</v>
      </c>
      <c r="AO4142" s="11">
        <v>34573.040000000001</v>
      </c>
      <c r="AP4142" s="9">
        <v>3.8022418916031553</v>
      </c>
    </row>
    <row r="4143" spans="40:42" x14ac:dyDescent="0.3">
      <c r="AN4143">
        <v>4139</v>
      </c>
      <c r="AO4143" s="11">
        <v>25353.74</v>
      </c>
      <c r="AP4143" s="9">
        <v>3.4352473841912352</v>
      </c>
    </row>
    <row r="4144" spans="40:42" x14ac:dyDescent="0.3">
      <c r="AN4144">
        <v>4140</v>
      </c>
      <c r="AO4144" s="11">
        <v>31504.75</v>
      </c>
      <c r="AP4144" s="9">
        <v>3.574459195914045</v>
      </c>
    </row>
    <row r="4145" spans="40:42" x14ac:dyDescent="0.3">
      <c r="AN4145">
        <v>4141</v>
      </c>
      <c r="AO4145" s="11">
        <v>27535.5</v>
      </c>
      <c r="AP4145" s="9">
        <v>3.4641473863960295</v>
      </c>
    </row>
    <row r="4146" spans="40:42" x14ac:dyDescent="0.3">
      <c r="AN4146">
        <v>4142</v>
      </c>
      <c r="AO4146" s="11">
        <v>15915.18</v>
      </c>
      <c r="AP4146" s="9">
        <v>3.3511687856796954</v>
      </c>
    </row>
    <row r="4147" spans="40:42" x14ac:dyDescent="0.3">
      <c r="AN4147">
        <v>4143</v>
      </c>
      <c r="AO4147" s="11">
        <v>31177.38</v>
      </c>
      <c r="AP4147" s="9">
        <v>4.3517074004774301</v>
      </c>
    </row>
    <row r="4148" spans="40:42" x14ac:dyDescent="0.3">
      <c r="AN4148">
        <v>4144</v>
      </c>
      <c r="AO4148" s="11">
        <v>30302.14</v>
      </c>
      <c r="AP4148" s="9">
        <v>3.2813966722699797</v>
      </c>
    </row>
    <row r="4149" spans="40:42" x14ac:dyDescent="0.3">
      <c r="AN4149">
        <v>4145</v>
      </c>
      <c r="AO4149" s="11">
        <v>11436.19</v>
      </c>
      <c r="AP4149" s="9">
        <v>2.5714949234173115</v>
      </c>
    </row>
    <row r="4150" spans="40:42" x14ac:dyDescent="0.3">
      <c r="AN4150">
        <v>4146</v>
      </c>
      <c r="AO4150" s="11">
        <v>31296.6</v>
      </c>
      <c r="AP4150" s="9">
        <v>3.3813941345275635</v>
      </c>
    </row>
    <row r="4151" spans="40:42" x14ac:dyDescent="0.3">
      <c r="AN4151">
        <v>4147</v>
      </c>
      <c r="AO4151" s="11">
        <v>28996.41</v>
      </c>
      <c r="AP4151" s="9">
        <v>3.2317042290968367</v>
      </c>
    </row>
    <row r="4152" spans="40:42" x14ac:dyDescent="0.3">
      <c r="AN4152">
        <v>4148</v>
      </c>
      <c r="AO4152" s="11">
        <v>34377.040000000001</v>
      </c>
      <c r="AP4152" s="9">
        <v>3.2454435736817651</v>
      </c>
    </row>
    <row r="4153" spans="40:42" x14ac:dyDescent="0.3">
      <c r="AN4153">
        <v>4149</v>
      </c>
      <c r="AO4153" s="11">
        <v>20143.38</v>
      </c>
      <c r="AP4153" s="9">
        <v>2.8382695167552598</v>
      </c>
    </row>
    <row r="4154" spans="40:42" x14ac:dyDescent="0.3">
      <c r="AN4154">
        <v>4150</v>
      </c>
      <c r="AO4154" s="11">
        <v>27004.95</v>
      </c>
      <c r="AP4154" s="9">
        <v>3.3992270297057363</v>
      </c>
    </row>
    <row r="4155" spans="40:42" x14ac:dyDescent="0.3">
      <c r="AN4155">
        <v>4151</v>
      </c>
      <c r="AO4155" s="11">
        <v>17727.990000000002</v>
      </c>
      <c r="AP4155" s="9">
        <v>3.09345890746699</v>
      </c>
    </row>
    <row r="4156" spans="40:42" x14ac:dyDescent="0.3">
      <c r="AN4156">
        <v>4152</v>
      </c>
      <c r="AO4156" s="11">
        <v>32522.54</v>
      </c>
      <c r="AP4156" s="9">
        <v>3.583412605078045</v>
      </c>
    </row>
    <row r="4157" spans="40:42" x14ac:dyDescent="0.3">
      <c r="AN4157">
        <v>4153</v>
      </c>
      <c r="AO4157" s="11">
        <v>19534.59</v>
      </c>
      <c r="AP4157" s="9">
        <v>3.0509291556180567</v>
      </c>
    </row>
    <row r="4158" spans="40:42" x14ac:dyDescent="0.3">
      <c r="AN4158">
        <v>4154</v>
      </c>
      <c r="AO4158" s="11">
        <v>28391.71</v>
      </c>
      <c r="AP4158" s="9">
        <v>3.4002286239022887</v>
      </c>
    </row>
    <row r="4159" spans="40:42" x14ac:dyDescent="0.3">
      <c r="AN4159">
        <v>4155</v>
      </c>
      <c r="AO4159" s="11">
        <v>25008.11</v>
      </c>
      <c r="AP4159" s="9">
        <v>2.8675467025943506</v>
      </c>
    </row>
    <row r="4160" spans="40:42" x14ac:dyDescent="0.3">
      <c r="AN4160">
        <v>4156</v>
      </c>
      <c r="AO4160" s="11">
        <v>21562.44</v>
      </c>
      <c r="AP4160" s="9">
        <v>2.7631243963340624</v>
      </c>
    </row>
    <row r="4161" spans="40:42" x14ac:dyDescent="0.3">
      <c r="AN4161">
        <v>4157</v>
      </c>
      <c r="AO4161" s="11">
        <v>32427.72</v>
      </c>
      <c r="AP4161" s="9">
        <v>3.9112269517688141</v>
      </c>
    </row>
    <row r="4162" spans="40:42" x14ac:dyDescent="0.3">
      <c r="AN4162">
        <v>4158</v>
      </c>
      <c r="AO4162" s="11">
        <v>29910.97</v>
      </c>
      <c r="AP4162" s="9">
        <v>3.4881290437604981</v>
      </c>
    </row>
    <row r="4163" spans="40:42" x14ac:dyDescent="0.3">
      <c r="AN4163">
        <v>4159</v>
      </c>
      <c r="AO4163" s="11">
        <v>22182.29</v>
      </c>
      <c r="AP4163" s="9">
        <v>4.1075752961875018</v>
      </c>
    </row>
    <row r="4164" spans="40:42" x14ac:dyDescent="0.3">
      <c r="AN4164">
        <v>4160</v>
      </c>
      <c r="AO4164" s="11">
        <v>30637.18</v>
      </c>
      <c r="AP4164" s="9">
        <v>3.4070648973251951</v>
      </c>
    </row>
    <row r="4165" spans="40:42" x14ac:dyDescent="0.3">
      <c r="AN4165">
        <v>4161</v>
      </c>
      <c r="AO4165" s="11">
        <v>37635.11</v>
      </c>
      <c r="AP4165" s="9">
        <v>3.4831457014365017</v>
      </c>
    </row>
    <row r="4166" spans="40:42" x14ac:dyDescent="0.3">
      <c r="AN4166">
        <v>4162</v>
      </c>
      <c r="AO4166" s="11">
        <v>26375.279999999999</v>
      </c>
      <c r="AP4166" s="9">
        <v>2.9303223369540787</v>
      </c>
    </row>
    <row r="4167" spans="40:42" x14ac:dyDescent="0.3">
      <c r="AN4167">
        <v>4163</v>
      </c>
      <c r="AO4167" s="11">
        <v>24908.28</v>
      </c>
      <c r="AP4167" s="9">
        <v>3.1253753682144194</v>
      </c>
    </row>
    <row r="4168" spans="40:42" x14ac:dyDescent="0.3">
      <c r="AN4168">
        <v>4164</v>
      </c>
      <c r="AO4168" s="11">
        <v>24363.919999999998</v>
      </c>
      <c r="AP4168" s="9">
        <v>3.3485503970639341</v>
      </c>
    </row>
    <row r="4169" spans="40:42" x14ac:dyDescent="0.3">
      <c r="AN4169">
        <v>4165</v>
      </c>
      <c r="AO4169" s="11">
        <v>26290.84</v>
      </c>
      <c r="AP4169" s="9">
        <v>3.2162281712891811</v>
      </c>
    </row>
    <row r="4170" spans="40:42" x14ac:dyDescent="0.3">
      <c r="AN4170">
        <v>4166</v>
      </c>
      <c r="AO4170" s="11">
        <v>20150.169999999998</v>
      </c>
      <c r="AP4170" s="9">
        <v>3.4806719326086304</v>
      </c>
    </row>
    <row r="4171" spans="40:42" x14ac:dyDescent="0.3">
      <c r="AN4171">
        <v>4167</v>
      </c>
      <c r="AO4171" s="11">
        <v>27207.69</v>
      </c>
      <c r="AP4171" s="9">
        <v>3.5365956017195965</v>
      </c>
    </row>
    <row r="4172" spans="40:42" x14ac:dyDescent="0.3">
      <c r="AN4172">
        <v>4168</v>
      </c>
      <c r="AO4172" s="11">
        <v>23377.43</v>
      </c>
      <c r="AP4172" s="9">
        <v>3.2789675274391281</v>
      </c>
    </row>
    <row r="4173" spans="40:42" x14ac:dyDescent="0.3">
      <c r="AN4173">
        <v>4169</v>
      </c>
      <c r="AO4173" s="11">
        <v>24009.33</v>
      </c>
      <c r="AP4173" s="9">
        <v>3.1363818838060324</v>
      </c>
    </row>
    <row r="4174" spans="40:42" x14ac:dyDescent="0.3">
      <c r="AN4174">
        <v>4170</v>
      </c>
      <c r="AO4174" s="11">
        <v>26758.63</v>
      </c>
      <c r="AP4174" s="9">
        <v>3.3801021932461324</v>
      </c>
    </row>
    <row r="4175" spans="40:42" x14ac:dyDescent="0.3">
      <c r="AN4175">
        <v>4171</v>
      </c>
      <c r="AO4175" s="11">
        <v>36291.93</v>
      </c>
      <c r="AP4175" s="9">
        <v>4.2261808362887789</v>
      </c>
    </row>
    <row r="4176" spans="40:42" x14ac:dyDescent="0.3">
      <c r="AN4176">
        <v>4172</v>
      </c>
      <c r="AO4176" s="11">
        <v>28897.86</v>
      </c>
      <c r="AP4176" s="9">
        <v>3.1060590248744875</v>
      </c>
    </row>
    <row r="4177" spans="40:42" x14ac:dyDescent="0.3">
      <c r="AN4177">
        <v>4173</v>
      </c>
      <c r="AO4177" s="11">
        <v>26510.53</v>
      </c>
      <c r="AP4177" s="9">
        <v>3.3577980901206743</v>
      </c>
    </row>
    <row r="4178" spans="40:42" x14ac:dyDescent="0.3">
      <c r="AN4178">
        <v>4174</v>
      </c>
      <c r="AO4178" s="11">
        <v>33217.480000000003</v>
      </c>
      <c r="AP4178" s="9">
        <v>3.4466487229770597</v>
      </c>
    </row>
    <row r="4179" spans="40:42" x14ac:dyDescent="0.3">
      <c r="AN4179">
        <v>4175</v>
      </c>
      <c r="AO4179" s="11">
        <v>36094.14</v>
      </c>
      <c r="AP4179" s="9">
        <v>3.5080953135963688</v>
      </c>
    </row>
    <row r="4180" spans="40:42" x14ac:dyDescent="0.3">
      <c r="AN4180">
        <v>4176</v>
      </c>
      <c r="AO4180" s="11">
        <v>29968.400000000001</v>
      </c>
      <c r="AP4180" s="9">
        <v>3.3195872399157969</v>
      </c>
    </row>
    <row r="4181" spans="40:42" x14ac:dyDescent="0.3">
      <c r="AN4181">
        <v>4177</v>
      </c>
      <c r="AO4181" s="11">
        <v>15201.57</v>
      </c>
      <c r="AP4181" s="9">
        <v>3.5487730183113855</v>
      </c>
    </row>
    <row r="4182" spans="40:42" x14ac:dyDescent="0.3">
      <c r="AN4182">
        <v>4178</v>
      </c>
      <c r="AO4182" s="11">
        <v>44432.51</v>
      </c>
      <c r="AP4182" s="9">
        <v>3.2501255104839015</v>
      </c>
    </row>
    <row r="4183" spans="40:42" x14ac:dyDescent="0.3">
      <c r="AN4183">
        <v>4179</v>
      </c>
      <c r="AO4183" s="11">
        <v>23239.67</v>
      </c>
      <c r="AP4183" s="9">
        <v>3.5180980730889142</v>
      </c>
    </row>
    <row r="4184" spans="40:42" x14ac:dyDescent="0.3">
      <c r="AN4184">
        <v>4180</v>
      </c>
      <c r="AO4184" s="11">
        <v>19311.61</v>
      </c>
      <c r="AP4184" s="9">
        <v>3.358323890039336</v>
      </c>
    </row>
    <row r="4185" spans="40:42" x14ac:dyDescent="0.3">
      <c r="AN4185">
        <v>4181</v>
      </c>
      <c r="AO4185" s="11">
        <v>25779.22</v>
      </c>
      <c r="AP4185" s="9">
        <v>3.2979503377758088</v>
      </c>
    </row>
    <row r="4186" spans="40:42" x14ac:dyDescent="0.3">
      <c r="AN4186">
        <v>4182</v>
      </c>
      <c r="AO4186" s="11">
        <v>24033.57</v>
      </c>
      <c r="AP4186" s="9">
        <v>3.449615467281308</v>
      </c>
    </row>
    <row r="4187" spans="40:42" x14ac:dyDescent="0.3">
      <c r="AN4187">
        <v>4183</v>
      </c>
      <c r="AO4187" s="11">
        <v>17726.57</v>
      </c>
      <c r="AP4187" s="9">
        <v>3.106779805729174</v>
      </c>
    </row>
    <row r="4188" spans="40:42" x14ac:dyDescent="0.3">
      <c r="AN4188">
        <v>4184</v>
      </c>
      <c r="AO4188" s="11">
        <v>31153.07</v>
      </c>
      <c r="AP4188" s="9">
        <v>3.5224792111875129</v>
      </c>
    </row>
    <row r="4189" spans="40:42" x14ac:dyDescent="0.3">
      <c r="AN4189">
        <v>4185</v>
      </c>
      <c r="AO4189" s="11">
        <v>27216.15</v>
      </c>
      <c r="AP4189" s="9">
        <v>2.9924839719730207</v>
      </c>
    </row>
    <row r="4190" spans="40:42" x14ac:dyDescent="0.3">
      <c r="AN4190">
        <v>4186</v>
      </c>
      <c r="AO4190" s="11">
        <v>30254.9</v>
      </c>
      <c r="AP4190" s="9">
        <v>4.5147752109720489</v>
      </c>
    </row>
    <row r="4191" spans="40:42" x14ac:dyDescent="0.3">
      <c r="AN4191">
        <v>4187</v>
      </c>
      <c r="AO4191" s="11">
        <v>40138.410000000003</v>
      </c>
      <c r="AP4191" s="9">
        <v>3.8714454130599845</v>
      </c>
    </row>
    <row r="4192" spans="40:42" x14ac:dyDescent="0.3">
      <c r="AN4192">
        <v>4188</v>
      </c>
      <c r="AO4192" s="11">
        <v>28025.759999999998</v>
      </c>
      <c r="AP4192" s="9">
        <v>3.4126864229786515</v>
      </c>
    </row>
    <row r="4193" spans="40:42" x14ac:dyDescent="0.3">
      <c r="AN4193">
        <v>4189</v>
      </c>
      <c r="AO4193" s="11">
        <v>37294.400000000001</v>
      </c>
      <c r="AP4193" s="9">
        <v>3.28062194384683</v>
      </c>
    </row>
    <row r="4194" spans="40:42" x14ac:dyDescent="0.3">
      <c r="AN4194">
        <v>4190</v>
      </c>
      <c r="AO4194" s="11">
        <v>23435.05</v>
      </c>
      <c r="AP4194" s="9">
        <v>3.315954484892174</v>
      </c>
    </row>
    <row r="4195" spans="40:42" x14ac:dyDescent="0.3">
      <c r="AN4195">
        <v>4191</v>
      </c>
      <c r="AO4195" s="11">
        <v>33307.339999999997</v>
      </c>
      <c r="AP4195" s="9">
        <v>3.6847721593748837</v>
      </c>
    </row>
    <row r="4196" spans="40:42" x14ac:dyDescent="0.3">
      <c r="AN4196">
        <v>4192</v>
      </c>
      <c r="AO4196" s="11">
        <v>26255.35</v>
      </c>
      <c r="AP4196" s="9">
        <v>3.6912928590321026</v>
      </c>
    </row>
    <row r="4197" spans="40:42" x14ac:dyDescent="0.3">
      <c r="AN4197">
        <v>4193</v>
      </c>
      <c r="AO4197" s="11">
        <v>38137.269999999997</v>
      </c>
      <c r="AP4197" s="9">
        <v>3.2329440788179831</v>
      </c>
    </row>
    <row r="4198" spans="40:42" x14ac:dyDescent="0.3">
      <c r="AN4198">
        <v>4194</v>
      </c>
      <c r="AO4198" s="11">
        <v>27468.11</v>
      </c>
      <c r="AP4198" s="9">
        <v>3.7373282832883894</v>
      </c>
    </row>
    <row r="4199" spans="40:42" x14ac:dyDescent="0.3">
      <c r="AN4199">
        <v>4195</v>
      </c>
      <c r="AO4199" s="11">
        <v>33076.69</v>
      </c>
      <c r="AP4199" s="9">
        <v>3.5970145110214542</v>
      </c>
    </row>
    <row r="4200" spans="40:42" x14ac:dyDescent="0.3">
      <c r="AN4200">
        <v>4196</v>
      </c>
      <c r="AO4200" s="11">
        <v>24616.35</v>
      </c>
      <c r="AP4200" s="9">
        <v>3.1775334912701365</v>
      </c>
    </row>
    <row r="4201" spans="40:42" x14ac:dyDescent="0.3">
      <c r="AN4201">
        <v>4197</v>
      </c>
      <c r="AO4201" s="11">
        <v>26709.119999999999</v>
      </c>
      <c r="AP4201" s="9">
        <v>4.0282299861718167</v>
      </c>
    </row>
    <row r="4202" spans="40:42" x14ac:dyDescent="0.3">
      <c r="AN4202">
        <v>4198</v>
      </c>
      <c r="AO4202" s="11">
        <v>22918.400000000001</v>
      </c>
      <c r="AP4202" s="9">
        <v>3.5217650115114787</v>
      </c>
    </row>
    <row r="4203" spans="40:42" x14ac:dyDescent="0.3">
      <c r="AN4203">
        <v>4199</v>
      </c>
      <c r="AO4203" s="11">
        <v>21981.17</v>
      </c>
      <c r="AP4203" s="9">
        <v>3.289421509773236</v>
      </c>
    </row>
    <row r="4204" spans="40:42" x14ac:dyDescent="0.3">
      <c r="AN4204">
        <v>4200</v>
      </c>
      <c r="AO4204" s="11">
        <v>23850.79</v>
      </c>
      <c r="AP4204" s="9">
        <v>2.9644888954069657</v>
      </c>
    </row>
    <row r="4205" spans="40:42" x14ac:dyDescent="0.3">
      <c r="AN4205">
        <v>4201</v>
      </c>
      <c r="AO4205" s="11">
        <v>21842.12</v>
      </c>
      <c r="AP4205" s="9">
        <v>3.1249543675073443</v>
      </c>
    </row>
    <row r="4206" spans="40:42" x14ac:dyDescent="0.3">
      <c r="AN4206">
        <v>4202</v>
      </c>
      <c r="AO4206" s="11">
        <v>28000.85</v>
      </c>
      <c r="AP4206" s="9">
        <v>3.3914444574921916</v>
      </c>
    </row>
    <row r="4207" spans="40:42" x14ac:dyDescent="0.3">
      <c r="AN4207">
        <v>4203</v>
      </c>
      <c r="AO4207" s="11">
        <v>43784.13</v>
      </c>
      <c r="AP4207" s="9">
        <v>3.6129202679309471</v>
      </c>
    </row>
    <row r="4208" spans="40:42" x14ac:dyDescent="0.3">
      <c r="AN4208">
        <v>4204</v>
      </c>
      <c r="AO4208" s="11">
        <v>46908.13</v>
      </c>
      <c r="AP4208" s="9">
        <v>3.3242756341606898</v>
      </c>
    </row>
    <row r="4209" spans="40:42" x14ac:dyDescent="0.3">
      <c r="AN4209">
        <v>4205</v>
      </c>
      <c r="AO4209" s="11">
        <v>28011.73</v>
      </c>
      <c r="AP4209" s="9">
        <v>3.6039063212278353</v>
      </c>
    </row>
    <row r="4210" spans="40:42" x14ac:dyDescent="0.3">
      <c r="AN4210">
        <v>4206</v>
      </c>
      <c r="AO4210" s="11">
        <v>32333.05</v>
      </c>
      <c r="AP4210" s="9">
        <v>3.7635878219400265</v>
      </c>
    </row>
    <row r="4211" spans="40:42" x14ac:dyDescent="0.3">
      <c r="AN4211">
        <v>4207</v>
      </c>
      <c r="AO4211" s="11">
        <v>26346.47</v>
      </c>
      <c r="AP4211" s="9">
        <v>3.1413199239590823</v>
      </c>
    </row>
    <row r="4212" spans="40:42" x14ac:dyDescent="0.3">
      <c r="AN4212">
        <v>4208</v>
      </c>
      <c r="AO4212" s="11">
        <v>26437.1</v>
      </c>
      <c r="AP4212" s="9">
        <v>3.1833067250309122</v>
      </c>
    </row>
    <row r="4213" spans="40:42" x14ac:dyDescent="0.3">
      <c r="AN4213">
        <v>4209</v>
      </c>
      <c r="AO4213" s="11">
        <v>28116.31</v>
      </c>
      <c r="AP4213" s="9">
        <v>2.6425058124988228</v>
      </c>
    </row>
    <row r="4214" spans="40:42" x14ac:dyDescent="0.3">
      <c r="AN4214">
        <v>4210</v>
      </c>
      <c r="AO4214" s="11">
        <v>19770.45</v>
      </c>
      <c r="AP4214" s="9">
        <v>2.7089637945041725</v>
      </c>
    </row>
    <row r="4215" spans="40:42" x14ac:dyDescent="0.3">
      <c r="AN4215">
        <v>4211</v>
      </c>
      <c r="AO4215" s="11">
        <v>19376.990000000002</v>
      </c>
      <c r="AP4215" s="9">
        <v>3.0457377623136539</v>
      </c>
    </row>
    <row r="4216" spans="40:42" x14ac:dyDescent="0.3">
      <c r="AN4216">
        <v>4212</v>
      </c>
      <c r="AO4216" s="11">
        <v>24583.87</v>
      </c>
      <c r="AP4216" s="9">
        <v>3.6706168198150966</v>
      </c>
    </row>
    <row r="4217" spans="40:42" x14ac:dyDescent="0.3">
      <c r="AN4217">
        <v>4213</v>
      </c>
      <c r="AO4217" s="11">
        <v>22057.84</v>
      </c>
      <c r="AP4217" s="9">
        <v>3.1136270672815094</v>
      </c>
    </row>
    <row r="4218" spans="40:42" x14ac:dyDescent="0.3">
      <c r="AN4218">
        <v>4214</v>
      </c>
      <c r="AO4218" s="11">
        <v>29076.21</v>
      </c>
      <c r="AP4218" s="9">
        <v>3.317525278023894</v>
      </c>
    </row>
    <row r="4219" spans="40:42" x14ac:dyDescent="0.3">
      <c r="AN4219">
        <v>4215</v>
      </c>
      <c r="AO4219" s="11">
        <v>28922.07</v>
      </c>
      <c r="AP4219" s="9">
        <v>3.4753688290107236</v>
      </c>
    </row>
    <row r="4220" spans="40:42" x14ac:dyDescent="0.3">
      <c r="AN4220">
        <v>4216</v>
      </c>
      <c r="AO4220" s="11">
        <v>19410.830000000002</v>
      </c>
      <c r="AP4220" s="9">
        <v>2.970268679708961</v>
      </c>
    </row>
    <row r="4221" spans="40:42" x14ac:dyDescent="0.3">
      <c r="AN4221">
        <v>4217</v>
      </c>
      <c r="AO4221" s="11">
        <v>27511.14</v>
      </c>
      <c r="AP4221" s="9">
        <v>2.6220418789817654</v>
      </c>
    </row>
    <row r="4222" spans="40:42" x14ac:dyDescent="0.3">
      <c r="AN4222">
        <v>4218</v>
      </c>
      <c r="AO4222" s="11">
        <v>28308.04</v>
      </c>
      <c r="AP4222" s="9">
        <v>3.1858695689634113</v>
      </c>
    </row>
    <row r="4223" spans="40:42" x14ac:dyDescent="0.3">
      <c r="AN4223">
        <v>4219</v>
      </c>
      <c r="AO4223" s="11">
        <v>22755.79</v>
      </c>
      <c r="AP4223" s="9">
        <v>3.4352767581437083</v>
      </c>
    </row>
    <row r="4224" spans="40:42" x14ac:dyDescent="0.3">
      <c r="AN4224">
        <v>4220</v>
      </c>
      <c r="AO4224" s="11">
        <v>27247.3</v>
      </c>
      <c r="AP4224" s="9">
        <v>3.3752718969886972</v>
      </c>
    </row>
    <row r="4225" spans="40:42" x14ac:dyDescent="0.3">
      <c r="AN4225">
        <v>4221</v>
      </c>
      <c r="AO4225" s="11">
        <v>38224.47</v>
      </c>
      <c r="AP4225" s="9">
        <v>3.5595329770304791</v>
      </c>
    </row>
    <row r="4226" spans="40:42" x14ac:dyDescent="0.3">
      <c r="AN4226">
        <v>4222</v>
      </c>
      <c r="AO4226" s="11">
        <v>22278.35</v>
      </c>
      <c r="AP4226" s="9">
        <v>2.5825309632300715</v>
      </c>
    </row>
    <row r="4227" spans="40:42" x14ac:dyDescent="0.3">
      <c r="AN4227">
        <v>4223</v>
      </c>
      <c r="AO4227" s="11">
        <v>20233.37</v>
      </c>
      <c r="AP4227" s="9">
        <v>3.1762000656197498</v>
      </c>
    </row>
    <row r="4228" spans="40:42" x14ac:dyDescent="0.3">
      <c r="AN4228">
        <v>4224</v>
      </c>
      <c r="AO4228" s="11">
        <v>32577.119999999999</v>
      </c>
      <c r="AP4228" s="9">
        <v>3.6539713650721097</v>
      </c>
    </row>
    <row r="4229" spans="40:42" x14ac:dyDescent="0.3">
      <c r="AN4229">
        <v>4225</v>
      </c>
      <c r="AO4229" s="11">
        <v>31145.55</v>
      </c>
      <c r="AP4229" s="9">
        <v>3.3212316448294867</v>
      </c>
    </row>
    <row r="4230" spans="40:42" x14ac:dyDescent="0.3">
      <c r="AN4230">
        <v>4226</v>
      </c>
      <c r="AO4230" s="11">
        <v>28536.71</v>
      </c>
      <c r="AP4230" s="9">
        <v>3.4618643690277886</v>
      </c>
    </row>
    <row r="4231" spans="40:42" x14ac:dyDescent="0.3">
      <c r="AN4231">
        <v>4227</v>
      </c>
      <c r="AO4231" s="11">
        <v>27330.46</v>
      </c>
      <c r="AP4231" s="9">
        <v>3.467927006240644</v>
      </c>
    </row>
    <row r="4232" spans="40:42" x14ac:dyDescent="0.3">
      <c r="AN4232">
        <v>4228</v>
      </c>
      <c r="AO4232" s="11">
        <v>35041.79</v>
      </c>
      <c r="AP4232" s="9">
        <v>3.4109881800661035</v>
      </c>
    </row>
    <row r="4233" spans="40:42" x14ac:dyDescent="0.3">
      <c r="AN4233">
        <v>4229</v>
      </c>
      <c r="AO4233" s="11">
        <v>27417.040000000001</v>
      </c>
      <c r="AP4233" s="9">
        <v>3.2338527422097196</v>
      </c>
    </row>
    <row r="4234" spans="40:42" x14ac:dyDescent="0.3">
      <c r="AN4234">
        <v>4230</v>
      </c>
      <c r="AO4234" s="11">
        <v>31518.48</v>
      </c>
      <c r="AP4234" s="9">
        <v>3.5441776526241884</v>
      </c>
    </row>
    <row r="4235" spans="40:42" x14ac:dyDescent="0.3">
      <c r="AN4235">
        <v>4231</v>
      </c>
      <c r="AO4235" s="11">
        <v>19297.03</v>
      </c>
      <c r="AP4235" s="9">
        <v>3.3054098886329522</v>
      </c>
    </row>
    <row r="4236" spans="40:42" x14ac:dyDescent="0.3">
      <c r="AN4236">
        <v>4232</v>
      </c>
      <c r="AO4236" s="11">
        <v>21216.81</v>
      </c>
      <c r="AP4236" s="9">
        <v>3.5371483595645139</v>
      </c>
    </row>
    <row r="4237" spans="40:42" x14ac:dyDescent="0.3">
      <c r="AN4237">
        <v>4233</v>
      </c>
      <c r="AO4237" s="11">
        <v>23138.57</v>
      </c>
      <c r="AP4237" s="9">
        <v>3.7916272504798938</v>
      </c>
    </row>
    <row r="4238" spans="40:42" x14ac:dyDescent="0.3">
      <c r="AN4238">
        <v>4234</v>
      </c>
      <c r="AO4238" s="11">
        <v>28883.77</v>
      </c>
      <c r="AP4238" s="9">
        <v>3.2876781040209146</v>
      </c>
    </row>
    <row r="4239" spans="40:42" x14ac:dyDescent="0.3">
      <c r="AN4239">
        <v>4235</v>
      </c>
      <c r="AO4239" s="11">
        <v>24247.06</v>
      </c>
      <c r="AP4239" s="9">
        <v>3.499966102724775</v>
      </c>
    </row>
    <row r="4240" spans="40:42" x14ac:dyDescent="0.3">
      <c r="AN4240">
        <v>4236</v>
      </c>
      <c r="AO4240" s="11">
        <v>26058.48</v>
      </c>
      <c r="AP4240" s="9">
        <v>4.1354387697302819</v>
      </c>
    </row>
    <row r="4241" spans="40:42" x14ac:dyDescent="0.3">
      <c r="AN4241">
        <v>4237</v>
      </c>
      <c r="AO4241" s="11">
        <v>31442.76</v>
      </c>
      <c r="AP4241" s="9">
        <v>3.6582673712153557</v>
      </c>
    </row>
    <row r="4242" spans="40:42" x14ac:dyDescent="0.3">
      <c r="AN4242">
        <v>4238</v>
      </c>
      <c r="AO4242" s="11">
        <v>19830.259999999998</v>
      </c>
      <c r="AP4242" s="9">
        <v>2.9872271267266202</v>
      </c>
    </row>
    <row r="4243" spans="40:42" x14ac:dyDescent="0.3">
      <c r="AN4243">
        <v>4239</v>
      </c>
      <c r="AO4243" s="11">
        <v>32950.33</v>
      </c>
      <c r="AP4243" s="9">
        <v>3.7916351529099948</v>
      </c>
    </row>
    <row r="4244" spans="40:42" x14ac:dyDescent="0.3">
      <c r="AN4244">
        <v>4240</v>
      </c>
      <c r="AO4244" s="11">
        <v>18046.73</v>
      </c>
      <c r="AP4244" s="9">
        <v>3.5660316140215063</v>
      </c>
    </row>
    <row r="4245" spans="40:42" x14ac:dyDescent="0.3">
      <c r="AN4245">
        <v>4241</v>
      </c>
      <c r="AO4245" s="11">
        <v>34341.75</v>
      </c>
      <c r="AP4245" s="9">
        <v>3.2828290351687954</v>
      </c>
    </row>
    <row r="4246" spans="40:42" x14ac:dyDescent="0.3">
      <c r="AN4246">
        <v>4242</v>
      </c>
      <c r="AO4246" s="11">
        <v>41177.47</v>
      </c>
      <c r="AP4246" s="9">
        <v>3.7202354184513657</v>
      </c>
    </row>
    <row r="4247" spans="40:42" x14ac:dyDescent="0.3">
      <c r="AN4247">
        <v>4243</v>
      </c>
      <c r="AO4247" s="11">
        <v>26993.119999999999</v>
      </c>
      <c r="AP4247" s="9">
        <v>3.4544947252251323</v>
      </c>
    </row>
    <row r="4248" spans="40:42" x14ac:dyDescent="0.3">
      <c r="AN4248">
        <v>4244</v>
      </c>
      <c r="AO4248" s="11">
        <v>20333.060000000001</v>
      </c>
      <c r="AP4248" s="9">
        <v>2.7516227268268367</v>
      </c>
    </row>
    <row r="4249" spans="40:42" x14ac:dyDescent="0.3">
      <c r="AN4249">
        <v>4245</v>
      </c>
      <c r="AO4249" s="11">
        <v>21598.799999999999</v>
      </c>
      <c r="AP4249" s="9">
        <v>3.1501062644238105</v>
      </c>
    </row>
    <row r="4250" spans="40:42" x14ac:dyDescent="0.3">
      <c r="AN4250">
        <v>4246</v>
      </c>
      <c r="AO4250" s="11">
        <v>18053.400000000001</v>
      </c>
      <c r="AP4250" s="9">
        <v>2.9161334378559505</v>
      </c>
    </row>
    <row r="4251" spans="40:42" x14ac:dyDescent="0.3">
      <c r="AN4251">
        <v>4247</v>
      </c>
      <c r="AO4251" s="11">
        <v>31622.69</v>
      </c>
      <c r="AP4251" s="9">
        <v>3.6292873784969668</v>
      </c>
    </row>
    <row r="4252" spans="40:42" x14ac:dyDescent="0.3">
      <c r="AN4252">
        <v>4248</v>
      </c>
      <c r="AO4252" s="11">
        <v>28268.53</v>
      </c>
      <c r="AP4252" s="9">
        <v>3.8438534228785093</v>
      </c>
    </row>
    <row r="4253" spans="40:42" x14ac:dyDescent="0.3">
      <c r="AN4253">
        <v>4249</v>
      </c>
      <c r="AO4253" s="11">
        <v>33755.550000000003</v>
      </c>
      <c r="AP4253" s="9">
        <v>3.9063364671954726</v>
      </c>
    </row>
    <row r="4254" spans="40:42" x14ac:dyDescent="0.3">
      <c r="AN4254">
        <v>4250</v>
      </c>
      <c r="AO4254" s="11">
        <v>15663.39</v>
      </c>
      <c r="AP4254" s="9">
        <v>3.4085336658839478</v>
      </c>
    </row>
    <row r="4255" spans="40:42" x14ac:dyDescent="0.3">
      <c r="AN4255">
        <v>4251</v>
      </c>
      <c r="AO4255" s="11">
        <v>25394.74</v>
      </c>
      <c r="AP4255" s="9">
        <v>4.0782081392585043</v>
      </c>
    </row>
    <row r="4256" spans="40:42" x14ac:dyDescent="0.3">
      <c r="AN4256">
        <v>4252</v>
      </c>
      <c r="AO4256" s="11">
        <v>24607.42</v>
      </c>
      <c r="AP4256" s="9">
        <v>3.3343147405262763</v>
      </c>
    </row>
    <row r="4257" spans="40:42" x14ac:dyDescent="0.3">
      <c r="AN4257">
        <v>4253</v>
      </c>
      <c r="AO4257" s="11">
        <v>31009.95</v>
      </c>
      <c r="AP4257" s="9">
        <v>3.8156248487874791</v>
      </c>
    </row>
    <row r="4258" spans="40:42" x14ac:dyDescent="0.3">
      <c r="AN4258">
        <v>4254</v>
      </c>
      <c r="AO4258" s="11">
        <v>17376.310000000001</v>
      </c>
      <c r="AP4258" s="9">
        <v>2.9946881192202106</v>
      </c>
    </row>
    <row r="4259" spans="40:42" x14ac:dyDescent="0.3">
      <c r="AN4259">
        <v>4255</v>
      </c>
      <c r="AO4259" s="11">
        <v>28105.82</v>
      </c>
      <c r="AP4259" s="9">
        <v>2.9820361902649637</v>
      </c>
    </row>
    <row r="4260" spans="40:42" x14ac:dyDescent="0.3">
      <c r="AN4260">
        <v>4256</v>
      </c>
      <c r="AO4260" s="11">
        <v>28976.16</v>
      </c>
      <c r="AP4260" s="9">
        <v>2.8145719221708432</v>
      </c>
    </row>
    <row r="4261" spans="40:42" x14ac:dyDescent="0.3">
      <c r="AN4261">
        <v>4257</v>
      </c>
      <c r="AO4261" s="11">
        <v>22705.99</v>
      </c>
      <c r="AP4261" s="9">
        <v>3.426942590037958</v>
      </c>
    </row>
    <row r="4262" spans="40:42" x14ac:dyDescent="0.3">
      <c r="AN4262">
        <v>4258</v>
      </c>
      <c r="AO4262" s="11">
        <v>29385.08</v>
      </c>
      <c r="AP4262" s="9">
        <v>4.1384679106132198</v>
      </c>
    </row>
    <row r="4263" spans="40:42" x14ac:dyDescent="0.3">
      <c r="AN4263">
        <v>4259</v>
      </c>
      <c r="AO4263" s="11">
        <v>29323.75</v>
      </c>
      <c r="AP4263" s="9">
        <v>3.6484369711050579</v>
      </c>
    </row>
    <row r="4264" spans="40:42" x14ac:dyDescent="0.3">
      <c r="AN4264">
        <v>4260</v>
      </c>
      <c r="AO4264" s="11">
        <v>27123.99</v>
      </c>
      <c r="AP4264" s="9">
        <v>3.4204113826865439</v>
      </c>
    </row>
    <row r="4265" spans="40:42" x14ac:dyDescent="0.3">
      <c r="AN4265">
        <v>4261</v>
      </c>
      <c r="AO4265" s="11">
        <v>28750.79</v>
      </c>
      <c r="AP4265" s="9">
        <v>3.101189113363557</v>
      </c>
    </row>
    <row r="4266" spans="40:42" x14ac:dyDescent="0.3">
      <c r="AN4266">
        <v>4262</v>
      </c>
      <c r="AO4266" s="11">
        <v>29182.42</v>
      </c>
      <c r="AP4266" s="9">
        <v>3.6658614506850133</v>
      </c>
    </row>
    <row r="4267" spans="40:42" x14ac:dyDescent="0.3">
      <c r="AN4267">
        <v>4263</v>
      </c>
      <c r="AO4267" s="11">
        <v>30530.9</v>
      </c>
      <c r="AP4267" s="9">
        <v>3.8700434223938598</v>
      </c>
    </row>
    <row r="4268" spans="40:42" x14ac:dyDescent="0.3">
      <c r="AN4268">
        <v>4264</v>
      </c>
      <c r="AO4268" s="11">
        <v>25462.53</v>
      </c>
      <c r="AP4268" s="9">
        <v>3.2632584634113386</v>
      </c>
    </row>
    <row r="4269" spans="40:42" x14ac:dyDescent="0.3">
      <c r="AN4269">
        <v>4265</v>
      </c>
      <c r="AO4269" s="11">
        <v>37146.81</v>
      </c>
      <c r="AP4269" s="9">
        <v>3.7936783284266373</v>
      </c>
    </row>
    <row r="4270" spans="40:42" x14ac:dyDescent="0.3">
      <c r="AN4270">
        <v>4266</v>
      </c>
      <c r="AO4270" s="11">
        <v>14440.42</v>
      </c>
      <c r="AP4270" s="9">
        <v>2.7602368678921843</v>
      </c>
    </row>
    <row r="4271" spans="40:42" x14ac:dyDescent="0.3">
      <c r="AN4271">
        <v>4267</v>
      </c>
      <c r="AO4271" s="11">
        <v>23256.93</v>
      </c>
      <c r="AP4271" s="9">
        <v>3.2219613970948942</v>
      </c>
    </row>
    <row r="4272" spans="40:42" x14ac:dyDescent="0.3">
      <c r="AN4272">
        <v>4268</v>
      </c>
      <c r="AO4272" s="11">
        <v>22870.03</v>
      </c>
      <c r="AP4272" s="9">
        <v>4.2413085997208642</v>
      </c>
    </row>
    <row r="4273" spans="40:42" x14ac:dyDescent="0.3">
      <c r="AN4273">
        <v>4269</v>
      </c>
      <c r="AO4273" s="11">
        <v>26106.560000000001</v>
      </c>
      <c r="AP4273" s="9">
        <v>3.5284050540844385</v>
      </c>
    </row>
    <row r="4274" spans="40:42" x14ac:dyDescent="0.3">
      <c r="AN4274">
        <v>4270</v>
      </c>
      <c r="AO4274" s="11">
        <v>23202.35</v>
      </c>
      <c r="AP4274" s="9">
        <v>3.1725344924541505</v>
      </c>
    </row>
    <row r="4275" spans="40:42" x14ac:dyDescent="0.3">
      <c r="AN4275">
        <v>4271</v>
      </c>
      <c r="AO4275" s="11">
        <v>29396.02</v>
      </c>
      <c r="AP4275" s="9">
        <v>3.4270333114115852</v>
      </c>
    </row>
    <row r="4276" spans="40:42" x14ac:dyDescent="0.3">
      <c r="AN4276">
        <v>4272</v>
      </c>
      <c r="AO4276" s="11">
        <v>28425.4</v>
      </c>
      <c r="AP4276" s="9">
        <v>3.3617261090092785</v>
      </c>
    </row>
    <row r="4277" spans="40:42" x14ac:dyDescent="0.3">
      <c r="AN4277">
        <v>4273</v>
      </c>
      <c r="AO4277" s="11">
        <v>36797.22</v>
      </c>
      <c r="AP4277" s="9">
        <v>3.657172365358361</v>
      </c>
    </row>
    <row r="4278" spans="40:42" x14ac:dyDescent="0.3">
      <c r="AN4278">
        <v>4274</v>
      </c>
      <c r="AO4278" s="11">
        <v>22575.49</v>
      </c>
      <c r="AP4278" s="9">
        <v>3.1264915030149223</v>
      </c>
    </row>
    <row r="4279" spans="40:42" x14ac:dyDescent="0.3">
      <c r="AN4279">
        <v>4275</v>
      </c>
      <c r="AO4279" s="11">
        <v>25287.64</v>
      </c>
      <c r="AP4279" s="9">
        <v>3.1820527483954359</v>
      </c>
    </row>
    <row r="4280" spans="40:42" x14ac:dyDescent="0.3">
      <c r="AN4280">
        <v>4276</v>
      </c>
      <c r="AO4280" s="11">
        <v>42040.79</v>
      </c>
      <c r="AP4280" s="9">
        <v>3.512462064392583</v>
      </c>
    </row>
    <row r="4281" spans="40:42" x14ac:dyDescent="0.3">
      <c r="AN4281">
        <v>4277</v>
      </c>
      <c r="AO4281" s="11">
        <v>26823.43</v>
      </c>
      <c r="AP4281" s="9">
        <v>3.0112431265214874</v>
      </c>
    </row>
    <row r="4282" spans="40:42" x14ac:dyDescent="0.3">
      <c r="AN4282">
        <v>4278</v>
      </c>
      <c r="AO4282" s="11">
        <v>29576.94</v>
      </c>
      <c r="AP4282" s="9">
        <v>2.9892150375155908</v>
      </c>
    </row>
    <row r="4283" spans="40:42" x14ac:dyDescent="0.3">
      <c r="AN4283">
        <v>4279</v>
      </c>
      <c r="AO4283" s="11">
        <v>43711.13</v>
      </c>
      <c r="AP4283" s="9">
        <v>3.8614135208210398</v>
      </c>
    </row>
    <row r="4284" spans="40:42" x14ac:dyDescent="0.3">
      <c r="AN4284">
        <v>4280</v>
      </c>
      <c r="AO4284" s="11">
        <v>32989.43</v>
      </c>
      <c r="AP4284" s="9">
        <v>3.7037494326947873</v>
      </c>
    </row>
    <row r="4285" spans="40:42" x14ac:dyDescent="0.3">
      <c r="AN4285">
        <v>4281</v>
      </c>
      <c r="AO4285" s="11">
        <v>25638.67</v>
      </c>
      <c r="AP4285" s="9">
        <v>3.0892901070224275</v>
      </c>
    </row>
    <row r="4286" spans="40:42" x14ac:dyDescent="0.3">
      <c r="AN4286">
        <v>4282</v>
      </c>
      <c r="AO4286" s="11">
        <v>25187.11</v>
      </c>
      <c r="AP4286" s="9">
        <v>3.5884869357004181</v>
      </c>
    </row>
    <row r="4287" spans="40:42" x14ac:dyDescent="0.3">
      <c r="AN4287">
        <v>4283</v>
      </c>
      <c r="AO4287" s="11">
        <v>17273.16</v>
      </c>
      <c r="AP4287" s="9">
        <v>3.2608690785202445</v>
      </c>
    </row>
    <row r="4288" spans="40:42" x14ac:dyDescent="0.3">
      <c r="AN4288">
        <v>4284</v>
      </c>
      <c r="AO4288" s="11">
        <v>25036.42</v>
      </c>
      <c r="AP4288" s="9">
        <v>3.0748528343135368</v>
      </c>
    </row>
    <row r="4289" spans="40:42" x14ac:dyDescent="0.3">
      <c r="AN4289">
        <v>4285</v>
      </c>
      <c r="AO4289" s="11">
        <v>32341.62</v>
      </c>
      <c r="AP4289" s="9">
        <v>3.3268400302766756</v>
      </c>
    </row>
    <row r="4290" spans="40:42" x14ac:dyDescent="0.3">
      <c r="AN4290">
        <v>4286</v>
      </c>
      <c r="AO4290" s="11">
        <v>33701.79</v>
      </c>
      <c r="AP4290" s="9">
        <v>2.9383877022655405</v>
      </c>
    </row>
    <row r="4291" spans="40:42" x14ac:dyDescent="0.3">
      <c r="AN4291">
        <v>4287</v>
      </c>
      <c r="AO4291" s="11">
        <v>27379.14</v>
      </c>
      <c r="AP4291" s="9">
        <v>3.3689367383367066</v>
      </c>
    </row>
    <row r="4292" spans="40:42" x14ac:dyDescent="0.3">
      <c r="AN4292">
        <v>4288</v>
      </c>
      <c r="AO4292" s="11">
        <v>36802.94</v>
      </c>
      <c r="AP4292" s="9">
        <v>3.6660323573797675</v>
      </c>
    </row>
    <row r="4293" spans="40:42" x14ac:dyDescent="0.3">
      <c r="AN4293">
        <v>4289</v>
      </c>
      <c r="AO4293" s="11">
        <v>19640.12</v>
      </c>
      <c r="AP4293" s="9">
        <v>2.8901644959459767</v>
      </c>
    </row>
    <row r="4294" spans="40:42" x14ac:dyDescent="0.3">
      <c r="AN4294">
        <v>4290</v>
      </c>
      <c r="AO4294" s="11">
        <v>25021.55</v>
      </c>
      <c r="AP4294" s="9">
        <v>3.5252510144055975</v>
      </c>
    </row>
    <row r="4295" spans="40:42" x14ac:dyDescent="0.3">
      <c r="AN4295">
        <v>4291</v>
      </c>
      <c r="AO4295" s="11">
        <v>25164.1</v>
      </c>
      <c r="AP4295" s="9">
        <v>3.1446013904871641</v>
      </c>
    </row>
    <row r="4296" spans="40:42" x14ac:dyDescent="0.3">
      <c r="AN4296">
        <v>4292</v>
      </c>
      <c r="AO4296" s="11">
        <v>26830.38</v>
      </c>
      <c r="AP4296" s="9">
        <v>3.1381467129735801</v>
      </c>
    </row>
    <row r="4297" spans="40:42" x14ac:dyDescent="0.3">
      <c r="AN4297">
        <v>4293</v>
      </c>
      <c r="AO4297" s="11">
        <v>23004.2</v>
      </c>
      <c r="AP4297" s="9">
        <v>3.7812284332968389</v>
      </c>
    </row>
    <row r="4298" spans="40:42" x14ac:dyDescent="0.3">
      <c r="AN4298">
        <v>4294</v>
      </c>
      <c r="AO4298" s="11">
        <v>30769.5</v>
      </c>
      <c r="AP4298" s="9">
        <v>3.0961543791823738</v>
      </c>
    </row>
    <row r="4299" spans="40:42" x14ac:dyDescent="0.3">
      <c r="AN4299">
        <v>4295</v>
      </c>
      <c r="AO4299" s="11">
        <v>31084.54</v>
      </c>
      <c r="AP4299" s="9">
        <v>3.4596687159174824</v>
      </c>
    </row>
    <row r="4300" spans="40:42" x14ac:dyDescent="0.3">
      <c r="AN4300">
        <v>4296</v>
      </c>
      <c r="AO4300" s="11">
        <v>39329.660000000003</v>
      </c>
      <c r="AP4300" s="9">
        <v>3.8470567249144416</v>
      </c>
    </row>
    <row r="4301" spans="40:42" x14ac:dyDescent="0.3">
      <c r="AN4301">
        <v>4297</v>
      </c>
      <c r="AO4301" s="11">
        <v>12236.76</v>
      </c>
      <c r="AP4301" s="9">
        <v>3.3918205919973778</v>
      </c>
    </row>
    <row r="4302" spans="40:42" x14ac:dyDescent="0.3">
      <c r="AN4302">
        <v>4298</v>
      </c>
      <c r="AO4302" s="11">
        <v>25327.56</v>
      </c>
      <c r="AP4302" s="9">
        <v>3.2199748057217468</v>
      </c>
    </row>
    <row r="4303" spans="40:42" x14ac:dyDescent="0.3">
      <c r="AN4303">
        <v>4299</v>
      </c>
      <c r="AO4303" s="11">
        <v>25915.53</v>
      </c>
      <c r="AP4303" s="9">
        <v>2.8686578339055981</v>
      </c>
    </row>
    <row r="4304" spans="40:42" x14ac:dyDescent="0.3">
      <c r="AN4304">
        <v>4300</v>
      </c>
      <c r="AO4304" s="11">
        <v>33425.99</v>
      </c>
      <c r="AP4304" s="9">
        <v>3.7209943319476895</v>
      </c>
    </row>
    <row r="4305" spans="40:42" x14ac:dyDescent="0.3">
      <c r="AN4305">
        <v>4301</v>
      </c>
      <c r="AO4305" s="11">
        <v>29239.18</v>
      </c>
      <c r="AP4305" s="9">
        <v>3.3481452327141432</v>
      </c>
    </row>
    <row r="4306" spans="40:42" x14ac:dyDescent="0.3">
      <c r="AN4306">
        <v>4302</v>
      </c>
      <c r="AO4306" s="11">
        <v>28790.25</v>
      </c>
      <c r="AP4306" s="9">
        <v>3.4758983651050213</v>
      </c>
    </row>
    <row r="4307" spans="40:42" x14ac:dyDescent="0.3">
      <c r="AN4307">
        <v>4303</v>
      </c>
      <c r="AO4307" s="11">
        <v>28164.720000000001</v>
      </c>
      <c r="AP4307" s="9">
        <v>3.0900112808777842</v>
      </c>
    </row>
    <row r="4308" spans="40:42" x14ac:dyDescent="0.3">
      <c r="AN4308">
        <v>4304</v>
      </c>
      <c r="AO4308" s="11">
        <v>26633.49</v>
      </c>
      <c r="AP4308" s="9">
        <v>3.375064173428211</v>
      </c>
    </row>
    <row r="4309" spans="40:42" x14ac:dyDescent="0.3">
      <c r="AN4309">
        <v>4305</v>
      </c>
      <c r="AO4309" s="11">
        <v>45063.21</v>
      </c>
      <c r="AP4309" s="9">
        <v>4.0585605205245532</v>
      </c>
    </row>
    <row r="4310" spans="40:42" x14ac:dyDescent="0.3">
      <c r="AN4310">
        <v>4306</v>
      </c>
      <c r="AO4310" s="11">
        <v>30395.38</v>
      </c>
      <c r="AP4310" s="9">
        <v>2.951953336051834</v>
      </c>
    </row>
    <row r="4311" spans="40:42" x14ac:dyDescent="0.3">
      <c r="AN4311">
        <v>4307</v>
      </c>
      <c r="AO4311" s="11">
        <v>29489.23</v>
      </c>
      <c r="AP4311" s="9">
        <v>3.528978686632656</v>
      </c>
    </row>
    <row r="4312" spans="40:42" x14ac:dyDescent="0.3">
      <c r="AN4312">
        <v>4308</v>
      </c>
      <c r="AO4312" s="11">
        <v>12844.57</v>
      </c>
      <c r="AP4312" s="9">
        <v>2.8869098271941152</v>
      </c>
    </row>
    <row r="4313" spans="40:42" x14ac:dyDescent="0.3">
      <c r="AN4313">
        <v>4309</v>
      </c>
      <c r="AO4313" s="11">
        <v>19783.259999999998</v>
      </c>
      <c r="AP4313" s="9">
        <v>3.4911020489617566</v>
      </c>
    </row>
    <row r="4314" spans="40:42" x14ac:dyDescent="0.3">
      <c r="AN4314">
        <v>4310</v>
      </c>
      <c r="AO4314" s="11">
        <v>29585.09</v>
      </c>
      <c r="AP4314" s="9">
        <v>4.1025178952914665</v>
      </c>
    </row>
    <row r="4315" spans="40:42" x14ac:dyDescent="0.3">
      <c r="AN4315">
        <v>4311</v>
      </c>
      <c r="AO4315" s="11">
        <v>26110.81</v>
      </c>
      <c r="AP4315" s="9">
        <v>2.9893116326105229</v>
      </c>
    </row>
    <row r="4316" spans="40:42" x14ac:dyDescent="0.3">
      <c r="AN4316">
        <v>4312</v>
      </c>
      <c r="AO4316" s="11">
        <v>19304.650000000001</v>
      </c>
      <c r="AP4316" s="9">
        <v>2.9978066352197823</v>
      </c>
    </row>
    <row r="4317" spans="40:42" x14ac:dyDescent="0.3">
      <c r="AN4317">
        <v>4313</v>
      </c>
      <c r="AO4317" s="11">
        <v>20925.57</v>
      </c>
      <c r="AP4317" s="9">
        <v>3.4217920016015495</v>
      </c>
    </row>
    <row r="4318" spans="40:42" x14ac:dyDescent="0.3">
      <c r="AN4318">
        <v>4314</v>
      </c>
      <c r="AO4318" s="11">
        <v>25444.47</v>
      </c>
      <c r="AP4318" s="9">
        <v>3.4676571572168373</v>
      </c>
    </row>
    <row r="4319" spans="40:42" x14ac:dyDescent="0.3">
      <c r="AN4319">
        <v>4315</v>
      </c>
      <c r="AO4319" s="11">
        <v>42530.79</v>
      </c>
      <c r="AP4319" s="9">
        <v>3.8543428797989043</v>
      </c>
    </row>
    <row r="4320" spans="40:42" x14ac:dyDescent="0.3">
      <c r="AN4320">
        <v>4316</v>
      </c>
      <c r="AO4320" s="11">
        <v>28594.89</v>
      </c>
      <c r="AP4320" s="9">
        <v>2.7527834041272423</v>
      </c>
    </row>
    <row r="4321" spans="40:42" x14ac:dyDescent="0.3">
      <c r="AN4321">
        <v>4317</v>
      </c>
      <c r="AO4321" s="11">
        <v>25938.61</v>
      </c>
      <c r="AP4321" s="9">
        <v>3.2481040312335749</v>
      </c>
    </row>
    <row r="4322" spans="40:42" x14ac:dyDescent="0.3">
      <c r="AN4322">
        <v>4318</v>
      </c>
      <c r="AO4322" s="11">
        <v>31773.200000000001</v>
      </c>
      <c r="AP4322" s="9">
        <v>3.4722888893552426</v>
      </c>
    </row>
    <row r="4323" spans="40:42" x14ac:dyDescent="0.3">
      <c r="AN4323">
        <v>4319</v>
      </c>
      <c r="AO4323" s="11">
        <v>18826.02</v>
      </c>
      <c r="AP4323" s="9">
        <v>3.0977739582830903</v>
      </c>
    </row>
    <row r="4324" spans="40:42" x14ac:dyDescent="0.3">
      <c r="AN4324">
        <v>4320</v>
      </c>
      <c r="AO4324" s="11">
        <v>34928.120000000003</v>
      </c>
      <c r="AP4324" s="9">
        <v>3.5523154638714387</v>
      </c>
    </row>
    <row r="4325" spans="40:42" x14ac:dyDescent="0.3">
      <c r="AN4325">
        <v>4321</v>
      </c>
      <c r="AO4325" s="11">
        <v>28829.7</v>
      </c>
      <c r="AP4325" s="9">
        <v>3.9607943247072801</v>
      </c>
    </row>
    <row r="4326" spans="40:42" x14ac:dyDescent="0.3">
      <c r="AN4326">
        <v>4322</v>
      </c>
      <c r="AO4326" s="11">
        <v>31907.02</v>
      </c>
      <c r="AP4326" s="9">
        <v>3.865436701673024</v>
      </c>
    </row>
    <row r="4327" spans="40:42" x14ac:dyDescent="0.3">
      <c r="AN4327">
        <v>4323</v>
      </c>
      <c r="AO4327" s="11">
        <v>27278.38</v>
      </c>
      <c r="AP4327" s="9">
        <v>3.2184289065914871</v>
      </c>
    </row>
    <row r="4328" spans="40:42" x14ac:dyDescent="0.3">
      <c r="AN4328">
        <v>4324</v>
      </c>
      <c r="AO4328" s="11">
        <v>18374.88</v>
      </c>
      <c r="AP4328" s="9">
        <v>4.1735845091101211</v>
      </c>
    </row>
    <row r="4329" spans="40:42" x14ac:dyDescent="0.3">
      <c r="AN4329">
        <v>4325</v>
      </c>
      <c r="AO4329" s="11">
        <v>35329.4</v>
      </c>
      <c r="AP4329" s="9">
        <v>3.5417769046277763</v>
      </c>
    </row>
    <row r="4330" spans="40:42" x14ac:dyDescent="0.3">
      <c r="AN4330">
        <v>4326</v>
      </c>
      <c r="AO4330" s="11">
        <v>17195.86</v>
      </c>
      <c r="AP4330" s="9">
        <v>2.8307282904262197</v>
      </c>
    </row>
    <row r="4331" spans="40:42" x14ac:dyDescent="0.3">
      <c r="AN4331">
        <v>4327</v>
      </c>
      <c r="AO4331" s="11">
        <v>23119.17</v>
      </c>
      <c r="AP4331" s="9">
        <v>3.9147554169803671</v>
      </c>
    </row>
    <row r="4332" spans="40:42" x14ac:dyDescent="0.3">
      <c r="AN4332">
        <v>4328</v>
      </c>
      <c r="AO4332" s="11">
        <v>31508.01</v>
      </c>
      <c r="AP4332" s="9">
        <v>3.5255228026905328</v>
      </c>
    </row>
    <row r="4333" spans="40:42" x14ac:dyDescent="0.3">
      <c r="AN4333">
        <v>4329</v>
      </c>
      <c r="AO4333" s="11">
        <v>19308.79</v>
      </c>
      <c r="AP4333" s="9">
        <v>2.8905353523326958</v>
      </c>
    </row>
    <row r="4334" spans="40:42" x14ac:dyDescent="0.3">
      <c r="AN4334">
        <v>4330</v>
      </c>
      <c r="AO4334" s="11">
        <v>23125.71</v>
      </c>
      <c r="AP4334" s="9">
        <v>3.3537177862437324</v>
      </c>
    </row>
    <row r="4335" spans="40:42" x14ac:dyDescent="0.3">
      <c r="AN4335">
        <v>4331</v>
      </c>
      <c r="AO4335" s="11">
        <v>28398.65</v>
      </c>
      <c r="AP4335" s="9">
        <v>3.1680147881376914</v>
      </c>
    </row>
    <row r="4336" spans="40:42" x14ac:dyDescent="0.3">
      <c r="AN4336">
        <v>4332</v>
      </c>
      <c r="AO4336" s="11">
        <v>37137.919999999998</v>
      </c>
      <c r="AP4336" s="9">
        <v>3.1255252081017613</v>
      </c>
    </row>
    <row r="4337" spans="40:42" x14ac:dyDescent="0.3">
      <c r="AN4337">
        <v>4333</v>
      </c>
      <c r="AO4337" s="11">
        <v>19532.46</v>
      </c>
      <c r="AP4337" s="9">
        <v>3.2983189215613553</v>
      </c>
    </row>
    <row r="4338" spans="40:42" x14ac:dyDescent="0.3">
      <c r="AN4338">
        <v>4334</v>
      </c>
      <c r="AO4338" s="11">
        <v>22605.18</v>
      </c>
      <c r="AP4338" s="9">
        <v>3.842563036519556</v>
      </c>
    </row>
    <row r="4339" spans="40:42" x14ac:dyDescent="0.3">
      <c r="AN4339">
        <v>4335</v>
      </c>
      <c r="AO4339" s="11">
        <v>23819.07</v>
      </c>
      <c r="AP4339" s="9">
        <v>3.3068042639266961</v>
      </c>
    </row>
    <row r="4340" spans="40:42" x14ac:dyDescent="0.3">
      <c r="AN4340">
        <v>4336</v>
      </c>
      <c r="AO4340" s="11">
        <v>33704.230000000003</v>
      </c>
      <c r="AP4340" s="9">
        <v>2.7929804724492477</v>
      </c>
    </row>
    <row r="4341" spans="40:42" x14ac:dyDescent="0.3">
      <c r="AN4341">
        <v>4337</v>
      </c>
      <c r="AO4341" s="11">
        <v>17531.89</v>
      </c>
      <c r="AP4341" s="9">
        <v>2.7055306473605523</v>
      </c>
    </row>
    <row r="4342" spans="40:42" x14ac:dyDescent="0.3">
      <c r="AN4342">
        <v>4338</v>
      </c>
      <c r="AO4342" s="11">
        <v>22083.07</v>
      </c>
      <c r="AP4342" s="9">
        <v>2.807499778619936</v>
      </c>
    </row>
    <row r="4343" spans="40:42" x14ac:dyDescent="0.3">
      <c r="AN4343">
        <v>4339</v>
      </c>
      <c r="AO4343" s="11">
        <v>21949.61</v>
      </c>
      <c r="AP4343" s="9">
        <v>3.3441182897094341</v>
      </c>
    </row>
    <row r="4344" spans="40:42" x14ac:dyDescent="0.3">
      <c r="AN4344">
        <v>4340</v>
      </c>
      <c r="AO4344" s="11">
        <v>38403.81</v>
      </c>
      <c r="AP4344" s="9">
        <v>3.3821226838411076</v>
      </c>
    </row>
    <row r="4345" spans="40:42" x14ac:dyDescent="0.3">
      <c r="AN4345">
        <v>4341</v>
      </c>
      <c r="AO4345" s="11">
        <v>22586.91</v>
      </c>
      <c r="AP4345" s="9">
        <v>3.5231984861707435</v>
      </c>
    </row>
    <row r="4346" spans="40:42" x14ac:dyDescent="0.3">
      <c r="AN4346">
        <v>4342</v>
      </c>
      <c r="AO4346" s="11">
        <v>45364.81</v>
      </c>
      <c r="AP4346" s="9">
        <v>4.2756183253952198</v>
      </c>
    </row>
    <row r="4347" spans="40:42" x14ac:dyDescent="0.3">
      <c r="AN4347">
        <v>4343</v>
      </c>
      <c r="AO4347" s="11">
        <v>12320.57</v>
      </c>
      <c r="AP4347" s="9">
        <v>3.0178528029018334</v>
      </c>
    </row>
    <row r="4348" spans="40:42" x14ac:dyDescent="0.3">
      <c r="AN4348">
        <v>4344</v>
      </c>
      <c r="AO4348" s="11">
        <v>24140.5</v>
      </c>
      <c r="AP4348" s="9">
        <v>3.088969280336813</v>
      </c>
    </row>
    <row r="4349" spans="40:42" x14ac:dyDescent="0.3">
      <c r="AN4349">
        <v>4345</v>
      </c>
      <c r="AO4349" s="11">
        <v>23291.02</v>
      </c>
      <c r="AP4349" s="9">
        <v>2.622202358686748</v>
      </c>
    </row>
    <row r="4350" spans="40:42" x14ac:dyDescent="0.3">
      <c r="AN4350">
        <v>4346</v>
      </c>
      <c r="AO4350" s="11">
        <v>28239.86</v>
      </c>
      <c r="AP4350" s="9">
        <v>3.2856154472182229</v>
      </c>
    </row>
    <row r="4351" spans="40:42" x14ac:dyDescent="0.3">
      <c r="AN4351">
        <v>4347</v>
      </c>
      <c r="AO4351" s="11">
        <v>30391.279999999999</v>
      </c>
      <c r="AP4351" s="9">
        <v>3.4884539023547299</v>
      </c>
    </row>
    <row r="4352" spans="40:42" x14ac:dyDescent="0.3">
      <c r="AN4352">
        <v>4348</v>
      </c>
      <c r="AO4352" s="11">
        <v>23609.13</v>
      </c>
      <c r="AP4352" s="9">
        <v>2.9053900167815279</v>
      </c>
    </row>
    <row r="4353" spans="40:42" x14ac:dyDescent="0.3">
      <c r="AN4353">
        <v>4349</v>
      </c>
      <c r="AO4353" s="11">
        <v>30938.54</v>
      </c>
      <c r="AP4353" s="9">
        <v>4.0797952248623188</v>
      </c>
    </row>
    <row r="4354" spans="40:42" x14ac:dyDescent="0.3">
      <c r="AN4354">
        <v>4350</v>
      </c>
      <c r="AO4354" s="11">
        <v>17713.04</v>
      </c>
      <c r="AP4354" s="9">
        <v>3.5652637866899095</v>
      </c>
    </row>
    <row r="4355" spans="40:42" x14ac:dyDescent="0.3">
      <c r="AN4355">
        <v>4351</v>
      </c>
      <c r="AO4355" s="11">
        <v>25474.1</v>
      </c>
      <c r="AP4355" s="9">
        <v>3.3986977722271936</v>
      </c>
    </row>
    <row r="4356" spans="40:42" x14ac:dyDescent="0.3">
      <c r="AN4356">
        <v>4352</v>
      </c>
      <c r="AO4356" s="11">
        <v>29909.919999999998</v>
      </c>
      <c r="AP4356" s="9">
        <v>3.5412719823498779</v>
      </c>
    </row>
    <row r="4357" spans="40:42" x14ac:dyDescent="0.3">
      <c r="AN4357">
        <v>4353</v>
      </c>
      <c r="AO4357" s="11">
        <v>13057.18</v>
      </c>
      <c r="AP4357" s="9">
        <v>2.8829419342365954</v>
      </c>
    </row>
    <row r="4358" spans="40:42" x14ac:dyDescent="0.3">
      <c r="AN4358">
        <v>4354</v>
      </c>
      <c r="AO4358" s="11">
        <v>35569.03</v>
      </c>
      <c r="AP4358" s="9">
        <v>3.5797810251018221</v>
      </c>
    </row>
    <row r="4359" spans="40:42" x14ac:dyDescent="0.3">
      <c r="AN4359">
        <v>4355</v>
      </c>
      <c r="AO4359" s="11">
        <v>21931.5</v>
      </c>
      <c r="AP4359" s="9">
        <v>3.5928780105904781</v>
      </c>
    </row>
    <row r="4360" spans="40:42" x14ac:dyDescent="0.3">
      <c r="AN4360">
        <v>4356</v>
      </c>
      <c r="AO4360" s="11">
        <v>42633.599999999999</v>
      </c>
      <c r="AP4360" s="9">
        <v>3.7011213743717062</v>
      </c>
    </row>
    <row r="4361" spans="40:42" x14ac:dyDescent="0.3">
      <c r="AN4361">
        <v>4357</v>
      </c>
      <c r="AO4361" s="11">
        <v>23095.54</v>
      </c>
      <c r="AP4361" s="9">
        <v>3.6712123397406895</v>
      </c>
    </row>
    <row r="4362" spans="40:42" x14ac:dyDescent="0.3">
      <c r="AN4362">
        <v>4358</v>
      </c>
      <c r="AO4362" s="11">
        <v>25063.51</v>
      </c>
      <c r="AP4362" s="9">
        <v>3.7704241536303948</v>
      </c>
    </row>
    <row r="4363" spans="40:42" x14ac:dyDescent="0.3">
      <c r="AN4363">
        <v>4359</v>
      </c>
      <c r="AO4363" s="11">
        <v>31131.55</v>
      </c>
      <c r="AP4363" s="9">
        <v>3.9210552118780844</v>
      </c>
    </row>
    <row r="4364" spans="40:42" x14ac:dyDescent="0.3">
      <c r="AN4364">
        <v>4360</v>
      </c>
      <c r="AO4364" s="11">
        <v>32337.16</v>
      </c>
      <c r="AP4364" s="9">
        <v>3.572101154163883</v>
      </c>
    </row>
    <row r="4365" spans="40:42" x14ac:dyDescent="0.3">
      <c r="AN4365">
        <v>4361</v>
      </c>
      <c r="AO4365" s="11">
        <v>22949.68</v>
      </c>
      <c r="AP4365" s="9">
        <v>3.0248341486894672</v>
      </c>
    </row>
    <row r="4366" spans="40:42" x14ac:dyDescent="0.3">
      <c r="AN4366">
        <v>4362</v>
      </c>
      <c r="AO4366" s="11">
        <v>26149.53</v>
      </c>
      <c r="AP4366" s="9">
        <v>3.7152842770008974</v>
      </c>
    </row>
    <row r="4367" spans="40:42" x14ac:dyDescent="0.3">
      <c r="AN4367">
        <v>4363</v>
      </c>
      <c r="AO4367" s="11">
        <v>21124.9</v>
      </c>
      <c r="AP4367" s="9">
        <v>2.8917979974286165</v>
      </c>
    </row>
    <row r="4368" spans="40:42" x14ac:dyDescent="0.3">
      <c r="AN4368">
        <v>4364</v>
      </c>
      <c r="AO4368" s="11">
        <v>20151.61</v>
      </c>
      <c r="AP4368" s="9">
        <v>3.5460930017782717</v>
      </c>
    </row>
    <row r="4369" spans="40:42" x14ac:dyDescent="0.3">
      <c r="AN4369">
        <v>4365</v>
      </c>
      <c r="AO4369" s="11">
        <v>19687.919999999998</v>
      </c>
      <c r="AP4369" s="9">
        <v>3.7674219373617386</v>
      </c>
    </row>
    <row r="4370" spans="40:42" x14ac:dyDescent="0.3">
      <c r="AN4370">
        <v>4366</v>
      </c>
      <c r="AO4370" s="11">
        <v>24655.86</v>
      </c>
      <c r="AP4370" s="9">
        <v>2.9751194337256424</v>
      </c>
    </row>
    <row r="4371" spans="40:42" x14ac:dyDescent="0.3">
      <c r="AN4371">
        <v>4367</v>
      </c>
      <c r="AO4371" s="11">
        <v>29959.19</v>
      </c>
      <c r="AP4371" s="9">
        <v>3.4529468809798698</v>
      </c>
    </row>
    <row r="4372" spans="40:42" x14ac:dyDescent="0.3">
      <c r="AN4372">
        <v>4368</v>
      </c>
      <c r="AO4372" s="11">
        <v>32120.43</v>
      </c>
      <c r="AP4372" s="9">
        <v>3.8484114530211637</v>
      </c>
    </row>
    <row r="4373" spans="40:42" x14ac:dyDescent="0.3">
      <c r="AN4373">
        <v>4369</v>
      </c>
      <c r="AO4373" s="11">
        <v>14377.16</v>
      </c>
      <c r="AP4373" s="9">
        <v>2.6401520004296199</v>
      </c>
    </row>
    <row r="4374" spans="40:42" x14ac:dyDescent="0.3">
      <c r="AN4374">
        <v>4370</v>
      </c>
      <c r="AO4374" s="11">
        <v>16537.93</v>
      </c>
      <c r="AP4374" s="9">
        <v>3.186235367071883</v>
      </c>
    </row>
    <row r="4375" spans="40:42" x14ac:dyDescent="0.3">
      <c r="AN4375">
        <v>4371</v>
      </c>
      <c r="AO4375" s="11">
        <v>26241</v>
      </c>
      <c r="AP4375" s="9">
        <v>3.338220343113163</v>
      </c>
    </row>
    <row r="4376" spans="40:42" x14ac:dyDescent="0.3">
      <c r="AN4376">
        <v>4372</v>
      </c>
      <c r="AO4376" s="11">
        <v>26016.61</v>
      </c>
      <c r="AP4376" s="9">
        <v>2.8069859104959587</v>
      </c>
    </row>
    <row r="4377" spans="40:42" x14ac:dyDescent="0.3">
      <c r="AN4377">
        <v>4373</v>
      </c>
      <c r="AO4377" s="11">
        <v>28757.06</v>
      </c>
      <c r="AP4377" s="9">
        <v>3.4509918176428291</v>
      </c>
    </row>
    <row r="4378" spans="40:42" x14ac:dyDescent="0.3">
      <c r="AN4378">
        <v>4374</v>
      </c>
      <c r="AO4378" s="11">
        <v>27286.42</v>
      </c>
      <c r="AP4378" s="9">
        <v>3.850616104381456</v>
      </c>
    </row>
    <row r="4379" spans="40:42" x14ac:dyDescent="0.3">
      <c r="AN4379">
        <v>4375</v>
      </c>
      <c r="AO4379" s="11">
        <v>19578.14</v>
      </c>
      <c r="AP4379" s="9">
        <v>3.3644834565035384</v>
      </c>
    </row>
    <row r="4380" spans="40:42" x14ac:dyDescent="0.3">
      <c r="AN4380">
        <v>4376</v>
      </c>
      <c r="AO4380" s="11">
        <v>24506.9</v>
      </c>
      <c r="AP4380" s="9">
        <v>3.2469418316303273</v>
      </c>
    </row>
    <row r="4381" spans="40:42" x14ac:dyDescent="0.3">
      <c r="AN4381">
        <v>4377</v>
      </c>
      <c r="AO4381" s="11">
        <v>22920.59</v>
      </c>
      <c r="AP4381" s="9">
        <v>2.8283969012148358</v>
      </c>
    </row>
    <row r="4382" spans="40:42" x14ac:dyDescent="0.3">
      <c r="AN4382">
        <v>4378</v>
      </c>
      <c r="AO4382" s="11">
        <v>36034.370000000003</v>
      </c>
      <c r="AP4382" s="9">
        <v>2.6653087403657367</v>
      </c>
    </row>
    <row r="4383" spans="40:42" x14ac:dyDescent="0.3">
      <c r="AN4383">
        <v>4379</v>
      </c>
      <c r="AO4383" s="11">
        <v>20080.79</v>
      </c>
      <c r="AP4383" s="9">
        <v>2.5087103248339564</v>
      </c>
    </row>
    <row r="4384" spans="40:42" x14ac:dyDescent="0.3">
      <c r="AN4384">
        <v>4380</v>
      </c>
      <c r="AO4384" s="11">
        <v>27953.38</v>
      </c>
      <c r="AP4384" s="9">
        <v>3.5633421112854071</v>
      </c>
    </row>
    <row r="4385" spans="40:42" x14ac:dyDescent="0.3">
      <c r="AN4385">
        <v>4381</v>
      </c>
      <c r="AO4385" s="11">
        <v>25158.11</v>
      </c>
      <c r="AP4385" s="9">
        <v>3.6011255564668101</v>
      </c>
    </row>
    <row r="4386" spans="40:42" x14ac:dyDescent="0.3">
      <c r="AN4386">
        <v>4382</v>
      </c>
      <c r="AO4386" s="11">
        <v>35451.24</v>
      </c>
      <c r="AP4386" s="9">
        <v>3.0593346979914466</v>
      </c>
    </row>
    <row r="4387" spans="40:42" x14ac:dyDescent="0.3">
      <c r="AN4387">
        <v>4383</v>
      </c>
      <c r="AO4387" s="11">
        <v>29530.28</v>
      </c>
      <c r="AP4387" s="9">
        <v>3.4925496568614003</v>
      </c>
    </row>
    <row r="4388" spans="40:42" x14ac:dyDescent="0.3">
      <c r="AN4388">
        <v>4384</v>
      </c>
      <c r="AO4388" s="11">
        <v>24457.200000000001</v>
      </c>
      <c r="AP4388" s="9">
        <v>3.6975266751293812</v>
      </c>
    </row>
    <row r="4389" spans="40:42" x14ac:dyDescent="0.3">
      <c r="AN4389">
        <v>4385</v>
      </c>
      <c r="AO4389" s="11">
        <v>18132.32</v>
      </c>
      <c r="AP4389" s="9">
        <v>3.7862217459339833</v>
      </c>
    </row>
    <row r="4390" spans="40:42" x14ac:dyDescent="0.3">
      <c r="AN4390">
        <v>4386</v>
      </c>
      <c r="AO4390" s="11">
        <v>19677.59</v>
      </c>
      <c r="AP4390" s="9">
        <v>3.2008730544242208</v>
      </c>
    </row>
    <row r="4391" spans="40:42" x14ac:dyDescent="0.3">
      <c r="AN4391">
        <v>4387</v>
      </c>
      <c r="AO4391" s="11">
        <v>33168.18</v>
      </c>
      <c r="AP4391" s="9">
        <v>3.5921596754586562</v>
      </c>
    </row>
    <row r="4392" spans="40:42" x14ac:dyDescent="0.3">
      <c r="AN4392">
        <v>4388</v>
      </c>
      <c r="AO4392" s="11">
        <v>25976.240000000002</v>
      </c>
      <c r="AP4392" s="9">
        <v>3.0325407288355595</v>
      </c>
    </row>
    <row r="4393" spans="40:42" x14ac:dyDescent="0.3">
      <c r="AN4393">
        <v>4389</v>
      </c>
      <c r="AO4393" s="11">
        <v>45114.03</v>
      </c>
      <c r="AP4393" s="9">
        <v>4.4458329343154794</v>
      </c>
    </row>
    <row r="4394" spans="40:42" x14ac:dyDescent="0.3">
      <c r="AN4394">
        <v>4390</v>
      </c>
      <c r="AO4394" s="11">
        <v>44347.12</v>
      </c>
      <c r="AP4394" s="9">
        <v>4.7068004639373928</v>
      </c>
    </row>
    <row r="4395" spans="40:42" x14ac:dyDescent="0.3">
      <c r="AN4395">
        <v>4391</v>
      </c>
      <c r="AO4395" s="11">
        <v>23735.24</v>
      </c>
      <c r="AP4395" s="9">
        <v>3.002725656801311</v>
      </c>
    </row>
    <row r="4396" spans="40:42" x14ac:dyDescent="0.3">
      <c r="AN4396">
        <v>4392</v>
      </c>
      <c r="AO4396" s="11">
        <v>18875.55</v>
      </c>
      <c r="AP4396" s="9">
        <v>2.9585115134214721</v>
      </c>
    </row>
    <row r="4397" spans="40:42" x14ac:dyDescent="0.3">
      <c r="AN4397">
        <v>4393</v>
      </c>
      <c r="AO4397" s="11">
        <v>21017.18</v>
      </c>
      <c r="AP4397" s="9">
        <v>3.3511552480378866</v>
      </c>
    </row>
    <row r="4398" spans="40:42" x14ac:dyDescent="0.3">
      <c r="AN4398">
        <v>4394</v>
      </c>
      <c r="AO4398" s="11">
        <v>29978.92</v>
      </c>
      <c r="AP4398" s="9">
        <v>3.7168071110682712</v>
      </c>
    </row>
    <row r="4399" spans="40:42" x14ac:dyDescent="0.3">
      <c r="AN4399">
        <v>4395</v>
      </c>
      <c r="AO4399" s="11">
        <v>31784.04</v>
      </c>
      <c r="AP4399" s="9">
        <v>3.0347943416129031</v>
      </c>
    </row>
    <row r="4400" spans="40:42" x14ac:dyDescent="0.3">
      <c r="AN4400">
        <v>4396</v>
      </c>
      <c r="AO4400" s="11">
        <v>36260.660000000003</v>
      </c>
      <c r="AP4400" s="9">
        <v>3.1306127924480465</v>
      </c>
    </row>
    <row r="4401" spans="40:42" x14ac:dyDescent="0.3">
      <c r="AN4401">
        <v>4397</v>
      </c>
      <c r="AO4401" s="11">
        <v>25481.82</v>
      </c>
      <c r="AP4401" s="9">
        <v>2.8348697614486627</v>
      </c>
    </row>
    <row r="4402" spans="40:42" x14ac:dyDescent="0.3">
      <c r="AN4402">
        <v>4398</v>
      </c>
      <c r="AO4402" s="11">
        <v>25633.87</v>
      </c>
      <c r="AP4402" s="9">
        <v>3.1216119781772385</v>
      </c>
    </row>
    <row r="4403" spans="40:42" x14ac:dyDescent="0.3">
      <c r="AN4403">
        <v>4399</v>
      </c>
      <c r="AO4403" s="11">
        <v>16379.17</v>
      </c>
      <c r="AP4403" s="9">
        <v>2.935937301436975</v>
      </c>
    </row>
    <row r="4404" spans="40:42" x14ac:dyDescent="0.3">
      <c r="AN4404">
        <v>4400</v>
      </c>
      <c r="AO4404" s="11">
        <v>37682.58</v>
      </c>
      <c r="AP4404" s="9">
        <v>2.9497252339306588</v>
      </c>
    </row>
    <row r="4405" spans="40:42" x14ac:dyDescent="0.3">
      <c r="AN4405">
        <v>4401</v>
      </c>
      <c r="AO4405" s="11">
        <v>22185.27</v>
      </c>
      <c r="AP4405" s="9">
        <v>3.3711862009227409</v>
      </c>
    </row>
    <row r="4406" spans="40:42" x14ac:dyDescent="0.3">
      <c r="AN4406">
        <v>4402</v>
      </c>
      <c r="AO4406" s="11">
        <v>18395.650000000001</v>
      </c>
      <c r="AP4406" s="9">
        <v>3.3396327606941112</v>
      </c>
    </row>
    <row r="4407" spans="40:42" x14ac:dyDescent="0.3">
      <c r="AN4407">
        <v>4403</v>
      </c>
      <c r="AO4407" s="11">
        <v>27935.77</v>
      </c>
      <c r="AP4407" s="9">
        <v>3.5948918927678792</v>
      </c>
    </row>
    <row r="4408" spans="40:42" x14ac:dyDescent="0.3">
      <c r="AN4408">
        <v>4404</v>
      </c>
      <c r="AO4408" s="11">
        <v>39845.08</v>
      </c>
      <c r="AP4408" s="9">
        <v>3.7425026453267063</v>
      </c>
    </row>
    <row r="4409" spans="40:42" x14ac:dyDescent="0.3">
      <c r="AN4409">
        <v>4405</v>
      </c>
      <c r="AO4409" s="11">
        <v>27534.15</v>
      </c>
      <c r="AP4409" s="9">
        <v>3.1040302255109764</v>
      </c>
    </row>
    <row r="4410" spans="40:42" x14ac:dyDescent="0.3">
      <c r="AN4410">
        <v>4406</v>
      </c>
      <c r="AO4410" s="11">
        <v>34275.980000000003</v>
      </c>
      <c r="AP4410" s="9">
        <v>3.0441686115456634</v>
      </c>
    </row>
    <row r="4411" spans="40:42" x14ac:dyDescent="0.3">
      <c r="AN4411">
        <v>4407</v>
      </c>
      <c r="AO4411" s="11">
        <v>33206.81</v>
      </c>
      <c r="AP4411" s="9">
        <v>3.7608155766307054</v>
      </c>
    </row>
    <row r="4412" spans="40:42" x14ac:dyDescent="0.3">
      <c r="AN4412">
        <v>4408</v>
      </c>
      <c r="AO4412" s="11">
        <v>35717.300000000003</v>
      </c>
      <c r="AP4412" s="9">
        <v>4.104653345477991</v>
      </c>
    </row>
    <row r="4413" spans="40:42" x14ac:dyDescent="0.3">
      <c r="AN4413">
        <v>4409</v>
      </c>
      <c r="AO4413" s="11">
        <v>16557.509999999998</v>
      </c>
      <c r="AP4413" s="9">
        <v>3.7285639596598776</v>
      </c>
    </row>
    <row r="4414" spans="40:42" x14ac:dyDescent="0.3">
      <c r="AN4414">
        <v>4410</v>
      </c>
      <c r="AO4414" s="11">
        <v>38260.82</v>
      </c>
      <c r="AP4414" s="9">
        <v>3.7984542869341058</v>
      </c>
    </row>
    <row r="4415" spans="40:42" x14ac:dyDescent="0.3">
      <c r="AN4415">
        <v>4411</v>
      </c>
      <c r="AO4415" s="11">
        <v>24402.46</v>
      </c>
      <c r="AP4415" s="9">
        <v>3.0977884877056034</v>
      </c>
    </row>
    <row r="4416" spans="40:42" x14ac:dyDescent="0.3">
      <c r="AN4416">
        <v>4412</v>
      </c>
      <c r="AO4416" s="11">
        <v>23717.68</v>
      </c>
      <c r="AP4416" s="9">
        <v>2.6325023254228768</v>
      </c>
    </row>
    <row r="4417" spans="40:42" x14ac:dyDescent="0.3">
      <c r="AN4417">
        <v>4413</v>
      </c>
      <c r="AO4417" s="11">
        <v>27869.9</v>
      </c>
      <c r="AP4417" s="9">
        <v>3.2792793272748044</v>
      </c>
    </row>
    <row r="4418" spans="40:42" x14ac:dyDescent="0.3">
      <c r="AN4418">
        <v>4414</v>
      </c>
      <c r="AO4418" s="11">
        <v>27286.06</v>
      </c>
      <c r="AP4418" s="9">
        <v>3.5053440031402183</v>
      </c>
    </row>
    <row r="4419" spans="40:42" x14ac:dyDescent="0.3">
      <c r="AN4419">
        <v>4415</v>
      </c>
      <c r="AO4419" s="11">
        <v>20826.04</v>
      </c>
      <c r="AP4419" s="9">
        <v>3.0260127210924828</v>
      </c>
    </row>
    <row r="4420" spans="40:42" x14ac:dyDescent="0.3">
      <c r="AN4420">
        <v>4416</v>
      </c>
      <c r="AO4420" s="11">
        <v>26280.13</v>
      </c>
      <c r="AP4420" s="9">
        <v>3.2522486729994537</v>
      </c>
    </row>
    <row r="4421" spans="40:42" x14ac:dyDescent="0.3">
      <c r="AN4421">
        <v>4417</v>
      </c>
      <c r="AO4421" s="11">
        <v>12282.7</v>
      </c>
      <c r="AP4421" s="9">
        <v>2.5312436983430948</v>
      </c>
    </row>
    <row r="4422" spans="40:42" x14ac:dyDescent="0.3">
      <c r="AN4422">
        <v>4418</v>
      </c>
      <c r="AO4422" s="11">
        <v>16782.14</v>
      </c>
      <c r="AP4422" s="9">
        <v>3.697456237264972</v>
      </c>
    </row>
    <row r="4423" spans="40:42" x14ac:dyDescent="0.3">
      <c r="AN4423">
        <v>4419</v>
      </c>
      <c r="AO4423" s="11">
        <v>25094.79</v>
      </c>
      <c r="AP4423" s="9">
        <v>3.0375806654112525</v>
      </c>
    </row>
    <row r="4424" spans="40:42" x14ac:dyDescent="0.3">
      <c r="AN4424">
        <v>4420</v>
      </c>
      <c r="AO4424" s="11">
        <v>20642.97</v>
      </c>
      <c r="AP4424" s="9">
        <v>3.1233445072700161</v>
      </c>
    </row>
    <row r="4425" spans="40:42" x14ac:dyDescent="0.3">
      <c r="AN4425">
        <v>4421</v>
      </c>
      <c r="AO4425" s="11">
        <v>26941.040000000001</v>
      </c>
      <c r="AP4425" s="9">
        <v>3.4970840696948708</v>
      </c>
    </row>
    <row r="4426" spans="40:42" x14ac:dyDescent="0.3">
      <c r="AN4426">
        <v>4422</v>
      </c>
      <c r="AO4426" s="11">
        <v>16661.650000000001</v>
      </c>
      <c r="AP4426" s="9">
        <v>3.1029519604673919</v>
      </c>
    </row>
    <row r="4427" spans="40:42" x14ac:dyDescent="0.3">
      <c r="AN4427">
        <v>4423</v>
      </c>
      <c r="AO4427" s="11">
        <v>25321.18</v>
      </c>
      <c r="AP4427" s="9">
        <v>3.8732885393129823</v>
      </c>
    </row>
    <row r="4428" spans="40:42" x14ac:dyDescent="0.3">
      <c r="AN4428">
        <v>4424</v>
      </c>
      <c r="AO4428" s="11">
        <v>40326.620000000003</v>
      </c>
      <c r="AP4428" s="9">
        <v>3.5641424428678987</v>
      </c>
    </row>
    <row r="4429" spans="40:42" x14ac:dyDescent="0.3">
      <c r="AN4429">
        <v>4425</v>
      </c>
      <c r="AO4429" s="11">
        <v>24191.25</v>
      </c>
      <c r="AP4429" s="9">
        <v>3.5824583034510162</v>
      </c>
    </row>
    <row r="4430" spans="40:42" x14ac:dyDescent="0.3">
      <c r="AN4430">
        <v>4426</v>
      </c>
      <c r="AO4430" s="11">
        <v>19489.09</v>
      </c>
      <c r="AP4430" s="9">
        <v>3.9885402332228463</v>
      </c>
    </row>
    <row r="4431" spans="40:42" x14ac:dyDescent="0.3">
      <c r="AN4431">
        <v>4427</v>
      </c>
      <c r="AO4431" s="11">
        <v>30020.85</v>
      </c>
      <c r="AP4431" s="9">
        <v>3.4434980263749817</v>
      </c>
    </row>
    <row r="4432" spans="40:42" x14ac:dyDescent="0.3">
      <c r="AN4432">
        <v>4428</v>
      </c>
      <c r="AO4432" s="11">
        <v>34585.599999999999</v>
      </c>
      <c r="AP4432" s="9">
        <v>3.3009199118380121</v>
      </c>
    </row>
    <row r="4433" spans="40:42" x14ac:dyDescent="0.3">
      <c r="AN4433">
        <v>4429</v>
      </c>
      <c r="AO4433" s="11">
        <v>42315.21</v>
      </c>
      <c r="AP4433" s="9">
        <v>3.4344831079828779</v>
      </c>
    </row>
    <row r="4434" spans="40:42" x14ac:dyDescent="0.3">
      <c r="AN4434">
        <v>4430</v>
      </c>
      <c r="AO4434" s="11">
        <v>36893.74</v>
      </c>
      <c r="AP4434" s="9">
        <v>3.8332292052107353</v>
      </c>
    </row>
    <row r="4435" spans="40:42" x14ac:dyDescent="0.3">
      <c r="AN4435">
        <v>4431</v>
      </c>
      <c r="AO4435" s="11">
        <v>33887.06</v>
      </c>
      <c r="AP4435" s="9">
        <v>3.4284556146218281</v>
      </c>
    </row>
    <row r="4436" spans="40:42" x14ac:dyDescent="0.3">
      <c r="AN4436">
        <v>4432</v>
      </c>
      <c r="AO4436" s="11">
        <v>34887</v>
      </c>
      <c r="AP4436" s="9">
        <v>2.8254235261453302</v>
      </c>
    </row>
    <row r="4437" spans="40:42" x14ac:dyDescent="0.3">
      <c r="AN4437">
        <v>4433</v>
      </c>
      <c r="AO4437" s="11">
        <v>34438.559999999998</v>
      </c>
      <c r="AP4437" s="9">
        <v>3.2189687457737501</v>
      </c>
    </row>
    <row r="4438" spans="40:42" x14ac:dyDescent="0.3">
      <c r="AN4438">
        <v>4434</v>
      </c>
      <c r="AO4438" s="11">
        <v>25646.07</v>
      </c>
      <c r="AP4438" s="9">
        <v>3.3626849985520888</v>
      </c>
    </row>
    <row r="4439" spans="40:42" x14ac:dyDescent="0.3">
      <c r="AN4439">
        <v>4435</v>
      </c>
      <c r="AO4439" s="11">
        <v>32015.85</v>
      </c>
      <c r="AP4439" s="9">
        <v>4.2587346988668635</v>
      </c>
    </row>
    <row r="4440" spans="40:42" x14ac:dyDescent="0.3">
      <c r="AN4440">
        <v>4436</v>
      </c>
      <c r="AO4440" s="11">
        <v>19313.36</v>
      </c>
      <c r="AP4440" s="9">
        <v>3.7561460117448187</v>
      </c>
    </row>
    <row r="4441" spans="40:42" x14ac:dyDescent="0.3">
      <c r="AN4441">
        <v>4437</v>
      </c>
      <c r="AO4441" s="11">
        <v>37097.5</v>
      </c>
      <c r="AP4441" s="9">
        <v>4.5051298247478391</v>
      </c>
    </row>
    <row r="4442" spans="40:42" x14ac:dyDescent="0.3">
      <c r="AN4442">
        <v>4438</v>
      </c>
      <c r="AO4442" s="11">
        <v>25579.69</v>
      </c>
      <c r="AP4442" s="9">
        <v>3.0624851291261264</v>
      </c>
    </row>
    <row r="4443" spans="40:42" x14ac:dyDescent="0.3">
      <c r="AN4443">
        <v>4439</v>
      </c>
      <c r="AO4443" s="11">
        <v>33055.32</v>
      </c>
      <c r="AP4443" s="9">
        <v>3.5707317696526002</v>
      </c>
    </row>
    <row r="4444" spans="40:42" x14ac:dyDescent="0.3">
      <c r="AN4444">
        <v>4440</v>
      </c>
      <c r="AO4444" s="11">
        <v>33411.69</v>
      </c>
      <c r="AP4444" s="9">
        <v>3.297838818540261</v>
      </c>
    </row>
    <row r="4445" spans="40:42" x14ac:dyDescent="0.3">
      <c r="AN4445">
        <v>4441</v>
      </c>
      <c r="AO4445" s="11">
        <v>20596.2</v>
      </c>
      <c r="AP4445" s="9">
        <v>3.0748725838099573</v>
      </c>
    </row>
    <row r="4446" spans="40:42" x14ac:dyDescent="0.3">
      <c r="AN4446">
        <v>4442</v>
      </c>
      <c r="AO4446" s="11">
        <v>24728.44</v>
      </c>
      <c r="AP4446" s="9">
        <v>3.9697542902923257</v>
      </c>
    </row>
    <row r="4447" spans="40:42" x14ac:dyDescent="0.3">
      <c r="AN4447">
        <v>4443</v>
      </c>
      <c r="AO4447" s="11">
        <v>21675.29</v>
      </c>
      <c r="AP4447" s="9">
        <v>3.3171491030675728</v>
      </c>
    </row>
    <row r="4448" spans="40:42" x14ac:dyDescent="0.3">
      <c r="AN4448">
        <v>4444</v>
      </c>
      <c r="AO4448" s="11">
        <v>18405.419999999998</v>
      </c>
      <c r="AP4448" s="9">
        <v>3.0899170309627495</v>
      </c>
    </row>
    <row r="4449" spans="40:42" x14ac:dyDescent="0.3">
      <c r="AN4449">
        <v>4445</v>
      </c>
      <c r="AO4449" s="11">
        <v>20130.27</v>
      </c>
      <c r="AP4449" s="9">
        <v>2.8261165669932731</v>
      </c>
    </row>
    <row r="4450" spans="40:42" x14ac:dyDescent="0.3">
      <c r="AN4450">
        <v>4446</v>
      </c>
      <c r="AO4450" s="11">
        <v>28336.560000000001</v>
      </c>
      <c r="AP4450" s="9">
        <v>3.3658198193778661</v>
      </c>
    </row>
    <row r="4451" spans="40:42" x14ac:dyDescent="0.3">
      <c r="AN4451">
        <v>4447</v>
      </c>
      <c r="AO4451" s="11">
        <v>31363.87</v>
      </c>
      <c r="AP4451" s="9">
        <v>3.5257123825862537</v>
      </c>
    </row>
    <row r="4452" spans="40:42" x14ac:dyDescent="0.3">
      <c r="AN4452">
        <v>4448</v>
      </c>
      <c r="AO4452" s="11">
        <v>34421.93</v>
      </c>
      <c r="AP4452" s="9">
        <v>3.9264426961952466</v>
      </c>
    </row>
    <row r="4453" spans="40:42" x14ac:dyDescent="0.3">
      <c r="AN4453">
        <v>4449</v>
      </c>
      <c r="AO4453" s="11">
        <v>26494.400000000001</v>
      </c>
      <c r="AP4453" s="9">
        <v>3.3903565946793179</v>
      </c>
    </row>
    <row r="4454" spans="40:42" x14ac:dyDescent="0.3">
      <c r="AN4454">
        <v>4450</v>
      </c>
      <c r="AO4454" s="11">
        <v>20979.360000000001</v>
      </c>
      <c r="AP4454" s="9">
        <v>3.7463840913596482</v>
      </c>
    </row>
    <row r="4455" spans="40:42" x14ac:dyDescent="0.3">
      <c r="AN4455">
        <v>4451</v>
      </c>
      <c r="AO4455" s="11">
        <v>19015.04</v>
      </c>
      <c r="AP4455" s="9">
        <v>3.7254499969756165</v>
      </c>
    </row>
    <row r="4456" spans="40:42" x14ac:dyDescent="0.3">
      <c r="AN4456">
        <v>4452</v>
      </c>
      <c r="AO4456" s="11">
        <v>24895.919999999998</v>
      </c>
      <c r="AP4456" s="9">
        <v>2.7633118016010165</v>
      </c>
    </row>
    <row r="4457" spans="40:42" x14ac:dyDescent="0.3">
      <c r="AN4457">
        <v>4453</v>
      </c>
      <c r="AO4457" s="11">
        <v>26669.119999999999</v>
      </c>
      <c r="AP4457" s="9">
        <v>3.4240844271079975</v>
      </c>
    </row>
    <row r="4458" spans="40:42" x14ac:dyDescent="0.3">
      <c r="AN4458">
        <v>4454</v>
      </c>
      <c r="AO4458" s="11">
        <v>33175.49</v>
      </c>
      <c r="AP4458" s="9">
        <v>4.1374718952791945</v>
      </c>
    </row>
    <row r="4459" spans="40:42" x14ac:dyDescent="0.3">
      <c r="AN4459">
        <v>4455</v>
      </c>
      <c r="AO4459" s="11">
        <v>31025.040000000001</v>
      </c>
      <c r="AP4459" s="9">
        <v>4.1438728605388198</v>
      </c>
    </row>
    <row r="4460" spans="40:42" x14ac:dyDescent="0.3">
      <c r="AN4460">
        <v>4456</v>
      </c>
      <c r="AO4460" s="11">
        <v>11492.96</v>
      </c>
      <c r="AP4460" s="9">
        <v>3.2192607442332908</v>
      </c>
    </row>
    <row r="4461" spans="40:42" x14ac:dyDescent="0.3">
      <c r="AN4461">
        <v>4457</v>
      </c>
      <c r="AO4461" s="11">
        <v>14844.75</v>
      </c>
      <c r="AP4461" s="9">
        <v>2.8053611100416891</v>
      </c>
    </row>
    <row r="4462" spans="40:42" x14ac:dyDescent="0.3">
      <c r="AN4462">
        <v>4458</v>
      </c>
      <c r="AO4462" s="11">
        <v>19354.689999999999</v>
      </c>
      <c r="AP4462" s="9">
        <v>3.2386253916176484</v>
      </c>
    </row>
    <row r="4463" spans="40:42" x14ac:dyDescent="0.3">
      <c r="AN4463">
        <v>4459</v>
      </c>
      <c r="AO4463" s="11">
        <v>57881.61</v>
      </c>
      <c r="AP4463" s="9">
        <v>3.4947689524337626</v>
      </c>
    </row>
    <row r="4464" spans="40:42" x14ac:dyDescent="0.3">
      <c r="AN4464">
        <v>4460</v>
      </c>
      <c r="AO4464" s="11">
        <v>26283.93</v>
      </c>
      <c r="AP4464" s="9">
        <v>2.8851632002125651</v>
      </c>
    </row>
    <row r="4465" spans="40:42" x14ac:dyDescent="0.3">
      <c r="AN4465">
        <v>4461</v>
      </c>
      <c r="AO4465" s="11">
        <v>25946.77</v>
      </c>
      <c r="AP4465" s="9">
        <v>3.0762607934771884</v>
      </c>
    </row>
    <row r="4466" spans="40:42" x14ac:dyDescent="0.3">
      <c r="AN4466">
        <v>4462</v>
      </c>
      <c r="AO4466" s="11">
        <v>27558.91</v>
      </c>
      <c r="AP4466" s="9">
        <v>3.3736343973113936</v>
      </c>
    </row>
    <row r="4467" spans="40:42" x14ac:dyDescent="0.3">
      <c r="AN4467">
        <v>4463</v>
      </c>
      <c r="AO4467" s="11">
        <v>22966.46</v>
      </c>
      <c r="AP4467" s="9">
        <v>3.4020859672915158</v>
      </c>
    </row>
    <row r="4468" spans="40:42" x14ac:dyDescent="0.3">
      <c r="AN4468">
        <v>4464</v>
      </c>
      <c r="AO4468" s="11">
        <v>41111.870000000003</v>
      </c>
      <c r="AP4468" s="9">
        <v>4.0294752072176259</v>
      </c>
    </row>
    <row r="4469" spans="40:42" x14ac:dyDescent="0.3">
      <c r="AN4469">
        <v>4465</v>
      </c>
      <c r="AO4469" s="11">
        <v>22127.45</v>
      </c>
      <c r="AP4469" s="9">
        <v>3.6473378257138651</v>
      </c>
    </row>
    <row r="4470" spans="40:42" x14ac:dyDescent="0.3">
      <c r="AN4470">
        <v>4466</v>
      </c>
      <c r="AO4470" s="11">
        <v>38400.050000000003</v>
      </c>
      <c r="AP4470" s="9">
        <v>3.6157454881904005</v>
      </c>
    </row>
    <row r="4471" spans="40:42" x14ac:dyDescent="0.3">
      <c r="AN4471">
        <v>4467</v>
      </c>
      <c r="AO4471" s="11">
        <v>39856.94</v>
      </c>
      <c r="AP4471" s="9">
        <v>3.6470987984072396</v>
      </c>
    </row>
    <row r="4472" spans="40:42" x14ac:dyDescent="0.3">
      <c r="AN4472">
        <v>4468</v>
      </c>
      <c r="AO4472" s="11">
        <v>35698.949999999997</v>
      </c>
      <c r="AP4472" s="9">
        <v>3.2964230330048268</v>
      </c>
    </row>
    <row r="4473" spans="40:42" x14ac:dyDescent="0.3">
      <c r="AN4473">
        <v>4469</v>
      </c>
      <c r="AO4473" s="11">
        <v>18903.669999999998</v>
      </c>
      <c r="AP4473" s="9">
        <v>3.3575567087317126</v>
      </c>
    </row>
    <row r="4474" spans="40:42" x14ac:dyDescent="0.3">
      <c r="AN4474">
        <v>4470</v>
      </c>
      <c r="AO4474" s="11">
        <v>39975.269999999997</v>
      </c>
      <c r="AP4474" s="9">
        <v>3.2689642400361016</v>
      </c>
    </row>
    <row r="4475" spans="40:42" x14ac:dyDescent="0.3">
      <c r="AN4475">
        <v>4471</v>
      </c>
      <c r="AO4475" s="11">
        <v>36608.28</v>
      </c>
      <c r="AP4475" s="9">
        <v>3.9026318103959801</v>
      </c>
    </row>
    <row r="4476" spans="40:42" x14ac:dyDescent="0.3">
      <c r="AN4476">
        <v>4472</v>
      </c>
      <c r="AO4476" s="11">
        <v>24031.05</v>
      </c>
      <c r="AP4476" s="9">
        <v>3.8195477528666131</v>
      </c>
    </row>
    <row r="4477" spans="40:42" x14ac:dyDescent="0.3">
      <c r="AN4477">
        <v>4473</v>
      </c>
      <c r="AO4477" s="11">
        <v>38152.550000000003</v>
      </c>
      <c r="AP4477" s="9">
        <v>3.9085539357819674</v>
      </c>
    </row>
    <row r="4478" spans="40:42" x14ac:dyDescent="0.3">
      <c r="AN4478">
        <v>4474</v>
      </c>
      <c r="AO4478" s="11">
        <v>37535.050000000003</v>
      </c>
      <c r="AP4478" s="9">
        <v>2.7092788849210381</v>
      </c>
    </row>
    <row r="4479" spans="40:42" x14ac:dyDescent="0.3">
      <c r="AN4479">
        <v>4475</v>
      </c>
      <c r="AO4479" s="11">
        <v>39514.800000000003</v>
      </c>
      <c r="AP4479" s="9">
        <v>3.6293340404584939</v>
      </c>
    </row>
    <row r="4480" spans="40:42" x14ac:dyDescent="0.3">
      <c r="AN4480">
        <v>4476</v>
      </c>
      <c r="AO4480" s="11">
        <v>34342.910000000003</v>
      </c>
      <c r="AP4480" s="9">
        <v>3.1852777169852753</v>
      </c>
    </row>
    <row r="4481" spans="40:42" x14ac:dyDescent="0.3">
      <c r="AN4481">
        <v>4477</v>
      </c>
      <c r="AO4481" s="11">
        <v>27852.58</v>
      </c>
      <c r="AP4481" s="9">
        <v>3.2963711783407952</v>
      </c>
    </row>
    <row r="4482" spans="40:42" x14ac:dyDescent="0.3">
      <c r="AN4482">
        <v>4478</v>
      </c>
      <c r="AO4482" s="11">
        <v>29187.17</v>
      </c>
      <c r="AP4482" s="9">
        <v>3.3041877793749479</v>
      </c>
    </row>
    <row r="4483" spans="40:42" x14ac:dyDescent="0.3">
      <c r="AN4483">
        <v>4479</v>
      </c>
      <c r="AO4483" s="11">
        <v>23207.13</v>
      </c>
      <c r="AP4483" s="9">
        <v>4.2626878962070149</v>
      </c>
    </row>
    <row r="4484" spans="40:42" x14ac:dyDescent="0.3">
      <c r="AN4484">
        <v>4480</v>
      </c>
      <c r="AO4484" s="11">
        <v>17841.07</v>
      </c>
      <c r="AP4484" s="9">
        <v>2.8721892608628408</v>
      </c>
    </row>
    <row r="4485" spans="40:42" x14ac:dyDescent="0.3">
      <c r="AN4485">
        <v>4481</v>
      </c>
      <c r="AO4485" s="11">
        <v>22929.43</v>
      </c>
      <c r="AP4485" s="9">
        <v>3.2025218596295488</v>
      </c>
    </row>
    <row r="4486" spans="40:42" x14ac:dyDescent="0.3">
      <c r="AN4486">
        <v>4482</v>
      </c>
      <c r="AO4486" s="11">
        <v>37055.300000000003</v>
      </c>
      <c r="AP4486" s="9">
        <v>2.9140836397630991</v>
      </c>
    </row>
    <row r="4487" spans="40:42" x14ac:dyDescent="0.3">
      <c r="AN4487">
        <v>4483</v>
      </c>
      <c r="AO4487" s="11">
        <v>27143.72</v>
      </c>
      <c r="AP4487" s="9">
        <v>3.8609765525302961</v>
      </c>
    </row>
    <row r="4488" spans="40:42" x14ac:dyDescent="0.3">
      <c r="AN4488">
        <v>4484</v>
      </c>
      <c r="AO4488" s="11">
        <v>33804.51</v>
      </c>
      <c r="AP4488" s="9">
        <v>3.7863226158653283</v>
      </c>
    </row>
    <row r="4489" spans="40:42" x14ac:dyDescent="0.3">
      <c r="AN4489">
        <v>4485</v>
      </c>
      <c r="AO4489" s="11">
        <v>24502.27</v>
      </c>
      <c r="AP4489" s="9">
        <v>3.4131409232556513</v>
      </c>
    </row>
    <row r="4490" spans="40:42" x14ac:dyDescent="0.3">
      <c r="AN4490">
        <v>4486</v>
      </c>
      <c r="AO4490" s="11">
        <v>19135.650000000001</v>
      </c>
      <c r="AP4490" s="9">
        <v>3.3030609418054095</v>
      </c>
    </row>
    <row r="4491" spans="40:42" x14ac:dyDescent="0.3">
      <c r="AN4491">
        <v>4487</v>
      </c>
      <c r="AO4491" s="11">
        <v>19558.25</v>
      </c>
      <c r="AP4491" s="9">
        <v>3.6608101712942411</v>
      </c>
    </row>
    <row r="4492" spans="40:42" x14ac:dyDescent="0.3">
      <c r="AN4492">
        <v>4488</v>
      </c>
      <c r="AO4492" s="11">
        <v>18988.89</v>
      </c>
      <c r="AP4492" s="9">
        <v>2.8364693644849743</v>
      </c>
    </row>
    <row r="4493" spans="40:42" x14ac:dyDescent="0.3">
      <c r="AN4493">
        <v>4489</v>
      </c>
      <c r="AO4493" s="11">
        <v>21984.92</v>
      </c>
      <c r="AP4493" s="9">
        <v>2.8188883324388825</v>
      </c>
    </row>
    <row r="4494" spans="40:42" x14ac:dyDescent="0.3">
      <c r="AN4494">
        <v>4490</v>
      </c>
      <c r="AO4494" s="11">
        <v>29540.55</v>
      </c>
      <c r="AP4494" s="9">
        <v>3.5347920549286425</v>
      </c>
    </row>
    <row r="4495" spans="40:42" x14ac:dyDescent="0.3">
      <c r="AN4495">
        <v>4491</v>
      </c>
      <c r="AO4495" s="11">
        <v>19567.080000000002</v>
      </c>
      <c r="AP4495" s="9">
        <v>3.2573481053270013</v>
      </c>
    </row>
    <row r="4496" spans="40:42" x14ac:dyDescent="0.3">
      <c r="AN4496">
        <v>4492</v>
      </c>
      <c r="AO4496" s="11">
        <v>35177.69</v>
      </c>
      <c r="AP4496" s="9">
        <v>3.4475962242028388</v>
      </c>
    </row>
    <row r="4497" spans="40:42" x14ac:dyDescent="0.3">
      <c r="AN4497">
        <v>4493</v>
      </c>
      <c r="AO4497" s="11">
        <v>24481.25</v>
      </c>
      <c r="AP4497" s="9">
        <v>2.9252617793541962</v>
      </c>
    </row>
    <row r="4498" spans="40:42" x14ac:dyDescent="0.3">
      <c r="AN4498">
        <v>4494</v>
      </c>
      <c r="AO4498" s="11">
        <v>22369.75</v>
      </c>
      <c r="AP4498" s="9">
        <v>2.9106443143819583</v>
      </c>
    </row>
    <row r="4499" spans="40:42" x14ac:dyDescent="0.3">
      <c r="AN4499">
        <v>4495</v>
      </c>
      <c r="AO4499" s="11">
        <v>23193.439999999999</v>
      </c>
      <c r="AP4499" s="9">
        <v>3.6370775737904779</v>
      </c>
    </row>
    <row r="4500" spans="40:42" x14ac:dyDescent="0.3">
      <c r="AN4500">
        <v>4496</v>
      </c>
      <c r="AO4500" s="11">
        <v>22041.86</v>
      </c>
      <c r="AP4500" s="9">
        <v>3.6721623412482067</v>
      </c>
    </row>
    <row r="4501" spans="40:42" x14ac:dyDescent="0.3">
      <c r="AN4501">
        <v>4497</v>
      </c>
      <c r="AO4501" s="11">
        <v>29809.21</v>
      </c>
      <c r="AP4501" s="9">
        <v>3.4619721275878894</v>
      </c>
    </row>
    <row r="4502" spans="40:42" x14ac:dyDescent="0.3">
      <c r="AN4502">
        <v>4498</v>
      </c>
      <c r="AO4502" s="11">
        <v>17984.68</v>
      </c>
      <c r="AP4502" s="9">
        <v>3.4906724062782608</v>
      </c>
    </row>
    <row r="4503" spans="40:42" x14ac:dyDescent="0.3">
      <c r="AN4503">
        <v>4499</v>
      </c>
      <c r="AO4503" s="11">
        <v>25492.04</v>
      </c>
      <c r="AP4503" s="9">
        <v>2.8355940691583079</v>
      </c>
    </row>
    <row r="4504" spans="40:42" x14ac:dyDescent="0.3">
      <c r="AN4504">
        <v>4500</v>
      </c>
      <c r="AO4504" s="11">
        <v>29208.84</v>
      </c>
      <c r="AP4504" s="9">
        <v>3.2073212349642968</v>
      </c>
    </row>
    <row r="4505" spans="40:42" x14ac:dyDescent="0.3">
      <c r="AN4505">
        <v>4501</v>
      </c>
      <c r="AO4505" s="11">
        <v>21010.13</v>
      </c>
      <c r="AP4505" s="9">
        <v>3.2134629324363591</v>
      </c>
    </row>
    <row r="4506" spans="40:42" x14ac:dyDescent="0.3">
      <c r="AN4506">
        <v>4502</v>
      </c>
      <c r="AO4506" s="11">
        <v>18750.46</v>
      </c>
      <c r="AP4506" s="9">
        <v>3.0180098199613781</v>
      </c>
    </row>
    <row r="4507" spans="40:42" x14ac:dyDescent="0.3">
      <c r="AN4507">
        <v>4503</v>
      </c>
      <c r="AO4507" s="11">
        <v>31816.75</v>
      </c>
      <c r="AP4507" s="9">
        <v>3.1244710753851299</v>
      </c>
    </row>
    <row r="4508" spans="40:42" x14ac:dyDescent="0.3">
      <c r="AN4508">
        <v>4504</v>
      </c>
      <c r="AO4508" s="11">
        <v>43812.99</v>
      </c>
      <c r="AP4508" s="9">
        <v>3.5965910131955088</v>
      </c>
    </row>
    <row r="4509" spans="40:42" x14ac:dyDescent="0.3">
      <c r="AN4509">
        <v>4505</v>
      </c>
      <c r="AO4509" s="11">
        <v>32892.410000000003</v>
      </c>
      <c r="AP4509" s="9">
        <v>4.5162860827376923</v>
      </c>
    </row>
    <row r="4510" spans="40:42" x14ac:dyDescent="0.3">
      <c r="AN4510">
        <v>4506</v>
      </c>
      <c r="AO4510" s="11">
        <v>24721.91</v>
      </c>
      <c r="AP4510" s="9">
        <v>3.1979012184094144</v>
      </c>
    </row>
    <row r="4511" spans="40:42" x14ac:dyDescent="0.3">
      <c r="AN4511">
        <v>4507</v>
      </c>
      <c r="AO4511" s="11">
        <v>27073.22</v>
      </c>
      <c r="AP4511" s="9">
        <v>3.187248995554278</v>
      </c>
    </row>
    <row r="4512" spans="40:42" x14ac:dyDescent="0.3">
      <c r="AN4512">
        <v>4508</v>
      </c>
      <c r="AO4512" s="11">
        <v>21033.03</v>
      </c>
      <c r="AP4512" s="9">
        <v>3.6384964938332254</v>
      </c>
    </row>
    <row r="4513" spans="40:42" x14ac:dyDescent="0.3">
      <c r="AN4513">
        <v>4509</v>
      </c>
      <c r="AO4513" s="11">
        <v>30208.84</v>
      </c>
      <c r="AP4513" s="9">
        <v>2.7613873141838678</v>
      </c>
    </row>
    <row r="4514" spans="40:42" x14ac:dyDescent="0.3">
      <c r="AN4514">
        <v>4510</v>
      </c>
      <c r="AO4514" s="11">
        <v>11521.67</v>
      </c>
      <c r="AP4514" s="9">
        <v>2.8973797859628228</v>
      </c>
    </row>
    <row r="4515" spans="40:42" x14ac:dyDescent="0.3">
      <c r="AN4515">
        <v>4511</v>
      </c>
      <c r="AO4515" s="11">
        <v>32112.94</v>
      </c>
      <c r="AP4515" s="9">
        <v>3.9934628877041152</v>
      </c>
    </row>
    <row r="4516" spans="40:42" x14ac:dyDescent="0.3">
      <c r="AN4516">
        <v>4512</v>
      </c>
      <c r="AO4516" s="11">
        <v>19326.62</v>
      </c>
      <c r="AP4516" s="9">
        <v>3.1005996296922085</v>
      </c>
    </row>
    <row r="4517" spans="40:42" x14ac:dyDescent="0.3">
      <c r="AN4517">
        <v>4513</v>
      </c>
      <c r="AO4517" s="11">
        <v>20435.849999999999</v>
      </c>
      <c r="AP4517" s="9">
        <v>3.001082213397912</v>
      </c>
    </row>
    <row r="4518" spans="40:42" x14ac:dyDescent="0.3">
      <c r="AN4518">
        <v>4514</v>
      </c>
      <c r="AO4518" s="11">
        <v>25462.54</v>
      </c>
      <c r="AP4518" s="9">
        <v>3.1809287329447775</v>
      </c>
    </row>
    <row r="4519" spans="40:42" x14ac:dyDescent="0.3">
      <c r="AN4519">
        <v>4515</v>
      </c>
      <c r="AO4519" s="11">
        <v>25834.55</v>
      </c>
      <c r="AP4519" s="9">
        <v>3.5302296308346492</v>
      </c>
    </row>
    <row r="4520" spans="40:42" x14ac:dyDescent="0.3">
      <c r="AN4520">
        <v>4516</v>
      </c>
      <c r="AO4520" s="11">
        <v>32570.77</v>
      </c>
      <c r="AP4520" s="9">
        <v>4.0067896668902083</v>
      </c>
    </row>
    <row r="4521" spans="40:42" x14ac:dyDescent="0.3">
      <c r="AN4521">
        <v>4517</v>
      </c>
      <c r="AO4521" s="11">
        <v>41183.769999999997</v>
      </c>
      <c r="AP4521" s="9">
        <v>2.9346058887927762</v>
      </c>
    </row>
    <row r="4522" spans="40:42" x14ac:dyDescent="0.3">
      <c r="AN4522">
        <v>4518</v>
      </c>
      <c r="AO4522" s="11">
        <v>16111.39</v>
      </c>
      <c r="AP4522" s="9">
        <v>3.1570489613857351</v>
      </c>
    </row>
    <row r="4523" spans="40:42" x14ac:dyDescent="0.3">
      <c r="AN4523">
        <v>4519</v>
      </c>
      <c r="AO4523" s="11">
        <v>29213.200000000001</v>
      </c>
      <c r="AP4523" s="9">
        <v>3.2388359253297789</v>
      </c>
    </row>
    <row r="4524" spans="40:42" x14ac:dyDescent="0.3">
      <c r="AN4524">
        <v>4520</v>
      </c>
      <c r="AO4524" s="11">
        <v>26136.99</v>
      </c>
      <c r="AP4524" s="9">
        <v>3.376152169907737</v>
      </c>
    </row>
    <row r="4525" spans="40:42" x14ac:dyDescent="0.3">
      <c r="AN4525">
        <v>4521</v>
      </c>
      <c r="AO4525" s="11">
        <v>29764.400000000001</v>
      </c>
      <c r="AP4525" s="9">
        <v>3.7153607361220224</v>
      </c>
    </row>
    <row r="4526" spans="40:42" x14ac:dyDescent="0.3">
      <c r="AN4526">
        <v>4522</v>
      </c>
      <c r="AO4526" s="11">
        <v>25377.5</v>
      </c>
      <c r="AP4526" s="9">
        <v>3.4370247333017683</v>
      </c>
    </row>
    <row r="4527" spans="40:42" x14ac:dyDescent="0.3">
      <c r="AN4527">
        <v>4523</v>
      </c>
      <c r="AO4527" s="11">
        <v>31466.5</v>
      </c>
      <c r="AP4527" s="9">
        <v>3.5041021813578466</v>
      </c>
    </row>
    <row r="4528" spans="40:42" x14ac:dyDescent="0.3">
      <c r="AN4528">
        <v>4524</v>
      </c>
      <c r="AO4528" s="11">
        <v>38563.35</v>
      </c>
      <c r="AP4528" s="9">
        <v>4.4056087973719746</v>
      </c>
    </row>
    <row r="4529" spans="40:42" x14ac:dyDescent="0.3">
      <c r="AN4529">
        <v>4525</v>
      </c>
      <c r="AO4529" s="11">
        <v>31944.86</v>
      </c>
      <c r="AP4529" s="9">
        <v>3.5840647274383515</v>
      </c>
    </row>
    <row r="4530" spans="40:42" x14ac:dyDescent="0.3">
      <c r="AN4530">
        <v>4526</v>
      </c>
      <c r="AO4530" s="11">
        <v>15581.83</v>
      </c>
      <c r="AP4530" s="9">
        <v>2.8738965820558602</v>
      </c>
    </row>
    <row r="4531" spans="40:42" x14ac:dyDescent="0.3">
      <c r="AN4531">
        <v>4527</v>
      </c>
      <c r="AO4531" s="11">
        <v>28091.07</v>
      </c>
      <c r="AP4531" s="9">
        <v>3.935914656624746</v>
      </c>
    </row>
    <row r="4532" spans="40:42" x14ac:dyDescent="0.3">
      <c r="AN4532">
        <v>4528</v>
      </c>
      <c r="AO4532" s="11">
        <v>19903.650000000001</v>
      </c>
      <c r="AP4532" s="9">
        <v>2.9876449040122854</v>
      </c>
    </row>
    <row r="4533" spans="40:42" x14ac:dyDescent="0.3">
      <c r="AN4533">
        <v>4529</v>
      </c>
      <c r="AO4533" s="11">
        <v>29464.41</v>
      </c>
      <c r="AP4533" s="9">
        <v>2.852646486693033</v>
      </c>
    </row>
    <row r="4534" spans="40:42" x14ac:dyDescent="0.3">
      <c r="AN4534">
        <v>4530</v>
      </c>
      <c r="AO4534" s="11">
        <v>24450.26</v>
      </c>
      <c r="AP4534" s="9">
        <v>3.6130694023593053</v>
      </c>
    </row>
    <row r="4535" spans="40:42" x14ac:dyDescent="0.3">
      <c r="AN4535">
        <v>4531</v>
      </c>
      <c r="AO4535" s="11">
        <v>26707.74</v>
      </c>
      <c r="AP4535" s="9">
        <v>3.6085982624719901</v>
      </c>
    </row>
    <row r="4536" spans="40:42" x14ac:dyDescent="0.3">
      <c r="AN4536">
        <v>4532</v>
      </c>
      <c r="AO4536" s="11">
        <v>20979.39</v>
      </c>
      <c r="AP4536" s="9">
        <v>3.6787367026573254</v>
      </c>
    </row>
    <row r="4537" spans="40:42" x14ac:dyDescent="0.3">
      <c r="AN4537">
        <v>4533</v>
      </c>
      <c r="AO4537" s="11">
        <v>29821.86</v>
      </c>
      <c r="AP4537" s="9">
        <v>3.4482975167594891</v>
      </c>
    </row>
    <row r="4538" spans="40:42" x14ac:dyDescent="0.3">
      <c r="AN4538">
        <v>4534</v>
      </c>
      <c r="AO4538" s="11">
        <v>21115.4</v>
      </c>
      <c r="AP4538" s="9">
        <v>2.9395535707933655</v>
      </c>
    </row>
    <row r="4539" spans="40:42" x14ac:dyDescent="0.3">
      <c r="AN4539">
        <v>4535</v>
      </c>
      <c r="AO4539" s="11">
        <v>33086.5</v>
      </c>
      <c r="AP4539" s="9">
        <v>3.2424799480835089</v>
      </c>
    </row>
    <row r="4540" spans="40:42" x14ac:dyDescent="0.3">
      <c r="AN4540">
        <v>4536</v>
      </c>
      <c r="AO4540" s="11">
        <v>25378.48</v>
      </c>
      <c r="AP4540" s="9">
        <v>3.1834487352710359</v>
      </c>
    </row>
    <row r="4541" spans="40:42" x14ac:dyDescent="0.3">
      <c r="AN4541">
        <v>4537</v>
      </c>
      <c r="AO4541" s="11">
        <v>26328.48</v>
      </c>
      <c r="AP4541" s="9">
        <v>3.1188194498724506</v>
      </c>
    </row>
    <row r="4542" spans="40:42" x14ac:dyDescent="0.3">
      <c r="AN4542">
        <v>4538</v>
      </c>
      <c r="AO4542" s="11">
        <v>25221.040000000001</v>
      </c>
      <c r="AP4542" s="9">
        <v>3.6080625181839436</v>
      </c>
    </row>
    <row r="4543" spans="40:42" x14ac:dyDescent="0.3">
      <c r="AN4543">
        <v>4539</v>
      </c>
      <c r="AO4543" s="11">
        <v>38735.57</v>
      </c>
      <c r="AP4543" s="9">
        <v>3.2922861767249496</v>
      </c>
    </row>
    <row r="4544" spans="40:42" x14ac:dyDescent="0.3">
      <c r="AN4544">
        <v>4540</v>
      </c>
      <c r="AO4544" s="11">
        <v>34506.79</v>
      </c>
      <c r="AP4544" s="9">
        <v>3.8033064371778131</v>
      </c>
    </row>
    <row r="4545" spans="40:42" x14ac:dyDescent="0.3">
      <c r="AN4545">
        <v>4541</v>
      </c>
      <c r="AO4545" s="11">
        <v>33301.31</v>
      </c>
      <c r="AP4545" s="9">
        <v>3.5707765817941821</v>
      </c>
    </row>
    <row r="4546" spans="40:42" x14ac:dyDescent="0.3">
      <c r="AN4546">
        <v>4542</v>
      </c>
      <c r="AO4546" s="11">
        <v>53595.72</v>
      </c>
      <c r="AP4546" s="9">
        <v>3.7427135247511547</v>
      </c>
    </row>
    <row r="4547" spans="40:42" x14ac:dyDescent="0.3">
      <c r="AN4547">
        <v>4543</v>
      </c>
      <c r="AO4547" s="11">
        <v>29560.89</v>
      </c>
      <c r="AP4547" s="9">
        <v>3.8859718389754825</v>
      </c>
    </row>
    <row r="4548" spans="40:42" x14ac:dyDescent="0.3">
      <c r="AN4548">
        <v>4544</v>
      </c>
      <c r="AO4548" s="11">
        <v>29097.53</v>
      </c>
      <c r="AP4548" s="9">
        <v>3.1914875778348861</v>
      </c>
    </row>
    <row r="4549" spans="40:42" x14ac:dyDescent="0.3">
      <c r="AN4549">
        <v>4545</v>
      </c>
      <c r="AO4549" s="11">
        <v>28813.93</v>
      </c>
      <c r="AP4549" s="9">
        <v>3.2117402651336024</v>
      </c>
    </row>
    <row r="4550" spans="40:42" x14ac:dyDescent="0.3">
      <c r="AN4550">
        <v>4546</v>
      </c>
      <c r="AO4550" s="11">
        <v>29653.98</v>
      </c>
      <c r="AP4550" s="9">
        <v>3.8409504359455506</v>
      </c>
    </row>
    <row r="4551" spans="40:42" x14ac:dyDescent="0.3">
      <c r="AN4551">
        <v>4547</v>
      </c>
      <c r="AO4551" s="11">
        <v>20785.97</v>
      </c>
      <c r="AP4551" s="9">
        <v>3.062534965497091</v>
      </c>
    </row>
    <row r="4552" spans="40:42" x14ac:dyDescent="0.3">
      <c r="AN4552">
        <v>4548</v>
      </c>
      <c r="AO4552" s="11">
        <v>20264.86</v>
      </c>
      <c r="AP4552" s="9">
        <v>3.054948037375897</v>
      </c>
    </row>
    <row r="4553" spans="40:42" x14ac:dyDescent="0.3">
      <c r="AN4553">
        <v>4549</v>
      </c>
      <c r="AO4553" s="11">
        <v>23479.13</v>
      </c>
      <c r="AP4553" s="9">
        <v>3.3149769124279582</v>
      </c>
    </row>
    <row r="4554" spans="40:42" x14ac:dyDescent="0.3">
      <c r="AN4554">
        <v>4550</v>
      </c>
      <c r="AO4554" s="11">
        <v>21588.92</v>
      </c>
      <c r="AP4554" s="9">
        <v>3.2779276260996606</v>
      </c>
    </row>
    <row r="4555" spans="40:42" x14ac:dyDescent="0.3">
      <c r="AN4555">
        <v>4551</v>
      </c>
      <c r="AO4555" s="11">
        <v>40718.629999999997</v>
      </c>
      <c r="AP4555" s="9">
        <v>3.7860931653639271</v>
      </c>
    </row>
    <row r="4556" spans="40:42" x14ac:dyDescent="0.3">
      <c r="AN4556">
        <v>4552</v>
      </c>
      <c r="AO4556" s="11">
        <v>34345.339999999997</v>
      </c>
      <c r="AP4556" s="9">
        <v>2.7994719693591712</v>
      </c>
    </row>
    <row r="4557" spans="40:42" x14ac:dyDescent="0.3">
      <c r="AN4557">
        <v>4553</v>
      </c>
      <c r="AO4557" s="11">
        <v>25497.22</v>
      </c>
      <c r="AP4557" s="9">
        <v>3.2798076555585745</v>
      </c>
    </row>
    <row r="4558" spans="40:42" x14ac:dyDescent="0.3">
      <c r="AN4558">
        <v>4554</v>
      </c>
      <c r="AO4558" s="11">
        <v>29794.41</v>
      </c>
      <c r="AP4558" s="9">
        <v>3.2586195899094741</v>
      </c>
    </row>
    <row r="4559" spans="40:42" x14ac:dyDescent="0.3">
      <c r="AN4559">
        <v>4555</v>
      </c>
      <c r="AO4559" s="11">
        <v>31007.31</v>
      </c>
      <c r="AP4559" s="9">
        <v>3.740698442111428</v>
      </c>
    </row>
    <row r="4560" spans="40:42" x14ac:dyDescent="0.3">
      <c r="AN4560">
        <v>4556</v>
      </c>
      <c r="AO4560" s="11">
        <v>24888.57</v>
      </c>
      <c r="AP4560" s="9">
        <v>4.4452051585049679</v>
      </c>
    </row>
    <row r="4561" spans="40:42" x14ac:dyDescent="0.3">
      <c r="AN4561">
        <v>4557</v>
      </c>
      <c r="AO4561" s="11">
        <v>20968.45</v>
      </c>
      <c r="AP4561" s="9">
        <v>2.8516045758016615</v>
      </c>
    </row>
    <row r="4562" spans="40:42" x14ac:dyDescent="0.3">
      <c r="AN4562">
        <v>4558</v>
      </c>
      <c r="AO4562" s="11">
        <v>26888.9</v>
      </c>
      <c r="AP4562" s="9">
        <v>3.1767001578323693</v>
      </c>
    </row>
    <row r="4563" spans="40:42" x14ac:dyDescent="0.3">
      <c r="AN4563">
        <v>4559</v>
      </c>
      <c r="AO4563" s="11">
        <v>23557.34</v>
      </c>
      <c r="AP4563" s="9">
        <v>3.2324129975258598</v>
      </c>
    </row>
    <row r="4564" spans="40:42" x14ac:dyDescent="0.3">
      <c r="AN4564">
        <v>4560</v>
      </c>
      <c r="AO4564" s="11">
        <v>21970.12</v>
      </c>
      <c r="AP4564" s="9">
        <v>3.8372166283272096</v>
      </c>
    </row>
    <row r="4565" spans="40:42" x14ac:dyDescent="0.3">
      <c r="AN4565">
        <v>4561</v>
      </c>
      <c r="AO4565" s="11">
        <v>37893.519999999997</v>
      </c>
      <c r="AP4565" s="9">
        <v>3.3693894114893648</v>
      </c>
    </row>
    <row r="4566" spans="40:42" x14ac:dyDescent="0.3">
      <c r="AN4566">
        <v>4562</v>
      </c>
      <c r="AO4566" s="11">
        <v>41267.94</v>
      </c>
      <c r="AP4566" s="9">
        <v>3.7856994883216273</v>
      </c>
    </row>
    <row r="4567" spans="40:42" x14ac:dyDescent="0.3">
      <c r="AN4567">
        <v>4563</v>
      </c>
      <c r="AO4567" s="11">
        <v>20481.52</v>
      </c>
      <c r="AP4567" s="9">
        <v>2.9812528934256437</v>
      </c>
    </row>
    <row r="4568" spans="40:42" x14ac:dyDescent="0.3">
      <c r="AN4568">
        <v>4564</v>
      </c>
      <c r="AO4568" s="11">
        <v>31844.400000000001</v>
      </c>
      <c r="AP4568" s="9">
        <v>3.0951706984921548</v>
      </c>
    </row>
    <row r="4569" spans="40:42" x14ac:dyDescent="0.3">
      <c r="AN4569">
        <v>4565</v>
      </c>
      <c r="AO4569" s="11">
        <v>21074.54</v>
      </c>
      <c r="AP4569" s="9">
        <v>2.6859646806017987</v>
      </c>
    </row>
    <row r="4570" spans="40:42" x14ac:dyDescent="0.3">
      <c r="AN4570">
        <v>4566</v>
      </c>
      <c r="AO4570" s="11">
        <v>24155.57</v>
      </c>
      <c r="AP4570" s="9">
        <v>3.0173839491284484</v>
      </c>
    </row>
    <row r="4571" spans="40:42" x14ac:dyDescent="0.3">
      <c r="AN4571">
        <v>4567</v>
      </c>
      <c r="AO4571" s="11">
        <v>26866.53</v>
      </c>
      <c r="AP4571" s="9">
        <v>3.436155561297916</v>
      </c>
    </row>
    <row r="4572" spans="40:42" x14ac:dyDescent="0.3">
      <c r="AN4572">
        <v>4568</v>
      </c>
      <c r="AO4572" s="11">
        <v>41447.72</v>
      </c>
      <c r="AP4572" s="9">
        <v>3.2636695482256637</v>
      </c>
    </row>
    <row r="4573" spans="40:42" x14ac:dyDescent="0.3">
      <c r="AN4573">
        <v>4569</v>
      </c>
      <c r="AO4573" s="11">
        <v>19242.47</v>
      </c>
      <c r="AP4573" s="9">
        <v>3.9818708162268157</v>
      </c>
    </row>
    <row r="4574" spans="40:42" x14ac:dyDescent="0.3">
      <c r="AN4574">
        <v>4570</v>
      </c>
      <c r="AO4574" s="11">
        <v>24117.96</v>
      </c>
      <c r="AP4574" s="9">
        <v>3.3541937011252188</v>
      </c>
    </row>
    <row r="4575" spans="40:42" x14ac:dyDescent="0.3">
      <c r="AN4575">
        <v>4571</v>
      </c>
      <c r="AO4575" s="11">
        <v>26244.67</v>
      </c>
      <c r="AP4575" s="9">
        <v>2.9125910629128602</v>
      </c>
    </row>
    <row r="4576" spans="40:42" x14ac:dyDescent="0.3">
      <c r="AN4576">
        <v>4572</v>
      </c>
      <c r="AO4576" s="11">
        <v>21981.77</v>
      </c>
      <c r="AP4576" s="9">
        <v>4.2826695282715734</v>
      </c>
    </row>
    <row r="4577" spans="40:42" x14ac:dyDescent="0.3">
      <c r="AN4577">
        <v>4573</v>
      </c>
      <c r="AO4577" s="11">
        <v>19109.64</v>
      </c>
      <c r="AP4577" s="9">
        <v>3.0606802875455603</v>
      </c>
    </row>
    <row r="4578" spans="40:42" x14ac:dyDescent="0.3">
      <c r="AN4578">
        <v>4574</v>
      </c>
      <c r="AO4578" s="11">
        <v>22386.39</v>
      </c>
      <c r="AP4578" s="9">
        <v>2.8997638232817446</v>
      </c>
    </row>
    <row r="4579" spans="40:42" x14ac:dyDescent="0.3">
      <c r="AN4579">
        <v>4575</v>
      </c>
      <c r="AO4579" s="11">
        <v>13459.36</v>
      </c>
      <c r="AP4579" s="9">
        <v>2.9460801882042724</v>
      </c>
    </row>
    <row r="4580" spans="40:42" x14ac:dyDescent="0.3">
      <c r="AN4580">
        <v>4576</v>
      </c>
      <c r="AO4580" s="11">
        <v>26162.01</v>
      </c>
      <c r="AP4580" s="9">
        <v>4.6229406442433643</v>
      </c>
    </row>
    <row r="4581" spans="40:42" x14ac:dyDescent="0.3">
      <c r="AN4581">
        <v>4577</v>
      </c>
      <c r="AO4581" s="11">
        <v>24211.27</v>
      </c>
      <c r="AP4581" s="9">
        <v>4.18067056054511</v>
      </c>
    </row>
    <row r="4582" spans="40:42" x14ac:dyDescent="0.3">
      <c r="AN4582">
        <v>4578</v>
      </c>
      <c r="AO4582" s="11">
        <v>24543.19</v>
      </c>
      <c r="AP4582" s="9">
        <v>4.0576999879919482</v>
      </c>
    </row>
    <row r="4583" spans="40:42" x14ac:dyDescent="0.3">
      <c r="AN4583">
        <v>4579</v>
      </c>
      <c r="AO4583" s="11">
        <v>28827.29</v>
      </c>
      <c r="AP4583" s="9">
        <v>3.8649866867688969</v>
      </c>
    </row>
    <row r="4584" spans="40:42" x14ac:dyDescent="0.3">
      <c r="AN4584">
        <v>4580</v>
      </c>
      <c r="AO4584" s="11">
        <v>17666.43</v>
      </c>
      <c r="AP4584" s="9">
        <v>3.1227262100912956</v>
      </c>
    </row>
    <row r="4585" spans="40:42" x14ac:dyDescent="0.3">
      <c r="AN4585">
        <v>4581</v>
      </c>
      <c r="AO4585" s="11">
        <v>24528.43</v>
      </c>
      <c r="AP4585" s="9">
        <v>3.1896444703429019</v>
      </c>
    </row>
    <row r="4586" spans="40:42" x14ac:dyDescent="0.3">
      <c r="AN4586">
        <v>4582</v>
      </c>
      <c r="AO4586" s="11">
        <v>14813.69</v>
      </c>
      <c r="AP4586" s="9">
        <v>3.7055429339947206</v>
      </c>
    </row>
    <row r="4587" spans="40:42" x14ac:dyDescent="0.3">
      <c r="AN4587">
        <v>4583</v>
      </c>
      <c r="AO4587" s="11">
        <v>25252.95</v>
      </c>
      <c r="AP4587" s="9">
        <v>3.302171846265324</v>
      </c>
    </row>
    <row r="4588" spans="40:42" x14ac:dyDescent="0.3">
      <c r="AN4588">
        <v>4584</v>
      </c>
      <c r="AO4588" s="11">
        <v>17647.310000000001</v>
      </c>
      <c r="AP4588" s="9">
        <v>3.3194242761202504</v>
      </c>
    </row>
    <row r="4589" spans="40:42" x14ac:dyDescent="0.3">
      <c r="AN4589">
        <v>4585</v>
      </c>
      <c r="AO4589" s="11">
        <v>26306.89</v>
      </c>
      <c r="AP4589" s="9">
        <v>3.1054498980282124</v>
      </c>
    </row>
    <row r="4590" spans="40:42" x14ac:dyDescent="0.3">
      <c r="AN4590">
        <v>4586</v>
      </c>
      <c r="AO4590" s="11">
        <v>28652.66</v>
      </c>
      <c r="AP4590" s="9">
        <v>4.2842246324248414</v>
      </c>
    </row>
    <row r="4591" spans="40:42" x14ac:dyDescent="0.3">
      <c r="AN4591">
        <v>4587</v>
      </c>
      <c r="AO4591" s="11">
        <v>30942.63</v>
      </c>
      <c r="AP4591" s="9">
        <v>3.2224128017148899</v>
      </c>
    </row>
    <row r="4592" spans="40:42" x14ac:dyDescent="0.3">
      <c r="AN4592">
        <v>4588</v>
      </c>
      <c r="AO4592" s="11">
        <v>28021.72</v>
      </c>
      <c r="AP4592" s="9">
        <v>3.9978051061534559</v>
      </c>
    </row>
    <row r="4593" spans="40:42" x14ac:dyDescent="0.3">
      <c r="AN4593">
        <v>4589</v>
      </c>
      <c r="AO4593" s="11">
        <v>22863.07</v>
      </c>
      <c r="AP4593" s="9">
        <v>3.2778013393080245</v>
      </c>
    </row>
    <row r="4594" spans="40:42" x14ac:dyDescent="0.3">
      <c r="AN4594">
        <v>4590</v>
      </c>
      <c r="AO4594" s="11">
        <v>22481.57</v>
      </c>
      <c r="AP4594" s="9">
        <v>4.2731280221027026</v>
      </c>
    </row>
    <row r="4595" spans="40:42" x14ac:dyDescent="0.3">
      <c r="AN4595">
        <v>4591</v>
      </c>
      <c r="AO4595" s="11">
        <v>26920.1</v>
      </c>
      <c r="AP4595" s="9">
        <v>3.7199725646717239</v>
      </c>
    </row>
    <row r="4596" spans="40:42" x14ac:dyDescent="0.3">
      <c r="AN4596">
        <v>4592</v>
      </c>
      <c r="AO4596" s="11">
        <v>32060.32</v>
      </c>
      <c r="AP4596" s="9">
        <v>4.2513339918966766</v>
      </c>
    </row>
    <row r="4597" spans="40:42" x14ac:dyDescent="0.3">
      <c r="AN4597">
        <v>4593</v>
      </c>
      <c r="AO4597" s="11">
        <v>29316.77</v>
      </c>
      <c r="AP4597" s="9">
        <v>3.062857303195742</v>
      </c>
    </row>
    <row r="4598" spans="40:42" x14ac:dyDescent="0.3">
      <c r="AN4598">
        <v>4594</v>
      </c>
      <c r="AO4598" s="11">
        <v>39336.160000000003</v>
      </c>
      <c r="AP4598" s="9">
        <v>3.9358979435949952</v>
      </c>
    </row>
    <row r="4599" spans="40:42" x14ac:dyDescent="0.3">
      <c r="AN4599">
        <v>4595</v>
      </c>
      <c r="AO4599" s="11">
        <v>33944.800000000003</v>
      </c>
      <c r="AP4599" s="9">
        <v>3.4358841249555225</v>
      </c>
    </row>
    <row r="4600" spans="40:42" x14ac:dyDescent="0.3">
      <c r="AN4600">
        <v>4596</v>
      </c>
      <c r="AO4600" s="11">
        <v>18445.96</v>
      </c>
      <c r="AP4600" s="9">
        <v>3.1454077661846891</v>
      </c>
    </row>
    <row r="4601" spans="40:42" x14ac:dyDescent="0.3">
      <c r="AN4601">
        <v>4597</v>
      </c>
      <c r="AO4601" s="11">
        <v>27628.65</v>
      </c>
      <c r="AP4601" s="9">
        <v>3.6582824704074959</v>
      </c>
    </row>
    <row r="4602" spans="40:42" x14ac:dyDescent="0.3">
      <c r="AN4602">
        <v>4598</v>
      </c>
      <c r="AO4602" s="11">
        <v>27847.88</v>
      </c>
      <c r="AP4602" s="9">
        <v>3.4179881235390077</v>
      </c>
    </row>
    <row r="4603" spans="40:42" x14ac:dyDescent="0.3">
      <c r="AN4603">
        <v>4599</v>
      </c>
      <c r="AO4603" s="11">
        <v>17595.87</v>
      </c>
      <c r="AP4603" s="9">
        <v>3.7980886285183431</v>
      </c>
    </row>
    <row r="4604" spans="40:42" x14ac:dyDescent="0.3">
      <c r="AN4604">
        <v>4600</v>
      </c>
      <c r="AO4604" s="11">
        <v>20893.009999999998</v>
      </c>
      <c r="AP4604" s="9">
        <v>3.3335221849729773</v>
      </c>
    </row>
    <row r="4605" spans="40:42" x14ac:dyDescent="0.3">
      <c r="AN4605">
        <v>4601</v>
      </c>
      <c r="AO4605" s="11">
        <v>21564.09</v>
      </c>
      <c r="AP4605" s="9">
        <v>3.8400752219915693</v>
      </c>
    </row>
    <row r="4606" spans="40:42" x14ac:dyDescent="0.3">
      <c r="AN4606">
        <v>4602</v>
      </c>
      <c r="AO4606" s="11">
        <v>36397.24</v>
      </c>
      <c r="AP4606" s="9">
        <v>3.0002783453814557</v>
      </c>
    </row>
    <row r="4607" spans="40:42" x14ac:dyDescent="0.3">
      <c r="AN4607">
        <v>4603</v>
      </c>
      <c r="AO4607" s="11">
        <v>24155.14</v>
      </c>
      <c r="AP4607" s="9">
        <v>3.0898829946125361</v>
      </c>
    </row>
    <row r="4608" spans="40:42" x14ac:dyDescent="0.3">
      <c r="AN4608">
        <v>4604</v>
      </c>
      <c r="AO4608" s="11">
        <v>19751.66</v>
      </c>
      <c r="AP4608" s="9">
        <v>3.3307650672641138</v>
      </c>
    </row>
    <row r="4609" spans="40:42" x14ac:dyDescent="0.3">
      <c r="AN4609">
        <v>4605</v>
      </c>
      <c r="AO4609" s="11">
        <v>21322.62</v>
      </c>
      <c r="AP4609" s="9">
        <v>3.1608497783801042</v>
      </c>
    </row>
    <row r="4610" spans="40:42" x14ac:dyDescent="0.3">
      <c r="AN4610">
        <v>4606</v>
      </c>
      <c r="AO4610" s="11">
        <v>44079.87</v>
      </c>
      <c r="AP4610" s="9">
        <v>3.5451470317924496</v>
      </c>
    </row>
    <row r="4611" spans="40:42" x14ac:dyDescent="0.3">
      <c r="AN4611">
        <v>4607</v>
      </c>
      <c r="AO4611" s="11">
        <v>45434.25</v>
      </c>
      <c r="AP4611" s="9">
        <v>4.9922357756868578</v>
      </c>
    </row>
    <row r="4612" spans="40:42" x14ac:dyDescent="0.3">
      <c r="AN4612">
        <v>4608</v>
      </c>
      <c r="AO4612" s="11">
        <v>30902.67</v>
      </c>
      <c r="AP4612" s="9">
        <v>3.2163966796824166</v>
      </c>
    </row>
    <row r="4613" spans="40:42" x14ac:dyDescent="0.3">
      <c r="AN4613">
        <v>4609</v>
      </c>
      <c r="AO4613" s="11">
        <v>29339.75</v>
      </c>
      <c r="AP4613" s="9">
        <v>3.1844045541337791</v>
      </c>
    </row>
    <row r="4614" spans="40:42" x14ac:dyDescent="0.3">
      <c r="AN4614">
        <v>4610</v>
      </c>
      <c r="AO4614" s="11">
        <v>22120</v>
      </c>
      <c r="AP4614" s="9">
        <v>2.9364904044745597</v>
      </c>
    </row>
    <row r="4615" spans="40:42" x14ac:dyDescent="0.3">
      <c r="AN4615">
        <v>4611</v>
      </c>
      <c r="AO4615" s="11">
        <v>31880.37</v>
      </c>
      <c r="AP4615" s="9">
        <v>3.607101676451538</v>
      </c>
    </row>
    <row r="4616" spans="40:42" x14ac:dyDescent="0.3">
      <c r="AN4616">
        <v>4612</v>
      </c>
      <c r="AO4616" s="11">
        <v>33079.49</v>
      </c>
      <c r="AP4616" s="9">
        <v>3.5752458280717572</v>
      </c>
    </row>
    <row r="4617" spans="40:42" x14ac:dyDescent="0.3">
      <c r="AN4617">
        <v>4613</v>
      </c>
      <c r="AO4617" s="11">
        <v>21732.63</v>
      </c>
      <c r="AP4617" s="9">
        <v>3.4424761344378303</v>
      </c>
    </row>
    <row r="4618" spans="40:42" x14ac:dyDescent="0.3">
      <c r="AN4618">
        <v>4614</v>
      </c>
      <c r="AO4618" s="11">
        <v>27153.119999999999</v>
      </c>
      <c r="AP4618" s="9">
        <v>3.1265682875558194</v>
      </c>
    </row>
    <row r="4619" spans="40:42" x14ac:dyDescent="0.3">
      <c r="AN4619">
        <v>4615</v>
      </c>
      <c r="AO4619" s="11">
        <v>28014.560000000001</v>
      </c>
      <c r="AP4619" s="9">
        <v>3.3206640712167252</v>
      </c>
    </row>
    <row r="4620" spans="40:42" x14ac:dyDescent="0.3">
      <c r="AN4620">
        <v>4616</v>
      </c>
      <c r="AO4620" s="11">
        <v>31803.67</v>
      </c>
      <c r="AP4620" s="9">
        <v>2.6708095113024282</v>
      </c>
    </row>
    <row r="4621" spans="40:42" x14ac:dyDescent="0.3">
      <c r="AN4621">
        <v>4617</v>
      </c>
      <c r="AO4621" s="11">
        <v>28376.02</v>
      </c>
      <c r="AP4621" s="9">
        <v>3.2984813165820692</v>
      </c>
    </row>
    <row r="4622" spans="40:42" x14ac:dyDescent="0.3">
      <c r="AN4622">
        <v>4618</v>
      </c>
      <c r="AO4622" s="11">
        <v>22639.37</v>
      </c>
      <c r="AP4622" s="9">
        <v>2.9325659101152426</v>
      </c>
    </row>
    <row r="4623" spans="40:42" x14ac:dyDescent="0.3">
      <c r="AN4623">
        <v>4619</v>
      </c>
      <c r="AO4623" s="11">
        <v>24309.43</v>
      </c>
      <c r="AP4623" s="9">
        <v>2.8177406970426837</v>
      </c>
    </row>
    <row r="4624" spans="40:42" x14ac:dyDescent="0.3">
      <c r="AN4624">
        <v>4620</v>
      </c>
      <c r="AO4624" s="11">
        <v>24723.59</v>
      </c>
      <c r="AP4624" s="9">
        <v>3.364343635194246</v>
      </c>
    </row>
    <row r="4625" spans="40:42" x14ac:dyDescent="0.3">
      <c r="AN4625">
        <v>4621</v>
      </c>
      <c r="AO4625" s="11">
        <v>29165.87</v>
      </c>
      <c r="AP4625" s="9">
        <v>3.2235042219925556</v>
      </c>
    </row>
    <row r="4626" spans="40:42" x14ac:dyDescent="0.3">
      <c r="AN4626">
        <v>4622</v>
      </c>
      <c r="AO4626" s="11">
        <v>32078.12</v>
      </c>
      <c r="AP4626" s="9">
        <v>3.3599740426075217</v>
      </c>
    </row>
    <row r="4627" spans="40:42" x14ac:dyDescent="0.3">
      <c r="AN4627">
        <v>4623</v>
      </c>
      <c r="AO4627" s="11">
        <v>29183.49</v>
      </c>
      <c r="AP4627" s="9">
        <v>2.8916696212534081</v>
      </c>
    </row>
    <row r="4628" spans="40:42" x14ac:dyDescent="0.3">
      <c r="AN4628">
        <v>4624</v>
      </c>
      <c r="AO4628" s="11">
        <v>41599.99</v>
      </c>
      <c r="AP4628" s="9">
        <v>4.416450557695093</v>
      </c>
    </row>
    <row r="4629" spans="40:42" x14ac:dyDescent="0.3">
      <c r="AN4629">
        <v>4625</v>
      </c>
      <c r="AO4629" s="11">
        <v>19527.66</v>
      </c>
      <c r="AP4629" s="9">
        <v>2.8454741868238016</v>
      </c>
    </row>
    <row r="4630" spans="40:42" x14ac:dyDescent="0.3">
      <c r="AN4630">
        <v>4626</v>
      </c>
      <c r="AO4630" s="11">
        <v>29337.78</v>
      </c>
      <c r="AP4630" s="9">
        <v>3.1749541463258244</v>
      </c>
    </row>
    <row r="4631" spans="40:42" x14ac:dyDescent="0.3">
      <c r="AN4631">
        <v>4627</v>
      </c>
      <c r="AO4631" s="11">
        <v>28854.86</v>
      </c>
      <c r="AP4631" s="9">
        <v>2.9033485374974926</v>
      </c>
    </row>
    <row r="4632" spans="40:42" x14ac:dyDescent="0.3">
      <c r="AN4632">
        <v>4628</v>
      </c>
      <c r="AO4632" s="11">
        <v>27657.97</v>
      </c>
      <c r="AP4632" s="9">
        <v>2.9802584039569835</v>
      </c>
    </row>
    <row r="4633" spans="40:42" x14ac:dyDescent="0.3">
      <c r="AN4633">
        <v>4629</v>
      </c>
      <c r="AO4633" s="11">
        <v>28149.72</v>
      </c>
      <c r="AP4633" s="9">
        <v>2.6524023522689681</v>
      </c>
    </row>
    <row r="4634" spans="40:42" x14ac:dyDescent="0.3">
      <c r="AN4634">
        <v>4630</v>
      </c>
      <c r="AO4634" s="11">
        <v>28791.88</v>
      </c>
      <c r="AP4634" s="9">
        <v>3.5105378140477752</v>
      </c>
    </row>
    <row r="4635" spans="40:42" x14ac:dyDescent="0.3">
      <c r="AN4635">
        <v>4631</v>
      </c>
      <c r="AO4635" s="11">
        <v>30960.880000000001</v>
      </c>
      <c r="AP4635" s="9">
        <v>3.0377020075599082</v>
      </c>
    </row>
    <row r="4636" spans="40:42" x14ac:dyDescent="0.3">
      <c r="AN4636">
        <v>4632</v>
      </c>
      <c r="AO4636" s="11">
        <v>16190.98</v>
      </c>
      <c r="AP4636" s="9">
        <v>3.1423094409834156</v>
      </c>
    </row>
    <row r="4637" spans="40:42" x14ac:dyDescent="0.3">
      <c r="AN4637">
        <v>4633</v>
      </c>
      <c r="AO4637" s="11">
        <v>21522.880000000001</v>
      </c>
      <c r="AP4637" s="9">
        <v>2.8895412081772536</v>
      </c>
    </row>
    <row r="4638" spans="40:42" x14ac:dyDescent="0.3">
      <c r="AN4638">
        <v>4634</v>
      </c>
      <c r="AO4638" s="11">
        <v>25555.52</v>
      </c>
      <c r="AP4638" s="9">
        <v>3.43741090231874</v>
      </c>
    </row>
    <row r="4639" spans="40:42" x14ac:dyDescent="0.3">
      <c r="AN4639">
        <v>4635</v>
      </c>
      <c r="AO4639" s="11">
        <v>25867.99</v>
      </c>
      <c r="AP4639" s="9">
        <v>3.9587561906413762</v>
      </c>
    </row>
    <row r="4640" spans="40:42" x14ac:dyDescent="0.3">
      <c r="AN4640">
        <v>4636</v>
      </c>
      <c r="AO4640" s="11">
        <v>35476.57</v>
      </c>
      <c r="AP4640" s="9">
        <v>3.4792538773520629</v>
      </c>
    </row>
    <row r="4641" spans="40:42" x14ac:dyDescent="0.3">
      <c r="AN4641">
        <v>4637</v>
      </c>
      <c r="AO4641" s="11">
        <v>31827.15</v>
      </c>
      <c r="AP4641" s="9">
        <v>3.1327399603893187</v>
      </c>
    </row>
    <row r="4642" spans="40:42" x14ac:dyDescent="0.3">
      <c r="AN4642">
        <v>4638</v>
      </c>
      <c r="AO4642" s="11">
        <v>24043</v>
      </c>
      <c r="AP4642" s="9">
        <v>3.3180075658613162</v>
      </c>
    </row>
    <row r="4643" spans="40:42" x14ac:dyDescent="0.3">
      <c r="AN4643">
        <v>4639</v>
      </c>
      <c r="AO4643" s="11">
        <v>22139.35</v>
      </c>
      <c r="AP4643" s="9">
        <v>3.2597624525647122</v>
      </c>
    </row>
    <row r="4644" spans="40:42" x14ac:dyDescent="0.3">
      <c r="AN4644">
        <v>4640</v>
      </c>
      <c r="AO4644" s="11">
        <v>28439.75</v>
      </c>
      <c r="AP4644" s="9">
        <v>3.1904970102136545</v>
      </c>
    </row>
    <row r="4645" spans="40:42" x14ac:dyDescent="0.3">
      <c r="AN4645">
        <v>4641</v>
      </c>
      <c r="AO4645" s="11">
        <v>20701.96</v>
      </c>
      <c r="AP4645" s="9">
        <v>2.9765974923761838</v>
      </c>
    </row>
    <row r="4646" spans="40:42" x14ac:dyDescent="0.3">
      <c r="AN4646">
        <v>4642</v>
      </c>
      <c r="AO4646" s="11">
        <v>44881.8</v>
      </c>
      <c r="AP4646" s="9">
        <v>4.1177139220820793</v>
      </c>
    </row>
    <row r="4647" spans="40:42" x14ac:dyDescent="0.3">
      <c r="AN4647">
        <v>4643</v>
      </c>
      <c r="AO4647" s="11">
        <v>17308.52</v>
      </c>
      <c r="AP4647" s="9">
        <v>3.2926034499992327</v>
      </c>
    </row>
    <row r="4648" spans="40:42" x14ac:dyDescent="0.3">
      <c r="AN4648">
        <v>4644</v>
      </c>
      <c r="AO4648" s="11">
        <v>33400.58</v>
      </c>
      <c r="AP4648" s="9">
        <v>3.7692733888585748</v>
      </c>
    </row>
    <row r="4649" spans="40:42" x14ac:dyDescent="0.3">
      <c r="AN4649">
        <v>4645</v>
      </c>
      <c r="AO4649" s="11">
        <v>32701.439999999999</v>
      </c>
      <c r="AP4649" s="9">
        <v>3.3695885892944313</v>
      </c>
    </row>
    <row r="4650" spans="40:42" x14ac:dyDescent="0.3">
      <c r="AN4650">
        <v>4646</v>
      </c>
      <c r="AO4650" s="11">
        <v>18319.62</v>
      </c>
      <c r="AP4650" s="9">
        <v>3.7178312246399656</v>
      </c>
    </row>
    <row r="4651" spans="40:42" x14ac:dyDescent="0.3">
      <c r="AN4651">
        <v>4647</v>
      </c>
      <c r="AO4651" s="11">
        <v>25553.05</v>
      </c>
      <c r="AP4651" s="9">
        <v>3.0674120543901182</v>
      </c>
    </row>
    <row r="4652" spans="40:42" x14ac:dyDescent="0.3">
      <c r="AN4652">
        <v>4648</v>
      </c>
      <c r="AO4652" s="11">
        <v>22778.22</v>
      </c>
      <c r="AP4652" s="9">
        <v>3.7867687175919893</v>
      </c>
    </row>
    <row r="4653" spans="40:42" x14ac:dyDescent="0.3">
      <c r="AN4653">
        <v>4649</v>
      </c>
      <c r="AO4653" s="11">
        <v>32497.84</v>
      </c>
      <c r="AP4653" s="9">
        <v>4.2736688991475225</v>
      </c>
    </row>
    <row r="4654" spans="40:42" x14ac:dyDescent="0.3">
      <c r="AN4654">
        <v>4650</v>
      </c>
      <c r="AO4654" s="11">
        <v>32504.79</v>
      </c>
      <c r="AP4654" s="9">
        <v>2.8247081506001788</v>
      </c>
    </row>
    <row r="4655" spans="40:42" x14ac:dyDescent="0.3">
      <c r="AN4655">
        <v>4651</v>
      </c>
      <c r="AO4655" s="11">
        <v>13694.65</v>
      </c>
      <c r="AP4655" s="9">
        <v>3.0592484398750304</v>
      </c>
    </row>
    <row r="4656" spans="40:42" x14ac:dyDescent="0.3">
      <c r="AN4656">
        <v>4652</v>
      </c>
      <c r="AO4656" s="11">
        <v>31244.99</v>
      </c>
      <c r="AP4656" s="9">
        <v>4.0726422131430384</v>
      </c>
    </row>
    <row r="4657" spans="40:42" x14ac:dyDescent="0.3">
      <c r="AN4657">
        <v>4653</v>
      </c>
      <c r="AO4657" s="11">
        <v>25615.16</v>
      </c>
      <c r="AP4657" s="9">
        <v>4.0397621466294273</v>
      </c>
    </row>
    <row r="4658" spans="40:42" x14ac:dyDescent="0.3">
      <c r="AN4658">
        <v>4654</v>
      </c>
      <c r="AO4658" s="11">
        <v>18769.89</v>
      </c>
      <c r="AP4658" s="9">
        <v>2.7617189564266305</v>
      </c>
    </row>
    <row r="4659" spans="40:42" x14ac:dyDescent="0.3">
      <c r="AN4659">
        <v>4655</v>
      </c>
      <c r="AO4659" s="11">
        <v>20307.39</v>
      </c>
      <c r="AP4659" s="9">
        <v>3.0690024641446376</v>
      </c>
    </row>
    <row r="4660" spans="40:42" x14ac:dyDescent="0.3">
      <c r="AN4660">
        <v>4656</v>
      </c>
      <c r="AO4660" s="11">
        <v>24021.919999999998</v>
      </c>
      <c r="AP4660" s="9">
        <v>3.3083627328309504</v>
      </c>
    </row>
    <row r="4661" spans="40:42" x14ac:dyDescent="0.3">
      <c r="AN4661">
        <v>4657</v>
      </c>
      <c r="AO4661" s="11">
        <v>13864.94</v>
      </c>
      <c r="AP4661" s="9">
        <v>3.1461575167704283</v>
      </c>
    </row>
    <row r="4662" spans="40:42" x14ac:dyDescent="0.3">
      <c r="AN4662">
        <v>4658</v>
      </c>
      <c r="AO4662" s="11">
        <v>21077</v>
      </c>
      <c r="AP4662" s="9">
        <v>3.624726417737278</v>
      </c>
    </row>
    <row r="4663" spans="40:42" x14ac:dyDescent="0.3">
      <c r="AN4663">
        <v>4659</v>
      </c>
      <c r="AO4663" s="11">
        <v>28209.93</v>
      </c>
      <c r="AP4663" s="9">
        <v>4.0830972013986697</v>
      </c>
    </row>
    <row r="4664" spans="40:42" x14ac:dyDescent="0.3">
      <c r="AN4664">
        <v>4660</v>
      </c>
      <c r="AO4664" s="11">
        <v>23793.46</v>
      </c>
      <c r="AP4664" s="9">
        <v>3.6080611317613598</v>
      </c>
    </row>
    <row r="4665" spans="40:42" x14ac:dyDescent="0.3">
      <c r="AN4665">
        <v>4661</v>
      </c>
      <c r="AO4665" s="11">
        <v>19710.669999999998</v>
      </c>
      <c r="AP4665" s="9">
        <v>3.4453294703598467</v>
      </c>
    </row>
    <row r="4666" spans="40:42" x14ac:dyDescent="0.3">
      <c r="AN4666">
        <v>4662</v>
      </c>
      <c r="AO4666" s="11">
        <v>45738.16</v>
      </c>
      <c r="AP4666" s="9">
        <v>3.475017802013419</v>
      </c>
    </row>
    <row r="4667" spans="40:42" x14ac:dyDescent="0.3">
      <c r="AN4667">
        <v>4663</v>
      </c>
      <c r="AO4667" s="11">
        <v>29686.76</v>
      </c>
      <c r="AP4667" s="9">
        <v>4.0215908259988655</v>
      </c>
    </row>
    <row r="4668" spans="40:42" x14ac:dyDescent="0.3">
      <c r="AN4668">
        <v>4664</v>
      </c>
      <c r="AO4668" s="11">
        <v>26519.06</v>
      </c>
      <c r="AP4668" s="9">
        <v>3.5380266763330597</v>
      </c>
    </row>
    <row r="4669" spans="40:42" x14ac:dyDescent="0.3">
      <c r="AN4669">
        <v>4665</v>
      </c>
      <c r="AO4669" s="11">
        <v>13813.31</v>
      </c>
      <c r="AP4669" s="9">
        <v>2.7983118970449943</v>
      </c>
    </row>
    <row r="4670" spans="40:42" x14ac:dyDescent="0.3">
      <c r="AN4670">
        <v>4666</v>
      </c>
      <c r="AO4670" s="11">
        <v>25506.42</v>
      </c>
      <c r="AP4670" s="9">
        <v>3.5681150780043596</v>
      </c>
    </row>
    <row r="4671" spans="40:42" x14ac:dyDescent="0.3">
      <c r="AN4671">
        <v>4667</v>
      </c>
      <c r="AO4671" s="11">
        <v>18132.93</v>
      </c>
      <c r="AP4671" s="9">
        <v>3.3742093141234082</v>
      </c>
    </row>
    <row r="4672" spans="40:42" x14ac:dyDescent="0.3">
      <c r="AN4672">
        <v>4668</v>
      </c>
      <c r="AO4672" s="11">
        <v>22148.48</v>
      </c>
      <c r="AP4672" s="9">
        <v>3.5244133373130362</v>
      </c>
    </row>
    <row r="4673" spans="40:42" x14ac:dyDescent="0.3">
      <c r="AN4673">
        <v>4669</v>
      </c>
      <c r="AO4673" s="11">
        <v>34543.14</v>
      </c>
      <c r="AP4673" s="9">
        <v>3.8890419109879941</v>
      </c>
    </row>
    <row r="4674" spans="40:42" x14ac:dyDescent="0.3">
      <c r="AN4674">
        <v>4670</v>
      </c>
      <c r="AO4674" s="11">
        <v>34895.699999999997</v>
      </c>
      <c r="AP4674" s="9">
        <v>3.4556360210104669</v>
      </c>
    </row>
    <row r="4675" spans="40:42" x14ac:dyDescent="0.3">
      <c r="AN4675">
        <v>4671</v>
      </c>
      <c r="AO4675" s="11">
        <v>32586.15</v>
      </c>
      <c r="AP4675" s="9">
        <v>3.2487815299140275</v>
      </c>
    </row>
    <row r="4676" spans="40:42" x14ac:dyDescent="0.3">
      <c r="AN4676">
        <v>4672</v>
      </c>
      <c r="AO4676" s="11">
        <v>37798.58</v>
      </c>
      <c r="AP4676" s="9">
        <v>4.0654906571879739</v>
      </c>
    </row>
    <row r="4677" spans="40:42" x14ac:dyDescent="0.3">
      <c r="AN4677">
        <v>4673</v>
      </c>
      <c r="AO4677" s="11">
        <v>18862.96</v>
      </c>
      <c r="AP4677" s="9">
        <v>2.5699388003988459</v>
      </c>
    </row>
    <row r="4678" spans="40:42" x14ac:dyDescent="0.3">
      <c r="AN4678">
        <v>4674</v>
      </c>
      <c r="AO4678" s="11">
        <v>27141.68</v>
      </c>
      <c r="AP4678" s="9">
        <v>3.078439532884595</v>
      </c>
    </row>
    <row r="4679" spans="40:42" x14ac:dyDescent="0.3">
      <c r="AN4679">
        <v>4675</v>
      </c>
      <c r="AO4679" s="11">
        <v>44481.84</v>
      </c>
      <c r="AP4679" s="9">
        <v>3.7513361364359672</v>
      </c>
    </row>
    <row r="4680" spans="40:42" x14ac:dyDescent="0.3">
      <c r="AN4680">
        <v>4676</v>
      </c>
      <c r="AO4680" s="11">
        <v>25425.51</v>
      </c>
      <c r="AP4680" s="9">
        <v>3.9077661903584957</v>
      </c>
    </row>
    <row r="4681" spans="40:42" x14ac:dyDescent="0.3">
      <c r="AN4681">
        <v>4677</v>
      </c>
      <c r="AO4681" s="11">
        <v>26248.720000000001</v>
      </c>
      <c r="AP4681" s="9">
        <v>3.034440378283354</v>
      </c>
    </row>
    <row r="4682" spans="40:42" x14ac:dyDescent="0.3">
      <c r="AN4682">
        <v>4678</v>
      </c>
      <c r="AO4682" s="11">
        <v>28241.65</v>
      </c>
      <c r="AP4682" s="9">
        <v>3.2990988580519129</v>
      </c>
    </row>
    <row r="4683" spans="40:42" x14ac:dyDescent="0.3">
      <c r="AN4683">
        <v>4679</v>
      </c>
      <c r="AO4683" s="11">
        <v>23882.06</v>
      </c>
      <c r="AP4683" s="9">
        <v>3.5718044539816916</v>
      </c>
    </row>
    <row r="4684" spans="40:42" x14ac:dyDescent="0.3">
      <c r="AN4684">
        <v>4680</v>
      </c>
      <c r="AO4684" s="11">
        <v>44346.33</v>
      </c>
      <c r="AP4684" s="9">
        <v>4.0303905199091856</v>
      </c>
    </row>
    <row r="4685" spans="40:42" x14ac:dyDescent="0.3">
      <c r="AN4685">
        <v>4681</v>
      </c>
      <c r="AO4685" s="11">
        <v>30672.09</v>
      </c>
      <c r="AP4685" s="9">
        <v>4.6928731112127853</v>
      </c>
    </row>
    <row r="4686" spans="40:42" x14ac:dyDescent="0.3">
      <c r="AN4686">
        <v>4682</v>
      </c>
      <c r="AO4686" s="11">
        <v>23853.24</v>
      </c>
      <c r="AP4686" s="9">
        <v>3.1739529491535854</v>
      </c>
    </row>
    <row r="4687" spans="40:42" x14ac:dyDescent="0.3">
      <c r="AN4687">
        <v>4683</v>
      </c>
      <c r="AO4687" s="11">
        <v>23961.23</v>
      </c>
      <c r="AP4687" s="9">
        <v>4.4866063036914507</v>
      </c>
    </row>
    <row r="4688" spans="40:42" x14ac:dyDescent="0.3">
      <c r="AN4688">
        <v>4684</v>
      </c>
      <c r="AO4688" s="11">
        <v>31836.17</v>
      </c>
      <c r="AP4688" s="9">
        <v>3.2442788078315949</v>
      </c>
    </row>
    <row r="4689" spans="40:42" x14ac:dyDescent="0.3">
      <c r="AN4689">
        <v>4685</v>
      </c>
      <c r="AO4689" s="11">
        <v>14526.05</v>
      </c>
      <c r="AP4689" s="9">
        <v>3.2055474549698602</v>
      </c>
    </row>
    <row r="4690" spans="40:42" x14ac:dyDescent="0.3">
      <c r="AN4690">
        <v>4686</v>
      </c>
      <c r="AO4690" s="11">
        <v>28779.96</v>
      </c>
      <c r="AP4690" s="9">
        <v>3.7534218612706152</v>
      </c>
    </row>
    <row r="4691" spans="40:42" x14ac:dyDescent="0.3">
      <c r="AN4691">
        <v>4687</v>
      </c>
      <c r="AO4691" s="11">
        <v>25162.54</v>
      </c>
      <c r="AP4691" s="9">
        <v>2.8543084409452661</v>
      </c>
    </row>
    <row r="4692" spans="40:42" x14ac:dyDescent="0.3">
      <c r="AN4692">
        <v>4688</v>
      </c>
      <c r="AO4692" s="11">
        <v>30495.21</v>
      </c>
      <c r="AP4692" s="9">
        <v>3.2800776491533168</v>
      </c>
    </row>
    <row r="4693" spans="40:42" x14ac:dyDescent="0.3">
      <c r="AN4693">
        <v>4689</v>
      </c>
      <c r="AO4693" s="11">
        <v>28264.29</v>
      </c>
      <c r="AP4693" s="9">
        <v>3.4532675220033839</v>
      </c>
    </row>
    <row r="4694" spans="40:42" x14ac:dyDescent="0.3">
      <c r="AN4694">
        <v>4690</v>
      </c>
      <c r="AO4694" s="11">
        <v>19744.849999999999</v>
      </c>
      <c r="AP4694" s="9">
        <v>3.432502238583826</v>
      </c>
    </row>
    <row r="4695" spans="40:42" x14ac:dyDescent="0.3">
      <c r="AN4695">
        <v>4691</v>
      </c>
      <c r="AO4695" s="11">
        <v>52713.440000000002</v>
      </c>
      <c r="AP4695" s="9">
        <v>4.0247390507932739</v>
      </c>
    </row>
    <row r="4696" spans="40:42" x14ac:dyDescent="0.3">
      <c r="AN4696">
        <v>4692</v>
      </c>
      <c r="AO4696" s="11">
        <v>31058.880000000001</v>
      </c>
      <c r="AP4696" s="9">
        <v>3.1812357638047337</v>
      </c>
    </row>
    <row r="4697" spans="40:42" x14ac:dyDescent="0.3">
      <c r="AN4697">
        <v>4693</v>
      </c>
      <c r="AO4697" s="11">
        <v>25794.9</v>
      </c>
      <c r="AP4697" s="9">
        <v>3.304513145978714</v>
      </c>
    </row>
    <row r="4698" spans="40:42" x14ac:dyDescent="0.3">
      <c r="AN4698">
        <v>4694</v>
      </c>
      <c r="AO4698" s="11">
        <v>18346.759999999998</v>
      </c>
      <c r="AP4698" s="9">
        <v>2.7959427448681664</v>
      </c>
    </row>
    <row r="4699" spans="40:42" x14ac:dyDescent="0.3">
      <c r="AN4699">
        <v>4695</v>
      </c>
      <c r="AO4699" s="11">
        <v>35748.639999999999</v>
      </c>
      <c r="AP4699" s="9">
        <v>3.8143709562955688</v>
      </c>
    </row>
    <row r="4700" spans="40:42" x14ac:dyDescent="0.3">
      <c r="AN4700">
        <v>4696</v>
      </c>
      <c r="AO4700" s="11">
        <v>39006.43</v>
      </c>
      <c r="AP4700" s="9">
        <v>3.1892880116662146</v>
      </c>
    </row>
    <row r="4701" spans="40:42" x14ac:dyDescent="0.3">
      <c r="AN4701">
        <v>4697</v>
      </c>
      <c r="AO4701" s="11">
        <v>33065.480000000003</v>
      </c>
      <c r="AP4701" s="9">
        <v>4.0245021435816479</v>
      </c>
    </row>
    <row r="4702" spans="40:42" x14ac:dyDescent="0.3">
      <c r="AN4702">
        <v>4698</v>
      </c>
      <c r="AO4702" s="11">
        <v>28259.31</v>
      </c>
      <c r="AP4702" s="9">
        <v>3.0603518667689356</v>
      </c>
    </row>
    <row r="4703" spans="40:42" x14ac:dyDescent="0.3">
      <c r="AN4703">
        <v>4699</v>
      </c>
      <c r="AO4703" s="11">
        <v>24876.32</v>
      </c>
      <c r="AP4703" s="9">
        <v>3.3562397250475793</v>
      </c>
    </row>
    <row r="4704" spans="40:42" x14ac:dyDescent="0.3">
      <c r="AN4704">
        <v>4700</v>
      </c>
      <c r="AO4704" s="11">
        <v>22461.200000000001</v>
      </c>
      <c r="AP4704" s="9">
        <v>3.2043482449118947</v>
      </c>
    </row>
    <row r="4705" spans="40:42" x14ac:dyDescent="0.3">
      <c r="AN4705">
        <v>4701</v>
      </c>
      <c r="AO4705" s="11">
        <v>24402.41</v>
      </c>
      <c r="AP4705" s="9">
        <v>3.3914374925912947</v>
      </c>
    </row>
    <row r="4706" spans="40:42" x14ac:dyDescent="0.3">
      <c r="AN4706">
        <v>4702</v>
      </c>
      <c r="AO4706" s="11">
        <v>31679.759999999998</v>
      </c>
      <c r="AP4706" s="9">
        <v>3.9535176783868904</v>
      </c>
    </row>
    <row r="4707" spans="40:42" x14ac:dyDescent="0.3">
      <c r="AN4707">
        <v>4703</v>
      </c>
      <c r="AO4707" s="11">
        <v>28835.8</v>
      </c>
      <c r="AP4707" s="9">
        <v>3.7374740460777311</v>
      </c>
    </row>
    <row r="4708" spans="40:42" x14ac:dyDescent="0.3">
      <c r="AN4708">
        <v>4704</v>
      </c>
      <c r="AO4708" s="11">
        <v>33840.230000000003</v>
      </c>
      <c r="AP4708" s="9">
        <v>3.3690800233798406</v>
      </c>
    </row>
    <row r="4709" spans="40:42" x14ac:dyDescent="0.3">
      <c r="AN4709">
        <v>4705</v>
      </c>
      <c r="AO4709" s="11">
        <v>28339.25</v>
      </c>
      <c r="AP4709" s="9">
        <v>3.0323234968986315</v>
      </c>
    </row>
    <row r="4710" spans="40:42" x14ac:dyDescent="0.3">
      <c r="AN4710">
        <v>4706</v>
      </c>
      <c r="AO4710" s="11">
        <v>38508.870000000003</v>
      </c>
      <c r="AP4710" s="9">
        <v>3.3057972860872717</v>
      </c>
    </row>
    <row r="4711" spans="40:42" x14ac:dyDescent="0.3">
      <c r="AN4711">
        <v>4707</v>
      </c>
      <c r="AO4711" s="11">
        <v>27635.84</v>
      </c>
      <c r="AP4711" s="9">
        <v>3.4116356678543283</v>
      </c>
    </row>
    <row r="4712" spans="40:42" x14ac:dyDescent="0.3">
      <c r="AN4712">
        <v>4708</v>
      </c>
      <c r="AO4712" s="11">
        <v>16938.77</v>
      </c>
      <c r="AP4712" s="9">
        <v>3.528720630360942</v>
      </c>
    </row>
    <row r="4713" spans="40:42" x14ac:dyDescent="0.3">
      <c r="AN4713">
        <v>4709</v>
      </c>
      <c r="AO4713" s="11">
        <v>32382.42</v>
      </c>
      <c r="AP4713" s="9">
        <v>4.2025798459577688</v>
      </c>
    </row>
    <row r="4714" spans="40:42" x14ac:dyDescent="0.3">
      <c r="AN4714">
        <v>4710</v>
      </c>
      <c r="AO4714" s="11">
        <v>37896.42</v>
      </c>
      <c r="AP4714" s="9">
        <v>4.4044365633400275</v>
      </c>
    </row>
    <row r="4715" spans="40:42" x14ac:dyDescent="0.3">
      <c r="AN4715">
        <v>4711</v>
      </c>
      <c r="AO4715" s="11">
        <v>16552.46</v>
      </c>
      <c r="AP4715" s="9">
        <v>2.9755593024491485</v>
      </c>
    </row>
    <row r="4716" spans="40:42" x14ac:dyDescent="0.3">
      <c r="AN4716">
        <v>4712</v>
      </c>
      <c r="AO4716" s="11">
        <v>20004.830000000002</v>
      </c>
      <c r="AP4716" s="9">
        <v>3.5438933758690001</v>
      </c>
    </row>
    <row r="4717" spans="40:42" x14ac:dyDescent="0.3">
      <c r="AN4717">
        <v>4713</v>
      </c>
      <c r="AO4717" s="11">
        <v>32849.19</v>
      </c>
      <c r="AP4717" s="9">
        <v>3.2123525585176416</v>
      </c>
    </row>
    <row r="4718" spans="40:42" x14ac:dyDescent="0.3">
      <c r="AN4718">
        <v>4714</v>
      </c>
      <c r="AO4718" s="11">
        <v>22973.599999999999</v>
      </c>
      <c r="AP4718" s="9">
        <v>3.1272813071303585</v>
      </c>
    </row>
    <row r="4719" spans="40:42" x14ac:dyDescent="0.3">
      <c r="AN4719">
        <v>4715</v>
      </c>
      <c r="AO4719" s="11">
        <v>24345.919999999998</v>
      </c>
      <c r="AP4719" s="9">
        <v>3.2132865684523457</v>
      </c>
    </row>
    <row r="4720" spans="40:42" x14ac:dyDescent="0.3">
      <c r="AN4720">
        <v>4716</v>
      </c>
      <c r="AO4720" s="11">
        <v>24160.03</v>
      </c>
      <c r="AP4720" s="9">
        <v>3.6443781937174493</v>
      </c>
    </row>
    <row r="4721" spans="40:42" x14ac:dyDescent="0.3">
      <c r="AN4721">
        <v>4717</v>
      </c>
      <c r="AO4721" s="11">
        <v>22943.360000000001</v>
      </c>
      <c r="AP4721" s="9">
        <v>4.0104200006390087</v>
      </c>
    </row>
    <row r="4722" spans="40:42" x14ac:dyDescent="0.3">
      <c r="AN4722">
        <v>4718</v>
      </c>
      <c r="AO4722" s="11">
        <v>24110.63</v>
      </c>
      <c r="AP4722" s="9">
        <v>4.0373196649319922</v>
      </c>
    </row>
    <row r="4723" spans="40:42" x14ac:dyDescent="0.3">
      <c r="AN4723">
        <v>4719</v>
      </c>
      <c r="AO4723" s="11">
        <v>19066.18</v>
      </c>
      <c r="AP4723" s="9">
        <v>2.8692757579236168</v>
      </c>
    </row>
    <row r="4724" spans="40:42" x14ac:dyDescent="0.3">
      <c r="AN4724">
        <v>4720</v>
      </c>
      <c r="AO4724" s="11">
        <v>23297.56</v>
      </c>
      <c r="AP4724" s="9">
        <v>3.2541704530685513</v>
      </c>
    </row>
    <row r="4725" spans="40:42" x14ac:dyDescent="0.3">
      <c r="AN4725">
        <v>4721</v>
      </c>
      <c r="AO4725" s="11">
        <v>22306.89</v>
      </c>
      <c r="AP4725" s="9">
        <v>3.2597396877283056</v>
      </c>
    </row>
    <row r="4726" spans="40:42" x14ac:dyDescent="0.3">
      <c r="AN4726">
        <v>4722</v>
      </c>
      <c r="AO4726" s="11">
        <v>35057.65</v>
      </c>
      <c r="AP4726" s="9">
        <v>3.3329102825925685</v>
      </c>
    </row>
    <row r="4727" spans="40:42" x14ac:dyDescent="0.3">
      <c r="AN4727">
        <v>4723</v>
      </c>
      <c r="AO4727" s="11">
        <v>22625.37</v>
      </c>
      <c r="AP4727" s="9">
        <v>3.1402700509305634</v>
      </c>
    </row>
    <row r="4728" spans="40:42" x14ac:dyDescent="0.3">
      <c r="AN4728">
        <v>4724</v>
      </c>
      <c r="AO4728" s="11">
        <v>30416.62</v>
      </c>
      <c r="AP4728" s="9">
        <v>4.1072501612857764</v>
      </c>
    </row>
    <row r="4729" spans="40:42" x14ac:dyDescent="0.3">
      <c r="AN4729">
        <v>4725</v>
      </c>
      <c r="AO4729" s="11">
        <v>26085.21</v>
      </c>
      <c r="AP4729" s="9">
        <v>3.3821398565470098</v>
      </c>
    </row>
    <row r="4730" spans="40:42" x14ac:dyDescent="0.3">
      <c r="AN4730">
        <v>4726</v>
      </c>
      <c r="AO4730" s="11">
        <v>31381.29</v>
      </c>
      <c r="AP4730" s="9">
        <v>3.6054107830450928</v>
      </c>
    </row>
    <row r="4731" spans="40:42" x14ac:dyDescent="0.3">
      <c r="AN4731">
        <v>4727</v>
      </c>
      <c r="AO4731" s="11">
        <v>29497.51</v>
      </c>
      <c r="AP4731" s="9">
        <v>4.0047023843373228</v>
      </c>
    </row>
    <row r="4732" spans="40:42" x14ac:dyDescent="0.3">
      <c r="AN4732">
        <v>4728</v>
      </c>
      <c r="AO4732" s="11">
        <v>17313.18</v>
      </c>
      <c r="AP4732" s="9">
        <v>3.1757141707750716</v>
      </c>
    </row>
    <row r="4733" spans="40:42" x14ac:dyDescent="0.3">
      <c r="AN4733">
        <v>4729</v>
      </c>
      <c r="AO4733" s="11">
        <v>38157.14</v>
      </c>
      <c r="AP4733" s="9">
        <v>3.0226218583892788</v>
      </c>
    </row>
    <row r="4734" spans="40:42" x14ac:dyDescent="0.3">
      <c r="AN4734">
        <v>4730</v>
      </c>
      <c r="AO4734" s="11">
        <v>21741.279999999999</v>
      </c>
      <c r="AP4734" s="9">
        <v>3.1983197068356461</v>
      </c>
    </row>
    <row r="4735" spans="40:42" x14ac:dyDescent="0.3">
      <c r="AN4735">
        <v>4731</v>
      </c>
      <c r="AO4735" s="11">
        <v>23326.05</v>
      </c>
      <c r="AP4735" s="9">
        <v>3.1490505179804664</v>
      </c>
    </row>
    <row r="4736" spans="40:42" x14ac:dyDescent="0.3">
      <c r="AN4736">
        <v>4732</v>
      </c>
      <c r="AO4736" s="11">
        <v>20344.189999999999</v>
      </c>
      <c r="AP4736" s="9">
        <v>3.5110979279782031</v>
      </c>
    </row>
    <row r="4737" spans="40:42" x14ac:dyDescent="0.3">
      <c r="AN4737">
        <v>4733</v>
      </c>
      <c r="AO4737" s="11">
        <v>23851.69</v>
      </c>
      <c r="AP4737" s="9">
        <v>3.1333999725855315</v>
      </c>
    </row>
    <row r="4738" spans="40:42" x14ac:dyDescent="0.3">
      <c r="AN4738">
        <v>4734</v>
      </c>
      <c r="AO4738" s="11">
        <v>37423.65</v>
      </c>
      <c r="AP4738" s="9">
        <v>3.8113913110182702</v>
      </c>
    </row>
    <row r="4739" spans="40:42" x14ac:dyDescent="0.3">
      <c r="AN4739">
        <v>4735</v>
      </c>
      <c r="AO4739" s="11">
        <v>23120.76</v>
      </c>
      <c r="AP4739" s="9">
        <v>3.3502478558122561</v>
      </c>
    </row>
    <row r="4740" spans="40:42" x14ac:dyDescent="0.3">
      <c r="AN4740">
        <v>4736</v>
      </c>
      <c r="AO4740" s="11">
        <v>27996.54</v>
      </c>
      <c r="AP4740" s="9">
        <v>3.0017086395438239</v>
      </c>
    </row>
    <row r="4741" spans="40:42" x14ac:dyDescent="0.3">
      <c r="AN4741">
        <v>4737</v>
      </c>
      <c r="AO4741" s="11">
        <v>26493.23</v>
      </c>
      <c r="AP4741" s="9">
        <v>3.4939305702127283</v>
      </c>
    </row>
    <row r="4742" spans="40:42" x14ac:dyDescent="0.3">
      <c r="AN4742">
        <v>4738</v>
      </c>
      <c r="AO4742" s="11">
        <v>13104.04</v>
      </c>
      <c r="AP4742" s="9">
        <v>3.1712402923142085</v>
      </c>
    </row>
    <row r="4743" spans="40:42" x14ac:dyDescent="0.3">
      <c r="AN4743">
        <v>4739</v>
      </c>
      <c r="AO4743" s="11">
        <v>29373.34</v>
      </c>
      <c r="AP4743" s="9">
        <v>3.2213086652119971</v>
      </c>
    </row>
    <row r="4744" spans="40:42" x14ac:dyDescent="0.3">
      <c r="AN4744">
        <v>4740</v>
      </c>
      <c r="AO4744" s="11">
        <v>23554.3</v>
      </c>
      <c r="AP4744" s="9">
        <v>3.6446873510239612</v>
      </c>
    </row>
    <row r="4745" spans="40:42" x14ac:dyDescent="0.3">
      <c r="AN4745">
        <v>4741</v>
      </c>
      <c r="AO4745" s="11">
        <v>37503.22</v>
      </c>
      <c r="AP4745" s="9">
        <v>3.2715747628221123</v>
      </c>
    </row>
    <row r="4746" spans="40:42" x14ac:dyDescent="0.3">
      <c r="AN4746">
        <v>4742</v>
      </c>
      <c r="AO4746" s="11">
        <v>21752.06</v>
      </c>
      <c r="AP4746" s="9">
        <v>3.3528505933252135</v>
      </c>
    </row>
    <row r="4747" spans="40:42" x14ac:dyDescent="0.3">
      <c r="AN4747">
        <v>4743</v>
      </c>
      <c r="AO4747" s="11">
        <v>26644.09</v>
      </c>
      <c r="AP4747" s="9">
        <v>3.3917443145342783</v>
      </c>
    </row>
    <row r="4748" spans="40:42" x14ac:dyDescent="0.3">
      <c r="AN4748">
        <v>4744</v>
      </c>
      <c r="AO4748" s="11">
        <v>34712.14</v>
      </c>
      <c r="AP4748" s="9">
        <v>3.2193070599190552</v>
      </c>
    </row>
    <row r="4749" spans="40:42" x14ac:dyDescent="0.3">
      <c r="AN4749">
        <v>4745</v>
      </c>
      <c r="AO4749" s="11">
        <v>21766.23</v>
      </c>
      <c r="AP4749" s="9">
        <v>2.9188798087701411</v>
      </c>
    </row>
    <row r="4750" spans="40:42" x14ac:dyDescent="0.3">
      <c r="AN4750">
        <v>4746</v>
      </c>
      <c r="AO4750" s="11">
        <v>26902.14</v>
      </c>
      <c r="AP4750" s="9">
        <v>3.0679418876102451</v>
      </c>
    </row>
    <row r="4751" spans="40:42" x14ac:dyDescent="0.3">
      <c r="AN4751">
        <v>4747</v>
      </c>
      <c r="AO4751" s="11">
        <v>18967.39</v>
      </c>
      <c r="AP4751" s="9">
        <v>3.3243579472234197</v>
      </c>
    </row>
    <row r="4752" spans="40:42" x14ac:dyDescent="0.3">
      <c r="AN4752">
        <v>4748</v>
      </c>
      <c r="AO4752" s="11">
        <v>40829.79</v>
      </c>
      <c r="AP4752" s="9">
        <v>3.5279343718178517</v>
      </c>
    </row>
    <row r="4753" spans="40:42" x14ac:dyDescent="0.3">
      <c r="AN4753">
        <v>4749</v>
      </c>
      <c r="AO4753" s="11">
        <v>18673.93</v>
      </c>
      <c r="AP4753" s="9">
        <v>2.9713601624857855</v>
      </c>
    </row>
    <row r="4754" spans="40:42" x14ac:dyDescent="0.3">
      <c r="AN4754">
        <v>4750</v>
      </c>
      <c r="AO4754" s="11">
        <v>28741.38</v>
      </c>
      <c r="AP4754" s="9">
        <v>3.3451560395599729</v>
      </c>
    </row>
    <row r="4755" spans="40:42" x14ac:dyDescent="0.3">
      <c r="AN4755">
        <v>4751</v>
      </c>
      <c r="AO4755" s="11">
        <v>21440.99</v>
      </c>
      <c r="AP4755" s="9">
        <v>3.6219094348662817</v>
      </c>
    </row>
    <row r="4756" spans="40:42" x14ac:dyDescent="0.3">
      <c r="AN4756">
        <v>4752</v>
      </c>
      <c r="AO4756" s="11">
        <v>33367.24</v>
      </c>
      <c r="AP4756" s="9">
        <v>3.6305423800678156</v>
      </c>
    </row>
    <row r="4757" spans="40:42" x14ac:dyDescent="0.3">
      <c r="AN4757">
        <v>4753</v>
      </c>
      <c r="AO4757" s="11">
        <v>17784.82</v>
      </c>
      <c r="AP4757" s="9">
        <v>3.2919496322875235</v>
      </c>
    </row>
    <row r="4758" spans="40:42" x14ac:dyDescent="0.3">
      <c r="AN4758">
        <v>4754</v>
      </c>
      <c r="AO4758" s="11">
        <v>33867.379999999997</v>
      </c>
      <c r="AP4758" s="9">
        <v>3.6849910149383898</v>
      </c>
    </row>
    <row r="4759" spans="40:42" x14ac:dyDescent="0.3">
      <c r="AN4759">
        <v>4755</v>
      </c>
      <c r="AO4759" s="11">
        <v>33254.480000000003</v>
      </c>
      <c r="AP4759" s="9">
        <v>3.6488778945388902</v>
      </c>
    </row>
    <row r="4760" spans="40:42" x14ac:dyDescent="0.3">
      <c r="AN4760">
        <v>4756</v>
      </c>
      <c r="AO4760" s="11">
        <v>18716.54</v>
      </c>
      <c r="AP4760" s="9">
        <v>3.1170941985653964</v>
      </c>
    </row>
    <row r="4761" spans="40:42" x14ac:dyDescent="0.3">
      <c r="AN4761">
        <v>4757</v>
      </c>
      <c r="AO4761" s="11">
        <v>38784.980000000003</v>
      </c>
      <c r="AP4761" s="9">
        <v>3.4469003123594226</v>
      </c>
    </row>
    <row r="4762" spans="40:42" x14ac:dyDescent="0.3">
      <c r="AN4762">
        <v>4758</v>
      </c>
      <c r="AO4762" s="11">
        <v>22072.54</v>
      </c>
      <c r="AP4762" s="9">
        <v>3.3042325859112389</v>
      </c>
    </row>
    <row r="4763" spans="40:42" x14ac:dyDescent="0.3">
      <c r="AN4763">
        <v>4759</v>
      </c>
      <c r="AO4763" s="11">
        <v>31112.87</v>
      </c>
      <c r="AP4763" s="9">
        <v>2.5902245209161592</v>
      </c>
    </row>
    <row r="4764" spans="40:42" x14ac:dyDescent="0.3">
      <c r="AN4764">
        <v>4760</v>
      </c>
      <c r="AO4764" s="11">
        <v>24439.99</v>
      </c>
      <c r="AP4764" s="9">
        <v>3.3463553863918025</v>
      </c>
    </row>
    <row r="4765" spans="40:42" x14ac:dyDescent="0.3">
      <c r="AN4765">
        <v>4761</v>
      </c>
      <c r="AO4765" s="11">
        <v>17826.060000000001</v>
      </c>
      <c r="AP4765" s="9">
        <v>2.7500629641224585</v>
      </c>
    </row>
    <row r="4766" spans="40:42" x14ac:dyDescent="0.3">
      <c r="AN4766">
        <v>4762</v>
      </c>
      <c r="AO4766" s="11">
        <v>30852.76</v>
      </c>
      <c r="AP4766" s="9">
        <v>4.004805700276699</v>
      </c>
    </row>
    <row r="4767" spans="40:42" x14ac:dyDescent="0.3">
      <c r="AN4767">
        <v>4763</v>
      </c>
      <c r="AO4767" s="11">
        <v>26264.43</v>
      </c>
      <c r="AP4767" s="9">
        <v>3.0479992444576007</v>
      </c>
    </row>
    <row r="4768" spans="40:42" x14ac:dyDescent="0.3">
      <c r="AN4768">
        <v>4764</v>
      </c>
      <c r="AO4768" s="11">
        <v>35198.03</v>
      </c>
      <c r="AP4768" s="9">
        <v>3.4073890576962707</v>
      </c>
    </row>
    <row r="4769" spans="40:42" x14ac:dyDescent="0.3">
      <c r="AN4769">
        <v>4765</v>
      </c>
      <c r="AO4769" s="11">
        <v>37061.040000000001</v>
      </c>
      <c r="AP4769" s="9">
        <v>3.557257092216711</v>
      </c>
    </row>
    <row r="4770" spans="40:42" x14ac:dyDescent="0.3">
      <c r="AN4770">
        <v>4766</v>
      </c>
      <c r="AO4770" s="11">
        <v>19889.919999999998</v>
      </c>
      <c r="AP4770" s="9">
        <v>3.4137462222840322</v>
      </c>
    </row>
    <row r="4771" spans="40:42" x14ac:dyDescent="0.3">
      <c r="AN4771">
        <v>4767</v>
      </c>
      <c r="AO4771" s="11">
        <v>23223.94</v>
      </c>
      <c r="AP4771" s="9">
        <v>3.4366945738105334</v>
      </c>
    </row>
    <row r="4772" spans="40:42" x14ac:dyDescent="0.3">
      <c r="AN4772">
        <v>4768</v>
      </c>
      <c r="AO4772" s="11">
        <v>22793.97</v>
      </c>
      <c r="AP4772" s="9">
        <v>3.3943114405931154</v>
      </c>
    </row>
    <row r="4773" spans="40:42" x14ac:dyDescent="0.3">
      <c r="AN4773">
        <v>4769</v>
      </c>
      <c r="AO4773" s="11">
        <v>24660.63</v>
      </c>
      <c r="AP4773" s="9">
        <v>3.2878743145116824</v>
      </c>
    </row>
    <row r="4774" spans="40:42" x14ac:dyDescent="0.3">
      <c r="AN4774">
        <v>4770</v>
      </c>
      <c r="AO4774" s="11">
        <v>30237.26</v>
      </c>
      <c r="AP4774" s="9">
        <v>3.0144934449406673</v>
      </c>
    </row>
    <row r="4775" spans="40:42" x14ac:dyDescent="0.3">
      <c r="AN4775">
        <v>4771</v>
      </c>
      <c r="AO4775" s="11">
        <v>28001.64</v>
      </c>
      <c r="AP4775" s="9">
        <v>3.8185630008418059</v>
      </c>
    </row>
    <row r="4776" spans="40:42" x14ac:dyDescent="0.3">
      <c r="AN4776">
        <v>4772</v>
      </c>
      <c r="AO4776" s="11">
        <v>28599.65</v>
      </c>
      <c r="AP4776" s="9">
        <v>3.4048800308587839</v>
      </c>
    </row>
    <row r="4777" spans="40:42" x14ac:dyDescent="0.3">
      <c r="AN4777">
        <v>4773</v>
      </c>
      <c r="AO4777" s="11">
        <v>34801.839999999997</v>
      </c>
      <c r="AP4777" s="9">
        <v>3.4741073590664353</v>
      </c>
    </row>
    <row r="4778" spans="40:42" x14ac:dyDescent="0.3">
      <c r="AN4778">
        <v>4774</v>
      </c>
      <c r="AO4778" s="11">
        <v>19681.05</v>
      </c>
      <c r="AP4778" s="9">
        <v>2.9384519105281419</v>
      </c>
    </row>
    <row r="4779" spans="40:42" x14ac:dyDescent="0.3">
      <c r="AN4779">
        <v>4775</v>
      </c>
      <c r="AO4779" s="11">
        <v>23689.97</v>
      </c>
      <c r="AP4779" s="9">
        <v>3.4261086988093248</v>
      </c>
    </row>
    <row r="4780" spans="40:42" x14ac:dyDescent="0.3">
      <c r="AN4780">
        <v>4776</v>
      </c>
      <c r="AO4780" s="11">
        <v>26812.99</v>
      </c>
      <c r="AP4780" s="9">
        <v>3.2171235734222097</v>
      </c>
    </row>
    <row r="4781" spans="40:42" x14ac:dyDescent="0.3">
      <c r="AN4781">
        <v>4777</v>
      </c>
      <c r="AO4781" s="11">
        <v>27091.919999999998</v>
      </c>
      <c r="AP4781" s="9">
        <v>3.8901756614146397</v>
      </c>
    </row>
    <row r="4782" spans="40:42" x14ac:dyDescent="0.3">
      <c r="AN4782">
        <v>4778</v>
      </c>
      <c r="AO4782" s="11">
        <v>19094.759999999998</v>
      </c>
      <c r="AP4782" s="9">
        <v>3.6007080176480497</v>
      </c>
    </row>
    <row r="4783" spans="40:42" x14ac:dyDescent="0.3">
      <c r="AN4783">
        <v>4779</v>
      </c>
      <c r="AO4783" s="11">
        <v>33811.040000000001</v>
      </c>
      <c r="AP4783" s="9">
        <v>3.228683698364792</v>
      </c>
    </row>
    <row r="4784" spans="40:42" x14ac:dyDescent="0.3">
      <c r="AN4784">
        <v>4780</v>
      </c>
      <c r="AO4784" s="11">
        <v>15886.4</v>
      </c>
      <c r="AP4784" s="9">
        <v>3.0897341113581067</v>
      </c>
    </row>
    <row r="4785" spans="40:42" x14ac:dyDescent="0.3">
      <c r="AN4785">
        <v>4781</v>
      </c>
      <c r="AO4785" s="11">
        <v>21391.119999999999</v>
      </c>
      <c r="AP4785" s="9">
        <v>3.3044338421258077</v>
      </c>
    </row>
    <row r="4786" spans="40:42" x14ac:dyDescent="0.3">
      <c r="AN4786">
        <v>4782</v>
      </c>
      <c r="AO4786" s="11">
        <v>26753.98</v>
      </c>
      <c r="AP4786" s="9">
        <v>3.6299437155537664</v>
      </c>
    </row>
    <row r="4787" spans="40:42" x14ac:dyDescent="0.3">
      <c r="AN4787">
        <v>4783</v>
      </c>
      <c r="AO4787" s="11">
        <v>34403.43</v>
      </c>
      <c r="AP4787" s="9">
        <v>4.2368593711837184</v>
      </c>
    </row>
    <row r="4788" spans="40:42" x14ac:dyDescent="0.3">
      <c r="AN4788">
        <v>4784</v>
      </c>
      <c r="AO4788" s="11">
        <v>33157.15</v>
      </c>
      <c r="AP4788" s="9">
        <v>3.6274839186112393</v>
      </c>
    </row>
    <row r="4789" spans="40:42" x14ac:dyDescent="0.3">
      <c r="AN4789">
        <v>4785</v>
      </c>
      <c r="AO4789" s="11">
        <v>24491.279999999999</v>
      </c>
      <c r="AP4789" s="9">
        <v>2.8258111519413687</v>
      </c>
    </row>
    <row r="4790" spans="40:42" x14ac:dyDescent="0.3">
      <c r="AN4790">
        <v>4786</v>
      </c>
      <c r="AO4790" s="11">
        <v>34520.639999999999</v>
      </c>
      <c r="AP4790" s="9">
        <v>3.7753427287880816</v>
      </c>
    </row>
    <row r="4791" spans="40:42" x14ac:dyDescent="0.3">
      <c r="AN4791">
        <v>4787</v>
      </c>
      <c r="AO4791" s="11">
        <v>24938.84</v>
      </c>
      <c r="AP4791" s="9">
        <v>3.3369698110943697</v>
      </c>
    </row>
    <row r="4792" spans="40:42" x14ac:dyDescent="0.3">
      <c r="AN4792">
        <v>4788</v>
      </c>
      <c r="AO4792" s="11">
        <v>21562.97</v>
      </c>
      <c r="AP4792" s="9">
        <v>3.4618499381773886</v>
      </c>
    </row>
    <row r="4793" spans="40:42" x14ac:dyDescent="0.3">
      <c r="AN4793">
        <v>4789</v>
      </c>
      <c r="AO4793" s="11">
        <v>43623.76</v>
      </c>
      <c r="AP4793" s="9">
        <v>3.526331770288242</v>
      </c>
    </row>
    <row r="4794" spans="40:42" x14ac:dyDescent="0.3">
      <c r="AN4794">
        <v>4790</v>
      </c>
      <c r="AO4794" s="11">
        <v>33677.440000000002</v>
      </c>
      <c r="AP4794" s="9">
        <v>3.4834962904576594</v>
      </c>
    </row>
    <row r="4795" spans="40:42" x14ac:dyDescent="0.3">
      <c r="AN4795">
        <v>4791</v>
      </c>
      <c r="AO4795" s="11">
        <v>26087.95</v>
      </c>
      <c r="AP4795" s="9">
        <v>3.6271545377644996</v>
      </c>
    </row>
    <row r="4796" spans="40:42" x14ac:dyDescent="0.3">
      <c r="AN4796">
        <v>4792</v>
      </c>
      <c r="AO4796" s="11">
        <v>26118.7</v>
      </c>
      <c r="AP4796" s="9">
        <v>3.2715008822513703</v>
      </c>
    </row>
    <row r="4797" spans="40:42" x14ac:dyDescent="0.3">
      <c r="AN4797">
        <v>4793</v>
      </c>
      <c r="AO4797" s="11">
        <v>23643.77</v>
      </c>
      <c r="AP4797" s="9">
        <v>3.257033680646042</v>
      </c>
    </row>
    <row r="4798" spans="40:42" x14ac:dyDescent="0.3">
      <c r="AN4798">
        <v>4794</v>
      </c>
      <c r="AO4798" s="11">
        <v>21670.69</v>
      </c>
      <c r="AP4798" s="9">
        <v>2.7001534666224423</v>
      </c>
    </row>
    <row r="4799" spans="40:42" x14ac:dyDescent="0.3">
      <c r="AN4799">
        <v>4795</v>
      </c>
      <c r="AO4799" s="11">
        <v>23763.52</v>
      </c>
      <c r="AP4799" s="9">
        <v>3.0919444916671672</v>
      </c>
    </row>
    <row r="4800" spans="40:42" x14ac:dyDescent="0.3">
      <c r="AN4800">
        <v>4796</v>
      </c>
      <c r="AO4800" s="11">
        <v>25765.84</v>
      </c>
      <c r="AP4800" s="9">
        <v>3.3252363885113168</v>
      </c>
    </row>
    <row r="4801" spans="40:42" x14ac:dyDescent="0.3">
      <c r="AN4801">
        <v>4797</v>
      </c>
      <c r="AO4801" s="11">
        <v>25415.42</v>
      </c>
      <c r="AP4801" s="9">
        <v>3.3529470076393633</v>
      </c>
    </row>
    <row r="4802" spans="40:42" x14ac:dyDescent="0.3">
      <c r="AN4802">
        <v>4798</v>
      </c>
      <c r="AO4802" s="11">
        <v>22847.13</v>
      </c>
      <c r="AP4802" s="9">
        <v>3.0666503112736749</v>
      </c>
    </row>
    <row r="4803" spans="40:42" x14ac:dyDescent="0.3">
      <c r="AN4803">
        <v>4799</v>
      </c>
      <c r="AO4803" s="11">
        <v>22615.79</v>
      </c>
      <c r="AP4803" s="9">
        <v>3.0246559060617524</v>
      </c>
    </row>
    <row r="4804" spans="40:42" x14ac:dyDescent="0.3">
      <c r="AN4804">
        <v>4800</v>
      </c>
      <c r="AO4804" s="11">
        <v>26236.14</v>
      </c>
      <c r="AP4804" s="9">
        <v>3.300590436730015</v>
      </c>
    </row>
    <row r="4805" spans="40:42" x14ac:dyDescent="0.3">
      <c r="AN4805">
        <v>4801</v>
      </c>
      <c r="AO4805" s="11">
        <v>29023.32</v>
      </c>
      <c r="AP4805" s="9">
        <v>3.2692389482366</v>
      </c>
    </row>
    <row r="4806" spans="40:42" x14ac:dyDescent="0.3">
      <c r="AN4806">
        <v>4802</v>
      </c>
      <c r="AO4806" s="11">
        <v>30053.8</v>
      </c>
      <c r="AP4806" s="9">
        <v>4.4567750596392663</v>
      </c>
    </row>
    <row r="4807" spans="40:42" x14ac:dyDescent="0.3">
      <c r="AN4807">
        <v>4803</v>
      </c>
      <c r="AO4807" s="11">
        <v>19275.23</v>
      </c>
      <c r="AP4807" s="9">
        <v>3.5477482551963719</v>
      </c>
    </row>
    <row r="4808" spans="40:42" x14ac:dyDescent="0.3">
      <c r="AN4808">
        <v>4804</v>
      </c>
      <c r="AO4808" s="11">
        <v>32791.870000000003</v>
      </c>
      <c r="AP4808" s="9">
        <v>3.2763468808150651</v>
      </c>
    </row>
    <row r="4809" spans="40:42" x14ac:dyDescent="0.3">
      <c r="AN4809">
        <v>4805</v>
      </c>
      <c r="AO4809" s="11">
        <v>29571.279999999999</v>
      </c>
      <c r="AP4809" s="9">
        <v>3.921036571622456</v>
      </c>
    </row>
    <row r="4810" spans="40:42" x14ac:dyDescent="0.3">
      <c r="AN4810">
        <v>4806</v>
      </c>
      <c r="AO4810" s="11">
        <v>28070.85</v>
      </c>
      <c r="AP4810" s="9">
        <v>3.6615532731689826</v>
      </c>
    </row>
    <row r="4811" spans="40:42" x14ac:dyDescent="0.3">
      <c r="AN4811">
        <v>4807</v>
      </c>
      <c r="AO4811" s="11">
        <v>25796.76</v>
      </c>
      <c r="AP4811" s="9">
        <v>3.350730510114357</v>
      </c>
    </row>
    <row r="4812" spans="40:42" x14ac:dyDescent="0.3">
      <c r="AN4812">
        <v>4808</v>
      </c>
      <c r="AO4812" s="11">
        <v>21128.76</v>
      </c>
      <c r="AP4812" s="9">
        <v>3.3448117101004304</v>
      </c>
    </row>
    <row r="4813" spans="40:42" x14ac:dyDescent="0.3">
      <c r="AN4813">
        <v>4809</v>
      </c>
      <c r="AO4813" s="11">
        <v>29029.57</v>
      </c>
      <c r="AP4813" s="9">
        <v>4.1967325377783142</v>
      </c>
    </row>
    <row r="4814" spans="40:42" x14ac:dyDescent="0.3">
      <c r="AN4814">
        <v>4810</v>
      </c>
      <c r="AO4814" s="11">
        <v>17205.669999999998</v>
      </c>
      <c r="AP4814" s="9">
        <v>3.1452204638441041</v>
      </c>
    </row>
    <row r="4815" spans="40:42" x14ac:dyDescent="0.3">
      <c r="AN4815">
        <v>4811</v>
      </c>
      <c r="AO4815" s="11">
        <v>18376.22</v>
      </c>
      <c r="AP4815" s="9">
        <v>3.4839802369170036</v>
      </c>
    </row>
    <row r="4816" spans="40:42" x14ac:dyDescent="0.3">
      <c r="AN4816">
        <v>4812</v>
      </c>
      <c r="AO4816" s="11">
        <v>44771.86</v>
      </c>
      <c r="AP4816" s="9">
        <v>3.4975913605230935</v>
      </c>
    </row>
    <row r="4817" spans="40:42" x14ac:dyDescent="0.3">
      <c r="AN4817">
        <v>4813</v>
      </c>
      <c r="AO4817" s="11">
        <v>27699.19</v>
      </c>
      <c r="AP4817" s="9">
        <v>3.4495628178749143</v>
      </c>
    </row>
    <row r="4818" spans="40:42" x14ac:dyDescent="0.3">
      <c r="AN4818">
        <v>4814</v>
      </c>
      <c r="AO4818" s="11">
        <v>25353.77</v>
      </c>
      <c r="AP4818" s="9">
        <v>3.3422929902560581</v>
      </c>
    </row>
    <row r="4819" spans="40:42" x14ac:dyDescent="0.3">
      <c r="AN4819">
        <v>4815</v>
      </c>
      <c r="AO4819" s="11">
        <v>22772.92</v>
      </c>
      <c r="AP4819" s="9">
        <v>3.5794071861771752</v>
      </c>
    </row>
    <row r="4820" spans="40:42" x14ac:dyDescent="0.3">
      <c r="AN4820">
        <v>4816</v>
      </c>
      <c r="AO4820" s="11">
        <v>29796.14</v>
      </c>
      <c r="AP4820" s="9">
        <v>3.4134010752038058</v>
      </c>
    </row>
    <row r="4821" spans="40:42" x14ac:dyDescent="0.3">
      <c r="AN4821">
        <v>4817</v>
      </c>
      <c r="AO4821" s="11">
        <v>26528.84</v>
      </c>
      <c r="AP4821" s="9">
        <v>3.6041761612926129</v>
      </c>
    </row>
    <row r="4822" spans="40:42" x14ac:dyDescent="0.3">
      <c r="AN4822">
        <v>4818</v>
      </c>
      <c r="AO4822" s="11">
        <v>30934.06</v>
      </c>
      <c r="AP4822" s="9">
        <v>3.9488201990746972</v>
      </c>
    </row>
    <row r="4823" spans="40:42" x14ac:dyDescent="0.3">
      <c r="AN4823">
        <v>4819</v>
      </c>
      <c r="AO4823" s="11">
        <v>24435.32</v>
      </c>
      <c r="AP4823" s="9">
        <v>3.7213899822714227</v>
      </c>
    </row>
    <row r="4824" spans="40:42" x14ac:dyDescent="0.3">
      <c r="AN4824">
        <v>4820</v>
      </c>
      <c r="AO4824" s="11">
        <v>28628.54</v>
      </c>
      <c r="AP4824" s="9">
        <v>2.8824582680778392</v>
      </c>
    </row>
    <row r="4825" spans="40:42" x14ac:dyDescent="0.3">
      <c r="AN4825">
        <v>4821</v>
      </c>
      <c r="AO4825" s="11">
        <v>46974.71</v>
      </c>
      <c r="AP4825" s="9">
        <v>3.5496881319126237</v>
      </c>
    </row>
    <row r="4826" spans="40:42" x14ac:dyDescent="0.3">
      <c r="AN4826">
        <v>4822</v>
      </c>
      <c r="AO4826" s="11">
        <v>36497.839999999997</v>
      </c>
      <c r="AP4826" s="9">
        <v>4.1625724430933051</v>
      </c>
    </row>
    <row r="4827" spans="40:42" x14ac:dyDescent="0.3">
      <c r="AN4827">
        <v>4823</v>
      </c>
      <c r="AO4827" s="11">
        <v>18485.189999999999</v>
      </c>
      <c r="AP4827" s="9">
        <v>2.9026919368000086</v>
      </c>
    </row>
    <row r="4828" spans="40:42" x14ac:dyDescent="0.3">
      <c r="AN4828">
        <v>4824</v>
      </c>
      <c r="AO4828" s="11">
        <v>15155.67</v>
      </c>
      <c r="AP4828" s="9">
        <v>4.2994739913925768</v>
      </c>
    </row>
    <row r="4829" spans="40:42" x14ac:dyDescent="0.3">
      <c r="AN4829">
        <v>4825</v>
      </c>
      <c r="AO4829" s="11">
        <v>30912.58</v>
      </c>
      <c r="AP4829" s="9">
        <v>3.2514477187574466</v>
      </c>
    </row>
    <row r="4830" spans="40:42" x14ac:dyDescent="0.3">
      <c r="AN4830">
        <v>4826</v>
      </c>
      <c r="AO4830" s="11">
        <v>29770.5</v>
      </c>
      <c r="AP4830" s="9">
        <v>3.3738519205135447</v>
      </c>
    </row>
    <row r="4831" spans="40:42" x14ac:dyDescent="0.3">
      <c r="AN4831">
        <v>4827</v>
      </c>
      <c r="AO4831" s="11">
        <v>25735.86</v>
      </c>
      <c r="AP4831" s="9">
        <v>3.1620679985978919</v>
      </c>
    </row>
    <row r="4832" spans="40:42" x14ac:dyDescent="0.3">
      <c r="AN4832">
        <v>4828</v>
      </c>
      <c r="AO4832" s="11">
        <v>31234.29</v>
      </c>
      <c r="AP4832" s="9">
        <v>4.3767287027295216</v>
      </c>
    </row>
    <row r="4833" spans="40:42" x14ac:dyDescent="0.3">
      <c r="AN4833">
        <v>4829</v>
      </c>
      <c r="AO4833" s="11">
        <v>20331.72</v>
      </c>
      <c r="AP4833" s="9">
        <v>2.693897554644491</v>
      </c>
    </row>
    <row r="4834" spans="40:42" x14ac:dyDescent="0.3">
      <c r="AN4834">
        <v>4830</v>
      </c>
      <c r="AO4834" s="11">
        <v>25216.25</v>
      </c>
      <c r="AP4834" s="9">
        <v>2.961060422465382</v>
      </c>
    </row>
    <row r="4835" spans="40:42" x14ac:dyDescent="0.3">
      <c r="AN4835">
        <v>4831</v>
      </c>
      <c r="AO4835" s="11">
        <v>31008.79</v>
      </c>
      <c r="AP4835" s="9">
        <v>3.3636652611675264</v>
      </c>
    </row>
    <row r="4836" spans="40:42" x14ac:dyDescent="0.3">
      <c r="AN4836">
        <v>4832</v>
      </c>
      <c r="AO4836" s="11">
        <v>16384.64</v>
      </c>
      <c r="AP4836" s="9">
        <v>2.9986482984315304</v>
      </c>
    </row>
    <row r="4837" spans="40:42" x14ac:dyDescent="0.3">
      <c r="AN4837">
        <v>4833</v>
      </c>
      <c r="AO4837" s="11">
        <v>19621.73</v>
      </c>
      <c r="AP4837" s="9">
        <v>3.5218972512405466</v>
      </c>
    </row>
    <row r="4838" spans="40:42" x14ac:dyDescent="0.3">
      <c r="AN4838">
        <v>4834</v>
      </c>
      <c r="AO4838" s="11">
        <v>14365.59</v>
      </c>
      <c r="AP4838" s="9">
        <v>3.2771339785865767</v>
      </c>
    </row>
    <row r="4839" spans="40:42" x14ac:dyDescent="0.3">
      <c r="AN4839">
        <v>4835</v>
      </c>
      <c r="AO4839" s="11">
        <v>24505.68</v>
      </c>
      <c r="AP4839" s="9">
        <v>3.2607530986026605</v>
      </c>
    </row>
    <row r="4840" spans="40:42" x14ac:dyDescent="0.3">
      <c r="AN4840">
        <v>4836</v>
      </c>
      <c r="AO4840" s="11">
        <v>30556.46</v>
      </c>
      <c r="AP4840" s="9">
        <v>3.1770507470284866</v>
      </c>
    </row>
    <row r="4841" spans="40:42" x14ac:dyDescent="0.3">
      <c r="AN4841">
        <v>4837</v>
      </c>
      <c r="AO4841" s="11">
        <v>28291.85</v>
      </c>
      <c r="AP4841" s="9">
        <v>3.4164488278085936</v>
      </c>
    </row>
    <row r="4842" spans="40:42" x14ac:dyDescent="0.3">
      <c r="AN4842">
        <v>4838</v>
      </c>
      <c r="AO4842" s="11">
        <v>35634.79</v>
      </c>
      <c r="AP4842" s="9">
        <v>3.1175036678331223</v>
      </c>
    </row>
    <row r="4843" spans="40:42" x14ac:dyDescent="0.3">
      <c r="AN4843">
        <v>4839</v>
      </c>
      <c r="AO4843" s="11">
        <v>30544.05</v>
      </c>
      <c r="AP4843" s="9">
        <v>3.622987872828241</v>
      </c>
    </row>
    <row r="4844" spans="40:42" x14ac:dyDescent="0.3">
      <c r="AN4844">
        <v>4840</v>
      </c>
      <c r="AO4844" s="11">
        <v>17577.54</v>
      </c>
      <c r="AP4844" s="9">
        <v>3.659824501925065</v>
      </c>
    </row>
    <row r="4845" spans="40:42" x14ac:dyDescent="0.3">
      <c r="AN4845">
        <v>4841</v>
      </c>
      <c r="AO4845" s="11">
        <v>24334.07</v>
      </c>
      <c r="AP4845" s="9">
        <v>2.8950638840937453</v>
      </c>
    </row>
    <row r="4846" spans="40:42" x14ac:dyDescent="0.3">
      <c r="AN4846">
        <v>4842</v>
      </c>
      <c r="AO4846" s="11">
        <v>20855.41</v>
      </c>
      <c r="AP4846" s="9">
        <v>3.4464942414377004</v>
      </c>
    </row>
    <row r="4847" spans="40:42" x14ac:dyDescent="0.3">
      <c r="AN4847">
        <v>4843</v>
      </c>
      <c r="AO4847" s="11">
        <v>19580.95</v>
      </c>
      <c r="AP4847" s="9">
        <v>3.5433748697098588</v>
      </c>
    </row>
    <row r="4848" spans="40:42" x14ac:dyDescent="0.3">
      <c r="AN4848">
        <v>4844</v>
      </c>
      <c r="AO4848" s="11">
        <v>24108.14</v>
      </c>
      <c r="AP4848" s="9">
        <v>3.372270710607066</v>
      </c>
    </row>
    <row r="4849" spans="40:42" x14ac:dyDescent="0.3">
      <c r="AN4849">
        <v>4845</v>
      </c>
      <c r="AO4849" s="11">
        <v>33494.35</v>
      </c>
      <c r="AP4849" s="9">
        <v>3.1207211037137963</v>
      </c>
    </row>
    <row r="4850" spans="40:42" x14ac:dyDescent="0.3">
      <c r="AN4850">
        <v>4846</v>
      </c>
      <c r="AO4850" s="11">
        <v>35244.22</v>
      </c>
      <c r="AP4850" s="9">
        <v>2.9336914165454546</v>
      </c>
    </row>
    <row r="4851" spans="40:42" x14ac:dyDescent="0.3">
      <c r="AN4851">
        <v>4847</v>
      </c>
      <c r="AO4851" s="11">
        <v>29284.02</v>
      </c>
      <c r="AP4851" s="9">
        <v>3.7611723618464108</v>
      </c>
    </row>
    <row r="4852" spans="40:42" x14ac:dyDescent="0.3">
      <c r="AN4852">
        <v>4848</v>
      </c>
      <c r="AO4852" s="11">
        <v>31478.41</v>
      </c>
      <c r="AP4852" s="9">
        <v>3.3567439405173127</v>
      </c>
    </row>
    <row r="4853" spans="40:42" x14ac:dyDescent="0.3">
      <c r="AN4853">
        <v>4849</v>
      </c>
      <c r="AO4853" s="11">
        <v>31485.58</v>
      </c>
      <c r="AP4853" s="9">
        <v>3.9053160251144936</v>
      </c>
    </row>
    <row r="4854" spans="40:42" x14ac:dyDescent="0.3">
      <c r="AN4854">
        <v>4850</v>
      </c>
      <c r="AO4854" s="11">
        <v>36969.480000000003</v>
      </c>
      <c r="AP4854" s="9">
        <v>4.1974252052895924</v>
      </c>
    </row>
    <row r="4855" spans="40:42" x14ac:dyDescent="0.3">
      <c r="AN4855">
        <v>4851</v>
      </c>
      <c r="AO4855" s="11">
        <v>14266.39</v>
      </c>
      <c r="AP4855" s="9">
        <v>3.059350895211971</v>
      </c>
    </row>
    <row r="4856" spans="40:42" x14ac:dyDescent="0.3">
      <c r="AN4856">
        <v>4852</v>
      </c>
      <c r="AO4856" s="11">
        <v>18327.82</v>
      </c>
      <c r="AP4856" s="9">
        <v>3.2058967116726578</v>
      </c>
    </row>
    <row r="4857" spans="40:42" x14ac:dyDescent="0.3">
      <c r="AN4857">
        <v>4853</v>
      </c>
      <c r="AO4857" s="11">
        <v>28747.45</v>
      </c>
      <c r="AP4857" s="9">
        <v>3.765320078569192</v>
      </c>
    </row>
    <row r="4858" spans="40:42" x14ac:dyDescent="0.3">
      <c r="AN4858">
        <v>4854</v>
      </c>
      <c r="AO4858" s="11">
        <v>20979.37</v>
      </c>
      <c r="AP4858" s="9">
        <v>3.0035900345333761</v>
      </c>
    </row>
    <row r="4859" spans="40:42" x14ac:dyDescent="0.3">
      <c r="AN4859">
        <v>4855</v>
      </c>
      <c r="AO4859" s="11">
        <v>23254.25</v>
      </c>
      <c r="AP4859" s="9">
        <v>2.8563078804714452</v>
      </c>
    </row>
    <row r="4860" spans="40:42" x14ac:dyDescent="0.3">
      <c r="AN4860">
        <v>4856</v>
      </c>
      <c r="AO4860" s="11">
        <v>39403.26</v>
      </c>
      <c r="AP4860" s="9">
        <v>3.5182663191023407</v>
      </c>
    </row>
    <row r="4861" spans="40:42" x14ac:dyDescent="0.3">
      <c r="AN4861">
        <v>4857</v>
      </c>
      <c r="AO4861" s="11">
        <v>27346.03</v>
      </c>
      <c r="AP4861" s="9">
        <v>3.3271077108401088</v>
      </c>
    </row>
    <row r="4862" spans="40:42" x14ac:dyDescent="0.3">
      <c r="AN4862">
        <v>4858</v>
      </c>
      <c r="AO4862" s="11">
        <v>34997.31</v>
      </c>
      <c r="AP4862" s="9">
        <v>3.7366660917499996</v>
      </c>
    </row>
    <row r="4863" spans="40:42" x14ac:dyDescent="0.3">
      <c r="AN4863">
        <v>4859</v>
      </c>
      <c r="AO4863" s="11">
        <v>27677.64</v>
      </c>
      <c r="AP4863" s="9">
        <v>3.0832623903094296</v>
      </c>
    </row>
    <row r="4864" spans="40:42" x14ac:dyDescent="0.3">
      <c r="AN4864">
        <v>4860</v>
      </c>
      <c r="AO4864" s="11">
        <v>19157.98</v>
      </c>
      <c r="AP4864" s="9">
        <v>3.5957318677881949</v>
      </c>
    </row>
    <row r="4865" spans="40:42" x14ac:dyDescent="0.3">
      <c r="AN4865">
        <v>4861</v>
      </c>
      <c r="AO4865" s="11">
        <v>22800.61</v>
      </c>
      <c r="AP4865" s="9">
        <v>3.4772496996831754</v>
      </c>
    </row>
    <row r="4866" spans="40:42" x14ac:dyDescent="0.3">
      <c r="AN4866">
        <v>4862</v>
      </c>
      <c r="AO4866" s="11">
        <v>37758.94</v>
      </c>
      <c r="AP4866" s="9">
        <v>3.2440155318457751</v>
      </c>
    </row>
    <row r="4867" spans="40:42" x14ac:dyDescent="0.3">
      <c r="AN4867">
        <v>4863</v>
      </c>
      <c r="AO4867" s="11">
        <v>32947.279999999999</v>
      </c>
      <c r="AP4867" s="9">
        <v>3.2122402733656688</v>
      </c>
    </row>
    <row r="4868" spans="40:42" x14ac:dyDescent="0.3">
      <c r="AN4868">
        <v>4864</v>
      </c>
      <c r="AO4868" s="11">
        <v>19179.689999999999</v>
      </c>
      <c r="AP4868" s="9">
        <v>3.5597246715002457</v>
      </c>
    </row>
    <row r="4869" spans="40:42" x14ac:dyDescent="0.3">
      <c r="AN4869">
        <v>4865</v>
      </c>
      <c r="AO4869" s="11">
        <v>16931.37</v>
      </c>
      <c r="AP4869" s="9">
        <v>2.8886697338569522</v>
      </c>
    </row>
    <row r="4870" spans="40:42" x14ac:dyDescent="0.3">
      <c r="AN4870">
        <v>4866</v>
      </c>
      <c r="AO4870" s="11">
        <v>19087.91</v>
      </c>
      <c r="AP4870" s="9">
        <v>2.8145636232913476</v>
      </c>
    </row>
    <row r="4871" spans="40:42" x14ac:dyDescent="0.3">
      <c r="AN4871">
        <v>4867</v>
      </c>
      <c r="AO4871" s="11">
        <v>35603.769999999997</v>
      </c>
      <c r="AP4871" s="9">
        <v>3.4703085633915634</v>
      </c>
    </row>
    <row r="4872" spans="40:42" x14ac:dyDescent="0.3">
      <c r="AN4872">
        <v>4868</v>
      </c>
      <c r="AO4872" s="11">
        <v>37031.4</v>
      </c>
      <c r="AP4872" s="9">
        <v>3.5124647586218991</v>
      </c>
    </row>
    <row r="4873" spans="40:42" x14ac:dyDescent="0.3">
      <c r="AN4873">
        <v>4869</v>
      </c>
      <c r="AO4873" s="11">
        <v>28904.47</v>
      </c>
      <c r="AP4873" s="9">
        <v>3.2658481026444024</v>
      </c>
    </row>
    <row r="4874" spans="40:42" x14ac:dyDescent="0.3">
      <c r="AN4874">
        <v>4870</v>
      </c>
      <c r="AO4874" s="11">
        <v>24821.82</v>
      </c>
      <c r="AP4874" s="9">
        <v>3.2060817863013447</v>
      </c>
    </row>
    <row r="4875" spans="40:42" x14ac:dyDescent="0.3">
      <c r="AN4875">
        <v>4871</v>
      </c>
      <c r="AO4875" s="11">
        <v>11923.51</v>
      </c>
      <c r="AP4875" s="9">
        <v>3.4249167979479664</v>
      </c>
    </row>
    <row r="4876" spans="40:42" x14ac:dyDescent="0.3">
      <c r="AN4876">
        <v>4872</v>
      </c>
      <c r="AO4876" s="11">
        <v>19633.21</v>
      </c>
      <c r="AP4876" s="9">
        <v>2.8127668775350849</v>
      </c>
    </row>
    <row r="4877" spans="40:42" x14ac:dyDescent="0.3">
      <c r="AN4877">
        <v>4873</v>
      </c>
      <c r="AO4877" s="11">
        <v>44725.79</v>
      </c>
      <c r="AP4877" s="9">
        <v>3.8756803099180934</v>
      </c>
    </row>
    <row r="4878" spans="40:42" x14ac:dyDescent="0.3">
      <c r="AN4878">
        <v>4874</v>
      </c>
      <c r="AO4878" s="11">
        <v>31700.1</v>
      </c>
      <c r="AP4878" s="9">
        <v>3.3280752500280446</v>
      </c>
    </row>
    <row r="4879" spans="40:42" x14ac:dyDescent="0.3">
      <c r="AN4879">
        <v>4875</v>
      </c>
      <c r="AO4879" s="11">
        <v>24939.71</v>
      </c>
      <c r="AP4879" s="9">
        <v>2.7675189608886184</v>
      </c>
    </row>
    <row r="4880" spans="40:42" x14ac:dyDescent="0.3">
      <c r="AN4880">
        <v>4876</v>
      </c>
      <c r="AO4880" s="11">
        <v>29015.95</v>
      </c>
      <c r="AP4880" s="9">
        <v>3.668908017303385</v>
      </c>
    </row>
    <row r="4881" spans="40:42" x14ac:dyDescent="0.3">
      <c r="AN4881">
        <v>4877</v>
      </c>
      <c r="AO4881" s="11">
        <v>18206.23</v>
      </c>
      <c r="AP4881" s="9">
        <v>3.0413163226169191</v>
      </c>
    </row>
    <row r="4882" spans="40:42" x14ac:dyDescent="0.3">
      <c r="AN4882">
        <v>4878</v>
      </c>
      <c r="AO4882" s="11">
        <v>22513.84</v>
      </c>
      <c r="AP4882" s="9">
        <v>2.972667768004031</v>
      </c>
    </row>
    <row r="4883" spans="40:42" x14ac:dyDescent="0.3">
      <c r="AN4883">
        <v>4879</v>
      </c>
      <c r="AO4883" s="11">
        <v>24372.05</v>
      </c>
      <c r="AP4883" s="9">
        <v>3.1697092313525586</v>
      </c>
    </row>
    <row r="4884" spans="40:42" x14ac:dyDescent="0.3">
      <c r="AN4884">
        <v>4880</v>
      </c>
      <c r="AO4884" s="11">
        <v>26941.96</v>
      </c>
      <c r="AP4884" s="9">
        <v>3.0151662570156152</v>
      </c>
    </row>
    <row r="4885" spans="40:42" x14ac:dyDescent="0.3">
      <c r="AN4885">
        <v>4881</v>
      </c>
      <c r="AO4885" s="11">
        <v>16645.45</v>
      </c>
      <c r="AP4885" s="9">
        <v>2.6305313942677637</v>
      </c>
    </row>
    <row r="4886" spans="40:42" x14ac:dyDescent="0.3">
      <c r="AN4886">
        <v>4882</v>
      </c>
      <c r="AO4886" s="11">
        <v>23901.93</v>
      </c>
      <c r="AP4886" s="9">
        <v>3.396320733468027</v>
      </c>
    </row>
    <row r="4887" spans="40:42" x14ac:dyDescent="0.3">
      <c r="AN4887">
        <v>4883</v>
      </c>
      <c r="AO4887" s="11">
        <v>25526.47</v>
      </c>
      <c r="AP4887" s="9">
        <v>3.1229815648372394</v>
      </c>
    </row>
    <row r="4888" spans="40:42" x14ac:dyDescent="0.3">
      <c r="AN4888">
        <v>4884</v>
      </c>
      <c r="AO4888" s="11">
        <v>21349.3</v>
      </c>
      <c r="AP4888" s="9">
        <v>2.7432612246575094</v>
      </c>
    </row>
    <row r="4889" spans="40:42" x14ac:dyDescent="0.3">
      <c r="AN4889">
        <v>4885</v>
      </c>
      <c r="AO4889" s="11">
        <v>33330.43</v>
      </c>
      <c r="AP4889" s="9">
        <v>3.2871808654829753</v>
      </c>
    </row>
    <row r="4890" spans="40:42" x14ac:dyDescent="0.3">
      <c r="AN4890">
        <v>4886</v>
      </c>
      <c r="AO4890" s="11">
        <v>17982.89</v>
      </c>
      <c r="AP4890" s="9">
        <v>3.1714893825394874</v>
      </c>
    </row>
    <row r="4891" spans="40:42" x14ac:dyDescent="0.3">
      <c r="AN4891">
        <v>4887</v>
      </c>
      <c r="AO4891" s="11">
        <v>23008.57</v>
      </c>
      <c r="AP4891" s="9">
        <v>3.7632026524562523</v>
      </c>
    </row>
    <row r="4892" spans="40:42" x14ac:dyDescent="0.3">
      <c r="AN4892">
        <v>4888</v>
      </c>
      <c r="AO4892" s="11">
        <v>42268.85</v>
      </c>
      <c r="AP4892" s="9">
        <v>3.4477696961445843</v>
      </c>
    </row>
    <row r="4893" spans="40:42" x14ac:dyDescent="0.3">
      <c r="AN4893">
        <v>4889</v>
      </c>
      <c r="AO4893" s="11">
        <v>25058.69</v>
      </c>
      <c r="AP4893" s="9">
        <v>3.8400571528388037</v>
      </c>
    </row>
    <row r="4894" spans="40:42" x14ac:dyDescent="0.3">
      <c r="AN4894">
        <v>4890</v>
      </c>
      <c r="AO4894" s="11">
        <v>23194.12</v>
      </c>
      <c r="AP4894" s="9">
        <v>3.5238051101218151</v>
      </c>
    </row>
    <row r="4895" spans="40:42" x14ac:dyDescent="0.3">
      <c r="AN4895">
        <v>4891</v>
      </c>
      <c r="AO4895" s="11">
        <v>26870.74</v>
      </c>
      <c r="AP4895" s="9">
        <v>3.424890741363718</v>
      </c>
    </row>
    <row r="4896" spans="40:42" x14ac:dyDescent="0.3">
      <c r="AN4896">
        <v>4892</v>
      </c>
      <c r="AO4896" s="11">
        <v>49243.98</v>
      </c>
      <c r="AP4896" s="9">
        <v>3.6169631402416611</v>
      </c>
    </row>
    <row r="4897" spans="40:42" x14ac:dyDescent="0.3">
      <c r="AN4897">
        <v>4893</v>
      </c>
      <c r="AO4897" s="11">
        <v>34711.339999999997</v>
      </c>
      <c r="AP4897" s="9">
        <v>3.7348719435730811</v>
      </c>
    </row>
    <row r="4898" spans="40:42" x14ac:dyDescent="0.3">
      <c r="AN4898">
        <v>4894</v>
      </c>
      <c r="AO4898" s="11">
        <v>18205.810000000001</v>
      </c>
      <c r="AP4898" s="9">
        <v>2.913014839541042</v>
      </c>
    </row>
    <row r="4899" spans="40:42" x14ac:dyDescent="0.3">
      <c r="AN4899">
        <v>4895</v>
      </c>
      <c r="AO4899" s="11">
        <v>23253.040000000001</v>
      </c>
      <c r="AP4899" s="9">
        <v>2.697685011370754</v>
      </c>
    </row>
    <row r="4900" spans="40:42" x14ac:dyDescent="0.3">
      <c r="AN4900">
        <v>4896</v>
      </c>
      <c r="AO4900" s="11">
        <v>31296.3</v>
      </c>
      <c r="AP4900" s="9">
        <v>3.0350308040355447</v>
      </c>
    </row>
    <row r="4901" spans="40:42" x14ac:dyDescent="0.3">
      <c r="AN4901">
        <v>4897</v>
      </c>
      <c r="AO4901" s="11">
        <v>42457.86</v>
      </c>
      <c r="AP4901" s="9">
        <v>3.7616116761514706</v>
      </c>
    </row>
    <row r="4902" spans="40:42" x14ac:dyDescent="0.3">
      <c r="AN4902">
        <v>4898</v>
      </c>
      <c r="AO4902" s="11">
        <v>32347.93</v>
      </c>
      <c r="AP4902" s="9">
        <v>3.2664635726068214</v>
      </c>
    </row>
    <row r="4903" spans="40:42" x14ac:dyDescent="0.3">
      <c r="AN4903">
        <v>4899</v>
      </c>
      <c r="AO4903" s="11">
        <v>22631.41</v>
      </c>
      <c r="AP4903" s="9">
        <v>3.1585666707568505</v>
      </c>
    </row>
    <row r="4904" spans="40:42" x14ac:dyDescent="0.3">
      <c r="AN4904">
        <v>4900</v>
      </c>
      <c r="AO4904" s="11">
        <v>25486.35</v>
      </c>
      <c r="AP4904" s="9">
        <v>3.1563378503705914</v>
      </c>
    </row>
    <row r="4905" spans="40:42" x14ac:dyDescent="0.3">
      <c r="AN4905">
        <v>4901</v>
      </c>
      <c r="AO4905" s="11">
        <v>32478.18</v>
      </c>
      <c r="AP4905" s="9">
        <v>4.0751981772043813</v>
      </c>
    </row>
    <row r="4906" spans="40:42" x14ac:dyDescent="0.3">
      <c r="AN4906">
        <v>4902</v>
      </c>
      <c r="AO4906" s="11">
        <v>25466.959999999999</v>
      </c>
      <c r="AP4906" s="9">
        <v>3.4029414820449984</v>
      </c>
    </row>
    <row r="4907" spans="40:42" x14ac:dyDescent="0.3">
      <c r="AN4907">
        <v>4903</v>
      </c>
      <c r="AO4907" s="11">
        <v>23917.66</v>
      </c>
      <c r="AP4907" s="9">
        <v>3.2690290867839003</v>
      </c>
    </row>
    <row r="4908" spans="40:42" x14ac:dyDescent="0.3">
      <c r="AN4908">
        <v>4904</v>
      </c>
      <c r="AO4908" s="11">
        <v>27098.45</v>
      </c>
      <c r="AP4908" s="9">
        <v>4.4021595542576488</v>
      </c>
    </row>
    <row r="4909" spans="40:42" x14ac:dyDescent="0.3">
      <c r="AN4909">
        <v>4905</v>
      </c>
      <c r="AO4909" s="11">
        <v>22288.54</v>
      </c>
      <c r="AP4909" s="9">
        <v>2.9814856299940176</v>
      </c>
    </row>
    <row r="4910" spans="40:42" x14ac:dyDescent="0.3">
      <c r="AN4910">
        <v>4906</v>
      </c>
      <c r="AO4910" s="11">
        <v>18087.63</v>
      </c>
      <c r="AP4910" s="9">
        <v>3.4593730584530529</v>
      </c>
    </row>
    <row r="4911" spans="40:42" x14ac:dyDescent="0.3">
      <c r="AN4911">
        <v>4907</v>
      </c>
      <c r="AO4911" s="11">
        <v>29163.29</v>
      </c>
      <c r="AP4911" s="9">
        <v>3.2019178605165033</v>
      </c>
    </row>
    <row r="4912" spans="40:42" x14ac:dyDescent="0.3">
      <c r="AN4912">
        <v>4908</v>
      </c>
      <c r="AO4912" s="11">
        <v>25281.74</v>
      </c>
      <c r="AP4912" s="9">
        <v>3.6468535876051074</v>
      </c>
    </row>
    <row r="4913" spans="40:42" x14ac:dyDescent="0.3">
      <c r="AN4913">
        <v>4909</v>
      </c>
      <c r="AO4913" s="11">
        <v>29894.05</v>
      </c>
      <c r="AP4913" s="9">
        <v>3.9462494342664032</v>
      </c>
    </row>
    <row r="4914" spans="40:42" x14ac:dyDescent="0.3">
      <c r="AN4914">
        <v>4910</v>
      </c>
      <c r="AO4914" s="11">
        <v>18141.59</v>
      </c>
      <c r="AP4914" s="9">
        <v>3.1401628719313717</v>
      </c>
    </row>
    <row r="4915" spans="40:42" x14ac:dyDescent="0.3">
      <c r="AN4915">
        <v>4911</v>
      </c>
      <c r="AO4915" s="11">
        <v>29981</v>
      </c>
      <c r="AP4915" s="9">
        <v>3.5584219486726054</v>
      </c>
    </row>
    <row r="4916" spans="40:42" x14ac:dyDescent="0.3">
      <c r="AN4916">
        <v>4912</v>
      </c>
      <c r="AO4916" s="11">
        <v>16358.28</v>
      </c>
      <c r="AP4916" s="9">
        <v>2.9462484267650551</v>
      </c>
    </row>
    <row r="4917" spans="40:42" x14ac:dyDescent="0.3">
      <c r="AN4917">
        <v>4913</v>
      </c>
      <c r="AO4917" s="11">
        <v>26943.200000000001</v>
      </c>
      <c r="AP4917" s="9">
        <v>3.3592737198323745</v>
      </c>
    </row>
    <row r="4918" spans="40:42" x14ac:dyDescent="0.3">
      <c r="AN4918">
        <v>4914</v>
      </c>
      <c r="AO4918" s="11">
        <v>30289.75</v>
      </c>
      <c r="AP4918" s="9">
        <v>4.1089923473468497</v>
      </c>
    </row>
    <row r="4919" spans="40:42" x14ac:dyDescent="0.3">
      <c r="AN4919">
        <v>4915</v>
      </c>
      <c r="AO4919" s="11">
        <v>27488.080000000002</v>
      </c>
      <c r="AP4919" s="9">
        <v>3.3678321721603233</v>
      </c>
    </row>
    <row r="4920" spans="40:42" x14ac:dyDescent="0.3">
      <c r="AN4920">
        <v>4916</v>
      </c>
      <c r="AO4920" s="11">
        <v>32895.61</v>
      </c>
      <c r="AP4920" s="9">
        <v>3.2287970617106332</v>
      </c>
    </row>
    <row r="4921" spans="40:42" x14ac:dyDescent="0.3">
      <c r="AN4921">
        <v>4917</v>
      </c>
      <c r="AO4921" s="11">
        <v>16173.99</v>
      </c>
      <c r="AP4921" s="9">
        <v>3.2229762132478479</v>
      </c>
    </row>
    <row r="4922" spans="40:42" x14ac:dyDescent="0.3">
      <c r="AN4922">
        <v>4918</v>
      </c>
      <c r="AO4922" s="11">
        <v>21558.85</v>
      </c>
      <c r="AP4922" s="9">
        <v>3.6186237330596165</v>
      </c>
    </row>
    <row r="4923" spans="40:42" x14ac:dyDescent="0.3">
      <c r="AN4923">
        <v>4919</v>
      </c>
      <c r="AO4923" s="11">
        <v>29216.5</v>
      </c>
      <c r="AP4923" s="9">
        <v>3.3889157696598109</v>
      </c>
    </row>
    <row r="4924" spans="40:42" x14ac:dyDescent="0.3">
      <c r="AN4924">
        <v>4920</v>
      </c>
      <c r="AO4924" s="11">
        <v>26213.67</v>
      </c>
      <c r="AP4924" s="9">
        <v>4.2878745510368512</v>
      </c>
    </row>
    <row r="4925" spans="40:42" x14ac:dyDescent="0.3">
      <c r="AN4925">
        <v>4921</v>
      </c>
      <c r="AO4925" s="11">
        <v>26385.42</v>
      </c>
      <c r="AP4925" s="9">
        <v>2.9862837641675588</v>
      </c>
    </row>
    <row r="4926" spans="40:42" x14ac:dyDescent="0.3">
      <c r="AN4926">
        <v>4922</v>
      </c>
      <c r="AO4926" s="11">
        <v>32757.93</v>
      </c>
      <c r="AP4926" s="9">
        <v>3.4875237655465652</v>
      </c>
    </row>
    <row r="4927" spans="40:42" x14ac:dyDescent="0.3">
      <c r="AN4927">
        <v>4923</v>
      </c>
      <c r="AO4927" s="11">
        <v>30151.5</v>
      </c>
      <c r="AP4927" s="9">
        <v>3.8475958224588802</v>
      </c>
    </row>
    <row r="4928" spans="40:42" x14ac:dyDescent="0.3">
      <c r="AN4928">
        <v>4924</v>
      </c>
      <c r="AO4928" s="11">
        <v>31611.81</v>
      </c>
      <c r="AP4928" s="9">
        <v>3.4925502490805633</v>
      </c>
    </row>
    <row r="4929" spans="40:42" x14ac:dyDescent="0.3">
      <c r="AN4929">
        <v>4925</v>
      </c>
      <c r="AO4929" s="11">
        <v>26544.959999999999</v>
      </c>
      <c r="AP4929" s="9">
        <v>3.1167449837303143</v>
      </c>
    </row>
    <row r="4930" spans="40:42" x14ac:dyDescent="0.3">
      <c r="AN4930">
        <v>4926</v>
      </c>
      <c r="AO4930" s="11">
        <v>27346.86</v>
      </c>
      <c r="AP4930" s="9">
        <v>3.1564865594083242</v>
      </c>
    </row>
    <row r="4931" spans="40:42" x14ac:dyDescent="0.3">
      <c r="AN4931">
        <v>4927</v>
      </c>
      <c r="AO4931" s="11">
        <v>33098.15</v>
      </c>
      <c r="AP4931" s="9">
        <v>3.9774695869142453</v>
      </c>
    </row>
    <row r="4932" spans="40:42" x14ac:dyDescent="0.3">
      <c r="AN4932">
        <v>4928</v>
      </c>
      <c r="AO4932" s="11">
        <v>27327.05</v>
      </c>
      <c r="AP4932" s="9">
        <v>2.817444288063311</v>
      </c>
    </row>
    <row r="4933" spans="40:42" x14ac:dyDescent="0.3">
      <c r="AN4933">
        <v>4929</v>
      </c>
      <c r="AO4933" s="11">
        <v>22368.41</v>
      </c>
      <c r="AP4933" s="9">
        <v>3.0373777628152947</v>
      </c>
    </row>
    <row r="4934" spans="40:42" x14ac:dyDescent="0.3">
      <c r="AN4934">
        <v>4930</v>
      </c>
      <c r="AO4934" s="11">
        <v>25502.49</v>
      </c>
      <c r="AP4934" s="9">
        <v>3.3909430055965362</v>
      </c>
    </row>
    <row r="4935" spans="40:42" x14ac:dyDescent="0.3">
      <c r="AN4935">
        <v>4931</v>
      </c>
      <c r="AO4935" s="11">
        <v>30458.28</v>
      </c>
      <c r="AP4935" s="9">
        <v>3.1083380968593892</v>
      </c>
    </row>
    <row r="4936" spans="40:42" x14ac:dyDescent="0.3">
      <c r="AN4936">
        <v>4932</v>
      </c>
      <c r="AO4936" s="11">
        <v>34279.11</v>
      </c>
      <c r="AP4936" s="9">
        <v>3.6985701713932868</v>
      </c>
    </row>
    <row r="4937" spans="40:42" x14ac:dyDescent="0.3">
      <c r="AN4937">
        <v>4933</v>
      </c>
      <c r="AO4937" s="11">
        <v>27452.17</v>
      </c>
      <c r="AP4937" s="9">
        <v>3.2579423043461948</v>
      </c>
    </row>
    <row r="4938" spans="40:42" x14ac:dyDescent="0.3">
      <c r="AN4938">
        <v>4934</v>
      </c>
      <c r="AO4938" s="11">
        <v>22246.57</v>
      </c>
      <c r="AP4938" s="9">
        <v>3.5657417166401881</v>
      </c>
    </row>
    <row r="4939" spans="40:42" x14ac:dyDescent="0.3">
      <c r="AN4939">
        <v>4935</v>
      </c>
      <c r="AO4939" s="11">
        <v>18861.16</v>
      </c>
      <c r="AP4939" s="9">
        <v>3.1618093652545536</v>
      </c>
    </row>
    <row r="4940" spans="40:42" x14ac:dyDescent="0.3">
      <c r="AN4940">
        <v>4936</v>
      </c>
      <c r="AO4940" s="11">
        <v>43862.47</v>
      </c>
      <c r="AP4940" s="9">
        <v>3.6641417510829655</v>
      </c>
    </row>
    <row r="4941" spans="40:42" x14ac:dyDescent="0.3">
      <c r="AN4941">
        <v>4937</v>
      </c>
      <c r="AO4941" s="11">
        <v>23408.04</v>
      </c>
      <c r="AP4941" s="9">
        <v>2.8426290340508578</v>
      </c>
    </row>
    <row r="4942" spans="40:42" x14ac:dyDescent="0.3">
      <c r="AN4942">
        <v>4938</v>
      </c>
      <c r="AO4942" s="11">
        <v>21731.78</v>
      </c>
      <c r="AP4942" s="9">
        <v>2.9947774876739484</v>
      </c>
    </row>
    <row r="4943" spans="40:42" x14ac:dyDescent="0.3">
      <c r="AN4943">
        <v>4939</v>
      </c>
      <c r="AO4943" s="11">
        <v>23441.77</v>
      </c>
      <c r="AP4943" s="9">
        <v>3.744409803779571</v>
      </c>
    </row>
    <row r="4944" spans="40:42" x14ac:dyDescent="0.3">
      <c r="AN4944">
        <v>4940</v>
      </c>
      <c r="AO4944" s="11">
        <v>23202.39</v>
      </c>
      <c r="AP4944" s="9">
        <v>3.9041866563839531</v>
      </c>
    </row>
    <row r="4945" spans="40:42" x14ac:dyDescent="0.3">
      <c r="AN4945">
        <v>4941</v>
      </c>
      <c r="AO4945" s="11">
        <v>20879.05</v>
      </c>
      <c r="AP4945" s="9">
        <v>2.961941970659618</v>
      </c>
    </row>
    <row r="4946" spans="40:42" x14ac:dyDescent="0.3">
      <c r="AN4946">
        <v>4942</v>
      </c>
      <c r="AO4946" s="11">
        <v>23623.439999999999</v>
      </c>
      <c r="AP4946" s="9">
        <v>2.9842008823631936</v>
      </c>
    </row>
    <row r="4947" spans="40:42" x14ac:dyDescent="0.3">
      <c r="AN4947">
        <v>4943</v>
      </c>
      <c r="AO4947" s="11">
        <v>13393.43</v>
      </c>
      <c r="AP4947" s="9">
        <v>3.9383673131584804</v>
      </c>
    </row>
    <row r="4948" spans="40:42" x14ac:dyDescent="0.3">
      <c r="AN4948">
        <v>4944</v>
      </c>
      <c r="AO4948" s="11">
        <v>31525.83</v>
      </c>
      <c r="AP4948" s="9">
        <v>4.2514928236159433</v>
      </c>
    </row>
    <row r="4949" spans="40:42" x14ac:dyDescent="0.3">
      <c r="AN4949">
        <v>4945</v>
      </c>
      <c r="AO4949" s="11">
        <v>13973.99</v>
      </c>
      <c r="AP4949" s="9">
        <v>2.533256778617011</v>
      </c>
    </row>
    <row r="4950" spans="40:42" x14ac:dyDescent="0.3">
      <c r="AN4950">
        <v>4946</v>
      </c>
      <c r="AO4950" s="11">
        <v>34878.94</v>
      </c>
      <c r="AP4950" s="9">
        <v>3.6434560698514904</v>
      </c>
    </row>
    <row r="4951" spans="40:42" x14ac:dyDescent="0.3">
      <c r="AN4951">
        <v>4947</v>
      </c>
      <c r="AO4951" s="11">
        <v>14297.57</v>
      </c>
      <c r="AP4951" s="9">
        <v>3.3005823848442297</v>
      </c>
    </row>
    <row r="4952" spans="40:42" x14ac:dyDescent="0.3">
      <c r="AN4952">
        <v>4948</v>
      </c>
      <c r="AO4952" s="11">
        <v>24191.09</v>
      </c>
      <c r="AP4952" s="9">
        <v>3.1359125536986663</v>
      </c>
    </row>
    <row r="4953" spans="40:42" x14ac:dyDescent="0.3">
      <c r="AN4953">
        <v>4949</v>
      </c>
      <c r="AO4953" s="11">
        <v>37125.31</v>
      </c>
      <c r="AP4953" s="9">
        <v>4.2782585176985339</v>
      </c>
    </row>
    <row r="4954" spans="40:42" x14ac:dyDescent="0.3">
      <c r="AN4954">
        <v>4950</v>
      </c>
      <c r="AO4954" s="11">
        <v>25185.11</v>
      </c>
      <c r="AP4954" s="9">
        <v>3.282401367627457</v>
      </c>
    </row>
    <row r="4955" spans="40:42" x14ac:dyDescent="0.3">
      <c r="AN4955">
        <v>4951</v>
      </c>
      <c r="AO4955" s="11">
        <v>40640.75</v>
      </c>
      <c r="AP4955" s="9">
        <v>3.5648804454291048</v>
      </c>
    </row>
    <row r="4956" spans="40:42" x14ac:dyDescent="0.3">
      <c r="AN4956">
        <v>4952</v>
      </c>
      <c r="AO4956" s="11">
        <v>41345.980000000003</v>
      </c>
      <c r="AP4956" s="9">
        <v>3.5783261702804561</v>
      </c>
    </row>
    <row r="4957" spans="40:42" x14ac:dyDescent="0.3">
      <c r="AN4957">
        <v>4953</v>
      </c>
      <c r="AO4957" s="11">
        <v>26270.04</v>
      </c>
      <c r="AP4957" s="9">
        <v>3.3725443433233142</v>
      </c>
    </row>
    <row r="4958" spans="40:42" x14ac:dyDescent="0.3">
      <c r="AN4958">
        <v>4954</v>
      </c>
      <c r="AO4958" s="11">
        <v>29265.56</v>
      </c>
      <c r="AP4958" s="9">
        <v>3.5320175696938794</v>
      </c>
    </row>
    <row r="4959" spans="40:42" x14ac:dyDescent="0.3">
      <c r="AN4959">
        <v>4955</v>
      </c>
      <c r="AO4959" s="11">
        <v>25723.11</v>
      </c>
      <c r="AP4959" s="9">
        <v>3.1694721902521432</v>
      </c>
    </row>
    <row r="4960" spans="40:42" x14ac:dyDescent="0.3">
      <c r="AN4960">
        <v>4956</v>
      </c>
      <c r="AO4960" s="11">
        <v>43401.21</v>
      </c>
      <c r="AP4960" s="9">
        <v>3.7152286568543231</v>
      </c>
    </row>
    <row r="4961" spans="40:42" x14ac:dyDescent="0.3">
      <c r="AN4961">
        <v>4957</v>
      </c>
      <c r="AO4961" s="11">
        <v>59322.82</v>
      </c>
      <c r="AP4961" s="9">
        <v>4.3706275148135765</v>
      </c>
    </row>
    <row r="4962" spans="40:42" x14ac:dyDescent="0.3">
      <c r="AN4962">
        <v>4958</v>
      </c>
      <c r="AO4962" s="11">
        <v>16430.63</v>
      </c>
      <c r="AP4962" s="9">
        <v>3.1755747790699358</v>
      </c>
    </row>
    <row r="4963" spans="40:42" x14ac:dyDescent="0.3">
      <c r="AN4963">
        <v>4959</v>
      </c>
      <c r="AO4963" s="11">
        <v>16937.150000000001</v>
      </c>
      <c r="AP4963" s="9">
        <v>3.466722549732145</v>
      </c>
    </row>
    <row r="4964" spans="40:42" x14ac:dyDescent="0.3">
      <c r="AN4964">
        <v>4960</v>
      </c>
      <c r="AO4964" s="11">
        <v>20362.2</v>
      </c>
      <c r="AP4964" s="9">
        <v>2.7845406008713764</v>
      </c>
    </row>
    <row r="4965" spans="40:42" x14ac:dyDescent="0.3">
      <c r="AN4965">
        <v>4961</v>
      </c>
      <c r="AO4965" s="11">
        <v>32561.23</v>
      </c>
      <c r="AP4965" s="9">
        <v>3.7185193471397464</v>
      </c>
    </row>
    <row r="4966" spans="40:42" x14ac:dyDescent="0.3">
      <c r="AN4966">
        <v>4962</v>
      </c>
      <c r="AO4966" s="11">
        <v>45815.13</v>
      </c>
      <c r="AP4966" s="9">
        <v>4.0792386680473793</v>
      </c>
    </row>
    <row r="4967" spans="40:42" x14ac:dyDescent="0.3">
      <c r="AN4967">
        <v>4963</v>
      </c>
      <c r="AO4967" s="11">
        <v>23415.279999999999</v>
      </c>
      <c r="AP4967" s="9">
        <v>3.7579826063299802</v>
      </c>
    </row>
    <row r="4968" spans="40:42" x14ac:dyDescent="0.3">
      <c r="AN4968">
        <v>4964</v>
      </c>
      <c r="AO4968" s="11">
        <v>36002.410000000003</v>
      </c>
      <c r="AP4968" s="9">
        <v>3.8195440741485012</v>
      </c>
    </row>
    <row r="4969" spans="40:42" x14ac:dyDescent="0.3">
      <c r="AN4969">
        <v>4965</v>
      </c>
      <c r="AO4969" s="11">
        <v>24352.91</v>
      </c>
      <c r="AP4969" s="9">
        <v>3.1862702174089814</v>
      </c>
    </row>
    <row r="4970" spans="40:42" x14ac:dyDescent="0.3">
      <c r="AN4970">
        <v>4966</v>
      </c>
      <c r="AO4970" s="11">
        <v>23408.959999999999</v>
      </c>
      <c r="AP4970" s="9">
        <v>2.9144329175103594</v>
      </c>
    </row>
    <row r="4971" spans="40:42" x14ac:dyDescent="0.3">
      <c r="AN4971">
        <v>4967</v>
      </c>
      <c r="AO4971" s="11">
        <v>45963.42</v>
      </c>
      <c r="AP4971" s="9">
        <v>3.8293355770781403</v>
      </c>
    </row>
    <row r="4972" spans="40:42" x14ac:dyDescent="0.3">
      <c r="AN4972">
        <v>4968</v>
      </c>
      <c r="AO4972" s="11">
        <v>19206.41</v>
      </c>
      <c r="AP4972" s="9">
        <v>3.1267036210678594</v>
      </c>
    </row>
    <row r="4973" spans="40:42" x14ac:dyDescent="0.3">
      <c r="AN4973">
        <v>4969</v>
      </c>
      <c r="AO4973" s="11">
        <v>20108.02</v>
      </c>
      <c r="AP4973" s="9">
        <v>3.2753355186740487</v>
      </c>
    </row>
    <row r="4974" spans="40:42" x14ac:dyDescent="0.3">
      <c r="AN4974">
        <v>4970</v>
      </c>
      <c r="AO4974" s="11">
        <v>18211.59</v>
      </c>
      <c r="AP4974" s="9">
        <v>3.1444095149184332</v>
      </c>
    </row>
    <row r="4975" spans="40:42" x14ac:dyDescent="0.3">
      <c r="AN4975">
        <v>4971</v>
      </c>
      <c r="AO4975" s="11">
        <v>22598.67</v>
      </c>
      <c r="AP4975" s="9">
        <v>3.8595679110581207</v>
      </c>
    </row>
    <row r="4976" spans="40:42" x14ac:dyDescent="0.3">
      <c r="AN4976">
        <v>4972</v>
      </c>
      <c r="AO4976" s="11">
        <v>18984.12</v>
      </c>
      <c r="AP4976" s="9">
        <v>3.1731884788003146</v>
      </c>
    </row>
    <row r="4977" spans="40:42" x14ac:dyDescent="0.3">
      <c r="AN4977">
        <v>4973</v>
      </c>
      <c r="AO4977" s="11">
        <v>33587.839999999997</v>
      </c>
      <c r="AP4977" s="9">
        <v>3.4146251407221149</v>
      </c>
    </row>
    <row r="4978" spans="40:42" x14ac:dyDescent="0.3">
      <c r="AN4978">
        <v>4974</v>
      </c>
      <c r="AO4978" s="11">
        <v>37342.559999999998</v>
      </c>
      <c r="AP4978" s="9">
        <v>3.8284301976968367</v>
      </c>
    </row>
    <row r="4979" spans="40:42" x14ac:dyDescent="0.3">
      <c r="AN4979">
        <v>4975</v>
      </c>
      <c r="AO4979" s="11">
        <v>36698.81</v>
      </c>
      <c r="AP4979" s="9">
        <v>3.5483079741582273</v>
      </c>
    </row>
    <row r="4980" spans="40:42" x14ac:dyDescent="0.3">
      <c r="AN4980">
        <v>4976</v>
      </c>
      <c r="AO4980" s="11">
        <v>35833.410000000003</v>
      </c>
      <c r="AP4980" s="9">
        <v>4.1682292352211414</v>
      </c>
    </row>
    <row r="4981" spans="40:42" x14ac:dyDescent="0.3">
      <c r="AN4981">
        <v>4977</v>
      </c>
      <c r="AO4981" s="11">
        <v>21325.07</v>
      </c>
      <c r="AP4981" s="9">
        <v>3.0656666151586105</v>
      </c>
    </row>
    <row r="4982" spans="40:42" x14ac:dyDescent="0.3">
      <c r="AN4982">
        <v>4978</v>
      </c>
      <c r="AO4982" s="11">
        <v>39722.06</v>
      </c>
      <c r="AP4982" s="9">
        <v>3.7903943958956341</v>
      </c>
    </row>
    <row r="4983" spans="40:42" x14ac:dyDescent="0.3">
      <c r="AN4983">
        <v>4979</v>
      </c>
      <c r="AO4983" s="11">
        <v>35390.57</v>
      </c>
      <c r="AP4983" s="9">
        <v>3.7629229394699539</v>
      </c>
    </row>
    <row r="4984" spans="40:42" x14ac:dyDescent="0.3">
      <c r="AN4984">
        <v>4980</v>
      </c>
      <c r="AO4984" s="11">
        <v>30887.42</v>
      </c>
      <c r="AP4984" s="9">
        <v>3.3247613878087021</v>
      </c>
    </row>
    <row r="4985" spans="40:42" x14ac:dyDescent="0.3">
      <c r="AN4985">
        <v>4981</v>
      </c>
      <c r="AO4985" s="11">
        <v>20535.189999999999</v>
      </c>
      <c r="AP4985" s="9">
        <v>2.848198840945237</v>
      </c>
    </row>
    <row r="4986" spans="40:42" x14ac:dyDescent="0.3">
      <c r="AN4986">
        <v>4982</v>
      </c>
      <c r="AO4986" s="11">
        <v>35069.82</v>
      </c>
      <c r="AP4986" s="9">
        <v>3.7517182140834993</v>
      </c>
    </row>
    <row r="4987" spans="40:42" x14ac:dyDescent="0.3">
      <c r="AN4987">
        <v>4983</v>
      </c>
      <c r="AO4987" s="11">
        <v>28777.97</v>
      </c>
      <c r="AP4987" s="9">
        <v>3.7939825888794574</v>
      </c>
    </row>
    <row r="4988" spans="40:42" x14ac:dyDescent="0.3">
      <c r="AN4988">
        <v>4984</v>
      </c>
      <c r="AO4988" s="11">
        <v>39136.17</v>
      </c>
      <c r="AP4988" s="9">
        <v>3.5365744320190564</v>
      </c>
    </row>
    <row r="4989" spans="40:42" x14ac:dyDescent="0.3">
      <c r="AN4989">
        <v>4985</v>
      </c>
      <c r="AO4989" s="11">
        <v>26145.85</v>
      </c>
      <c r="AP4989" s="9">
        <v>3.4466711239938244</v>
      </c>
    </row>
    <row r="4990" spans="40:42" x14ac:dyDescent="0.3">
      <c r="AN4990">
        <v>4986</v>
      </c>
      <c r="AO4990" s="11">
        <v>30754.83</v>
      </c>
      <c r="AP4990" s="9">
        <v>3.095194342044711</v>
      </c>
    </row>
    <row r="4991" spans="40:42" x14ac:dyDescent="0.3">
      <c r="AN4991">
        <v>4987</v>
      </c>
      <c r="AO4991" s="11">
        <v>26367.53</v>
      </c>
      <c r="AP4991" s="9">
        <v>3.5829427066723158</v>
      </c>
    </row>
    <row r="4992" spans="40:42" x14ac:dyDescent="0.3">
      <c r="AN4992">
        <v>4988</v>
      </c>
      <c r="AO4992" s="11">
        <v>16545.3</v>
      </c>
      <c r="AP4992" s="9">
        <v>2.7733944318395087</v>
      </c>
    </row>
    <row r="4993" spans="40:42" x14ac:dyDescent="0.3">
      <c r="AN4993">
        <v>4989</v>
      </c>
      <c r="AO4993" s="11">
        <v>28946.61</v>
      </c>
      <c r="AP4993" s="9">
        <v>3.916044768208518</v>
      </c>
    </row>
    <row r="4994" spans="40:42" x14ac:dyDescent="0.3">
      <c r="AN4994">
        <v>4990</v>
      </c>
      <c r="AO4994" s="11">
        <v>25214.47</v>
      </c>
      <c r="AP4994" s="9">
        <v>3.338753940432118</v>
      </c>
    </row>
    <row r="4995" spans="40:42" x14ac:dyDescent="0.3">
      <c r="AN4995">
        <v>4991</v>
      </c>
      <c r="AO4995" s="11">
        <v>20880.599999999999</v>
      </c>
      <c r="AP4995" s="9">
        <v>3.7159945320925547</v>
      </c>
    </row>
    <row r="4996" spans="40:42" x14ac:dyDescent="0.3">
      <c r="AN4996">
        <v>4992</v>
      </c>
      <c r="AO4996" s="11">
        <v>25235.57</v>
      </c>
      <c r="AP4996" s="9">
        <v>3.4672727795830709</v>
      </c>
    </row>
    <row r="4997" spans="40:42" x14ac:dyDescent="0.3">
      <c r="AN4997">
        <v>4993</v>
      </c>
      <c r="AO4997" s="11">
        <v>15716.8</v>
      </c>
      <c r="AP4997" s="9">
        <v>2.8168956091985904</v>
      </c>
    </row>
    <row r="4998" spans="40:42" x14ac:dyDescent="0.3">
      <c r="AN4998">
        <v>4994</v>
      </c>
      <c r="AO4998" s="11">
        <v>17334.419999999998</v>
      </c>
      <c r="AP4998" s="9">
        <v>3.0421675977466003</v>
      </c>
    </row>
    <row r="4999" spans="40:42" x14ac:dyDescent="0.3">
      <c r="AN4999">
        <v>4995</v>
      </c>
      <c r="AO4999" s="11">
        <v>34697.72</v>
      </c>
      <c r="AP4999" s="9">
        <v>3.3082396174200608</v>
      </c>
    </row>
    <row r="5000" spans="40:42" x14ac:dyDescent="0.3">
      <c r="AN5000">
        <v>4996</v>
      </c>
      <c r="AO5000" s="11">
        <v>10375.86</v>
      </c>
      <c r="AP5000" s="9">
        <v>2.7433103019328793</v>
      </c>
    </row>
    <row r="5001" spans="40:42" x14ac:dyDescent="0.3">
      <c r="AN5001">
        <v>4997</v>
      </c>
      <c r="AO5001" s="11">
        <v>23714.06</v>
      </c>
      <c r="AP5001" s="9">
        <v>3.276758028887782</v>
      </c>
    </row>
    <row r="5002" spans="40:42" x14ac:dyDescent="0.3">
      <c r="AN5002">
        <v>4998</v>
      </c>
      <c r="AO5002" s="11">
        <v>31051.52</v>
      </c>
      <c r="AP5002" s="9">
        <v>3.3559701117062319</v>
      </c>
    </row>
    <row r="5003" spans="40:42" x14ac:dyDescent="0.3">
      <c r="AN5003">
        <v>4999</v>
      </c>
      <c r="AO5003" s="11">
        <v>30132.99</v>
      </c>
      <c r="AP5003" s="9">
        <v>3.7634713249798248</v>
      </c>
    </row>
    <row r="5004" spans="40:42" x14ac:dyDescent="0.3">
      <c r="AN5004">
        <v>5000</v>
      </c>
      <c r="AO5004" s="11">
        <v>24478.02</v>
      </c>
      <c r="AP5004" s="9">
        <v>3.0957233985942687</v>
      </c>
    </row>
    <row r="5005" spans="40:42" x14ac:dyDescent="0.3">
      <c r="AN5005">
        <v>5001</v>
      </c>
      <c r="AO5005" s="11">
        <v>24709.47</v>
      </c>
      <c r="AP5005" s="9">
        <v>3.5207517508067268</v>
      </c>
    </row>
    <row r="5006" spans="40:42" x14ac:dyDescent="0.3">
      <c r="AN5006">
        <v>5002</v>
      </c>
      <c r="AO5006" s="11">
        <v>36550.53</v>
      </c>
      <c r="AP5006" s="9">
        <v>3.4817870663696704</v>
      </c>
    </row>
    <row r="5007" spans="40:42" x14ac:dyDescent="0.3">
      <c r="AN5007">
        <v>5003</v>
      </c>
      <c r="AO5007" s="11">
        <v>29200.17</v>
      </c>
      <c r="AP5007" s="9">
        <v>3.3501464574380631</v>
      </c>
    </row>
    <row r="5008" spans="40:42" x14ac:dyDescent="0.3">
      <c r="AN5008">
        <v>5004</v>
      </c>
      <c r="AO5008" s="11">
        <v>34074.85</v>
      </c>
      <c r="AP5008" s="9">
        <v>3.4919812751160886</v>
      </c>
    </row>
    <row r="5009" spans="40:42" x14ac:dyDescent="0.3">
      <c r="AN5009">
        <v>5005</v>
      </c>
      <c r="AO5009" s="11">
        <v>29841.94</v>
      </c>
      <c r="AP5009" s="9">
        <v>3.6624774845849339</v>
      </c>
    </row>
    <row r="5010" spans="40:42" x14ac:dyDescent="0.3">
      <c r="AN5010">
        <v>5006</v>
      </c>
      <c r="AO5010" s="11">
        <v>25123.43</v>
      </c>
      <c r="AP5010" s="9">
        <v>3.8108247757388649</v>
      </c>
    </row>
    <row r="5011" spans="40:42" x14ac:dyDescent="0.3">
      <c r="AN5011">
        <v>5007</v>
      </c>
      <c r="AO5011" s="11">
        <v>33054.26</v>
      </c>
      <c r="AP5011" s="9">
        <v>3.3696303068657762</v>
      </c>
    </row>
    <row r="5012" spans="40:42" x14ac:dyDescent="0.3">
      <c r="AN5012">
        <v>5008</v>
      </c>
      <c r="AO5012" s="11">
        <v>20089.03</v>
      </c>
      <c r="AP5012" s="9">
        <v>2.7203779061894657</v>
      </c>
    </row>
    <row r="5013" spans="40:42" x14ac:dyDescent="0.3">
      <c r="AN5013">
        <v>5009</v>
      </c>
      <c r="AO5013" s="11">
        <v>14362.42</v>
      </c>
      <c r="AP5013" s="9">
        <v>3.3022755725159096</v>
      </c>
    </row>
    <row r="5014" spans="40:42" x14ac:dyDescent="0.3">
      <c r="AN5014">
        <v>5010</v>
      </c>
      <c r="AO5014" s="11">
        <v>28916.75</v>
      </c>
      <c r="AP5014" s="9">
        <v>3.0700508248767862</v>
      </c>
    </row>
    <row r="5015" spans="40:42" x14ac:dyDescent="0.3">
      <c r="AN5015">
        <v>5011</v>
      </c>
      <c r="AO5015" s="11">
        <v>28017.19</v>
      </c>
      <c r="AP5015" s="9">
        <v>3.5612143952398343</v>
      </c>
    </row>
    <row r="5016" spans="40:42" x14ac:dyDescent="0.3">
      <c r="AN5016">
        <v>5012</v>
      </c>
      <c r="AO5016" s="11">
        <v>20100.38</v>
      </c>
      <c r="AP5016" s="9">
        <v>3.2863062044127265</v>
      </c>
    </row>
    <row r="5017" spans="40:42" x14ac:dyDescent="0.3">
      <c r="AN5017">
        <v>5013</v>
      </c>
      <c r="AO5017" s="11">
        <v>28739.42</v>
      </c>
      <c r="AP5017" s="9">
        <v>3.3526644649690591</v>
      </c>
    </row>
    <row r="5018" spans="40:42" x14ac:dyDescent="0.3">
      <c r="AN5018">
        <v>5014</v>
      </c>
      <c r="AO5018" s="11">
        <v>29162.13</v>
      </c>
      <c r="AP5018" s="9">
        <v>3.2935308841804578</v>
      </c>
    </row>
    <row r="5019" spans="40:42" x14ac:dyDescent="0.3">
      <c r="AN5019">
        <v>5015</v>
      </c>
      <c r="AO5019" s="11">
        <v>23307.37</v>
      </c>
      <c r="AP5019" s="9">
        <v>3.2585576516759827</v>
      </c>
    </row>
    <row r="5020" spans="40:42" x14ac:dyDescent="0.3">
      <c r="AN5020">
        <v>5016</v>
      </c>
      <c r="AO5020" s="11">
        <v>36354.31</v>
      </c>
      <c r="AP5020" s="9">
        <v>3.3821841042785326</v>
      </c>
    </row>
    <row r="5021" spans="40:42" x14ac:dyDescent="0.3">
      <c r="AN5021">
        <v>5017</v>
      </c>
      <c r="AO5021" s="11">
        <v>17780.099999999999</v>
      </c>
      <c r="AP5021" s="9">
        <v>3.8166417885299224</v>
      </c>
    </row>
    <row r="5022" spans="40:42" x14ac:dyDescent="0.3">
      <c r="AN5022">
        <v>5018</v>
      </c>
      <c r="AO5022" s="11">
        <v>15820.53</v>
      </c>
      <c r="AP5022" s="9">
        <v>4.0187742881343267</v>
      </c>
    </row>
    <row r="5023" spans="40:42" x14ac:dyDescent="0.3">
      <c r="AN5023">
        <v>5019</v>
      </c>
      <c r="AO5023" s="11">
        <v>13970.76</v>
      </c>
      <c r="AP5023" s="9">
        <v>3.674735279484624</v>
      </c>
    </row>
    <row r="5024" spans="40:42" x14ac:dyDescent="0.3">
      <c r="AN5024">
        <v>5020</v>
      </c>
      <c r="AO5024" s="11">
        <v>28515.75</v>
      </c>
      <c r="AP5024" s="9">
        <v>3.2124371420086573</v>
      </c>
    </row>
    <row r="5025" spans="40:42" x14ac:dyDescent="0.3">
      <c r="AN5025">
        <v>5021</v>
      </c>
      <c r="AO5025" s="11">
        <v>23982.400000000001</v>
      </c>
      <c r="AP5025" s="9">
        <v>3.1030534281377307</v>
      </c>
    </row>
    <row r="5026" spans="40:42" x14ac:dyDescent="0.3">
      <c r="AN5026">
        <v>5022</v>
      </c>
      <c r="AO5026" s="11">
        <v>30311.94</v>
      </c>
      <c r="AP5026" s="9">
        <v>3.1271461628785242</v>
      </c>
    </row>
    <row r="5027" spans="40:42" x14ac:dyDescent="0.3">
      <c r="AN5027">
        <v>5023</v>
      </c>
      <c r="AO5027" s="11">
        <v>18868.13</v>
      </c>
      <c r="AP5027" s="9">
        <v>2.6332221203703177</v>
      </c>
    </row>
    <row r="5028" spans="40:42" x14ac:dyDescent="0.3">
      <c r="AN5028">
        <v>5024</v>
      </c>
      <c r="AO5028" s="11">
        <v>48401.73</v>
      </c>
      <c r="AP5028" s="9">
        <v>3.5017775764467789</v>
      </c>
    </row>
    <row r="5029" spans="40:42" x14ac:dyDescent="0.3">
      <c r="AN5029">
        <v>5025</v>
      </c>
      <c r="AO5029" s="11">
        <v>26885.599999999999</v>
      </c>
      <c r="AP5029" s="9">
        <v>2.8668436609582337</v>
      </c>
    </row>
    <row r="5030" spans="40:42" x14ac:dyDescent="0.3">
      <c r="AN5030">
        <v>5026</v>
      </c>
      <c r="AO5030" s="11">
        <v>20018.3</v>
      </c>
      <c r="AP5030" s="9">
        <v>3.151791180846502</v>
      </c>
    </row>
    <row r="5031" spans="40:42" x14ac:dyDescent="0.3">
      <c r="AN5031">
        <v>5027</v>
      </c>
      <c r="AO5031" s="11">
        <v>26776.89</v>
      </c>
      <c r="AP5031" s="9">
        <v>3.7358249021936656</v>
      </c>
    </row>
    <row r="5032" spans="40:42" x14ac:dyDescent="0.3">
      <c r="AN5032">
        <v>5028</v>
      </c>
      <c r="AO5032" s="11">
        <v>12552.38</v>
      </c>
      <c r="AP5032" s="9">
        <v>3.0564492362294988</v>
      </c>
    </row>
    <row r="5033" spans="40:42" x14ac:dyDescent="0.3">
      <c r="AN5033">
        <v>5029</v>
      </c>
      <c r="AO5033" s="11">
        <v>32547.24</v>
      </c>
      <c r="AP5033" s="9">
        <v>3.0159453154481124</v>
      </c>
    </row>
    <row r="5034" spans="40:42" x14ac:dyDescent="0.3">
      <c r="AN5034">
        <v>5030</v>
      </c>
      <c r="AO5034" s="11">
        <v>19322.759999999998</v>
      </c>
      <c r="AP5034" s="9">
        <v>3.596686301864537</v>
      </c>
    </row>
    <row r="5035" spans="40:42" x14ac:dyDescent="0.3">
      <c r="AN5035">
        <v>5031</v>
      </c>
      <c r="AO5035" s="11">
        <v>21886.58</v>
      </c>
      <c r="AP5035" s="9">
        <v>3.2344328589027422</v>
      </c>
    </row>
    <row r="5036" spans="40:42" x14ac:dyDescent="0.3">
      <c r="AN5036">
        <v>5032</v>
      </c>
      <c r="AO5036" s="11">
        <v>21543.32</v>
      </c>
      <c r="AP5036" s="9">
        <v>3.2417784653920867</v>
      </c>
    </row>
    <row r="5037" spans="40:42" x14ac:dyDescent="0.3">
      <c r="AN5037">
        <v>5033</v>
      </c>
      <c r="AO5037" s="11">
        <v>30842.98</v>
      </c>
      <c r="AP5037" s="9">
        <v>3.9311814361605766</v>
      </c>
    </row>
    <row r="5038" spans="40:42" x14ac:dyDescent="0.3">
      <c r="AN5038">
        <v>5034</v>
      </c>
      <c r="AO5038" s="11">
        <v>20273.53</v>
      </c>
      <c r="AP5038" s="9">
        <v>2.68283210615837</v>
      </c>
    </row>
    <row r="5039" spans="40:42" x14ac:dyDescent="0.3">
      <c r="AN5039">
        <v>5035</v>
      </c>
      <c r="AO5039" s="11">
        <v>27600.83</v>
      </c>
      <c r="AP5039" s="9">
        <v>3.4118515128088567</v>
      </c>
    </row>
    <row r="5040" spans="40:42" x14ac:dyDescent="0.3">
      <c r="AN5040">
        <v>5036</v>
      </c>
      <c r="AO5040" s="11">
        <v>30855.87</v>
      </c>
      <c r="AP5040" s="9">
        <v>3.1825473555018902</v>
      </c>
    </row>
    <row r="5041" spans="40:42" x14ac:dyDescent="0.3">
      <c r="AN5041">
        <v>5037</v>
      </c>
      <c r="AO5041" s="11">
        <v>25601.200000000001</v>
      </c>
      <c r="AP5041" s="9">
        <v>3.4341507992965621</v>
      </c>
    </row>
    <row r="5042" spans="40:42" x14ac:dyDescent="0.3">
      <c r="AN5042">
        <v>5038</v>
      </c>
      <c r="AO5042" s="11">
        <v>20362.07</v>
      </c>
      <c r="AP5042" s="9">
        <v>3.0496975889047864</v>
      </c>
    </row>
    <row r="5043" spans="40:42" x14ac:dyDescent="0.3">
      <c r="AN5043">
        <v>5039</v>
      </c>
      <c r="AO5043" s="11">
        <v>25259.93</v>
      </c>
      <c r="AP5043" s="9">
        <v>3.4524415447025012</v>
      </c>
    </row>
    <row r="5044" spans="40:42" x14ac:dyDescent="0.3">
      <c r="AN5044">
        <v>5040</v>
      </c>
      <c r="AO5044" s="11">
        <v>29366.37</v>
      </c>
      <c r="AP5044" s="9">
        <v>3.1084936737560902</v>
      </c>
    </row>
    <row r="5045" spans="40:42" x14ac:dyDescent="0.3">
      <c r="AN5045">
        <v>5041</v>
      </c>
      <c r="AO5045" s="11">
        <v>24703.74</v>
      </c>
      <c r="AP5045" s="9">
        <v>3.2138060712290897</v>
      </c>
    </row>
    <row r="5046" spans="40:42" x14ac:dyDescent="0.3">
      <c r="AN5046">
        <v>5042</v>
      </c>
      <c r="AO5046" s="11">
        <v>22367.53</v>
      </c>
      <c r="AP5046" s="9">
        <v>3.3566104481280203</v>
      </c>
    </row>
    <row r="5047" spans="40:42" x14ac:dyDescent="0.3">
      <c r="AN5047">
        <v>5043</v>
      </c>
      <c r="AO5047" s="11">
        <v>27498.36</v>
      </c>
      <c r="AP5047" s="9">
        <v>3.2830487181539341</v>
      </c>
    </row>
    <row r="5048" spans="40:42" x14ac:dyDescent="0.3">
      <c r="AN5048">
        <v>5044</v>
      </c>
      <c r="AO5048" s="11">
        <v>29639.47</v>
      </c>
      <c r="AP5048" s="9">
        <v>3.4465239115612132</v>
      </c>
    </row>
    <row r="5049" spans="40:42" x14ac:dyDescent="0.3">
      <c r="AN5049">
        <v>5045</v>
      </c>
      <c r="AO5049" s="11">
        <v>18120.86</v>
      </c>
      <c r="AP5049" s="9">
        <v>3.3351255435495997</v>
      </c>
    </row>
    <row r="5050" spans="40:42" x14ac:dyDescent="0.3">
      <c r="AN5050">
        <v>5046</v>
      </c>
      <c r="AO5050" s="11">
        <v>48840.92</v>
      </c>
      <c r="AP5050" s="9">
        <v>4.7091957937644384</v>
      </c>
    </row>
    <row r="5051" spans="40:42" x14ac:dyDescent="0.3">
      <c r="AN5051">
        <v>5047</v>
      </c>
      <c r="AO5051" s="11">
        <v>24391.63</v>
      </c>
      <c r="AP5051" s="9">
        <v>3.6673599014206171</v>
      </c>
    </row>
    <row r="5052" spans="40:42" x14ac:dyDescent="0.3">
      <c r="AN5052">
        <v>5048</v>
      </c>
      <c r="AO5052" s="11">
        <v>29558.78</v>
      </c>
      <c r="AP5052" s="9">
        <v>3.7094589477035931</v>
      </c>
    </row>
    <row r="5053" spans="40:42" x14ac:dyDescent="0.3">
      <c r="AN5053">
        <v>5049</v>
      </c>
      <c r="AO5053" s="11">
        <v>24277.37</v>
      </c>
      <c r="AP5053" s="9">
        <v>3.1854816968190778</v>
      </c>
    </row>
    <row r="5054" spans="40:42" x14ac:dyDescent="0.3">
      <c r="AN5054">
        <v>5050</v>
      </c>
      <c r="AO5054" s="11">
        <v>27661.47</v>
      </c>
      <c r="AP5054" s="9">
        <v>3.4418271922675174</v>
      </c>
    </row>
    <row r="5055" spans="40:42" x14ac:dyDescent="0.3">
      <c r="AN5055">
        <v>5051</v>
      </c>
      <c r="AO5055" s="11">
        <v>33437.68</v>
      </c>
      <c r="AP5055" s="9">
        <v>4.6364158652221885</v>
      </c>
    </row>
    <row r="5056" spans="40:42" x14ac:dyDescent="0.3">
      <c r="AN5056">
        <v>5052</v>
      </c>
      <c r="AO5056" s="11">
        <v>25712.92</v>
      </c>
      <c r="AP5056" s="9">
        <v>3.3080755052911157</v>
      </c>
    </row>
    <row r="5057" spans="40:42" x14ac:dyDescent="0.3">
      <c r="AN5057">
        <v>5053</v>
      </c>
      <c r="AO5057" s="11">
        <v>21155.52</v>
      </c>
      <c r="AP5057" s="9">
        <v>3.2726115434030159</v>
      </c>
    </row>
    <row r="5058" spans="40:42" x14ac:dyDescent="0.3">
      <c r="AN5058">
        <v>5054</v>
      </c>
      <c r="AO5058" s="11">
        <v>20831.7</v>
      </c>
      <c r="AP5058" s="9">
        <v>2.8258507952334941</v>
      </c>
    </row>
    <row r="5059" spans="40:42" x14ac:dyDescent="0.3">
      <c r="AN5059">
        <v>5055</v>
      </c>
      <c r="AO5059" s="11">
        <v>54725.07</v>
      </c>
      <c r="AP5059" s="9">
        <v>4.2694244718493763</v>
      </c>
    </row>
    <row r="5060" spans="40:42" x14ac:dyDescent="0.3">
      <c r="AN5060">
        <v>5056</v>
      </c>
      <c r="AO5060" s="11">
        <v>24302.34</v>
      </c>
      <c r="AP5060" s="9">
        <v>4.034359361207037</v>
      </c>
    </row>
    <row r="5061" spans="40:42" x14ac:dyDescent="0.3">
      <c r="AN5061">
        <v>5057</v>
      </c>
      <c r="AO5061" s="11">
        <v>34601.83</v>
      </c>
      <c r="AP5061" s="9">
        <v>3.2658548884322696</v>
      </c>
    </row>
    <row r="5062" spans="40:42" x14ac:dyDescent="0.3">
      <c r="AN5062">
        <v>5058</v>
      </c>
      <c r="AO5062" s="11">
        <v>21551.95</v>
      </c>
      <c r="AP5062" s="9">
        <v>2.9537269250088638</v>
      </c>
    </row>
    <row r="5063" spans="40:42" x14ac:dyDescent="0.3">
      <c r="AN5063">
        <v>5059</v>
      </c>
      <c r="AO5063" s="11">
        <v>20738.23</v>
      </c>
      <c r="AP5063" s="9">
        <v>3.4238345535331378</v>
      </c>
    </row>
    <row r="5064" spans="40:42" x14ac:dyDescent="0.3">
      <c r="AN5064">
        <v>5060</v>
      </c>
      <c r="AO5064" s="11">
        <v>19973.3</v>
      </c>
      <c r="AP5064" s="9">
        <v>3.0915523648207812</v>
      </c>
    </row>
    <row r="5065" spans="40:42" x14ac:dyDescent="0.3">
      <c r="AN5065">
        <v>5061</v>
      </c>
      <c r="AO5065" s="11">
        <v>26372.79</v>
      </c>
      <c r="AP5065" s="9">
        <v>3.0513898753376538</v>
      </c>
    </row>
    <row r="5066" spans="40:42" x14ac:dyDescent="0.3">
      <c r="AN5066">
        <v>5062</v>
      </c>
      <c r="AO5066" s="11">
        <v>42398.12</v>
      </c>
      <c r="AP5066" s="9">
        <v>3.8892485296269648</v>
      </c>
    </row>
    <row r="5067" spans="40:42" x14ac:dyDescent="0.3">
      <c r="AN5067">
        <v>5063</v>
      </c>
      <c r="AO5067" s="11">
        <v>18174.25</v>
      </c>
      <c r="AP5067" s="9">
        <v>2.9063915876555932</v>
      </c>
    </row>
    <row r="5068" spans="40:42" x14ac:dyDescent="0.3">
      <c r="AN5068">
        <v>5064</v>
      </c>
      <c r="AO5068" s="11">
        <v>29704.46</v>
      </c>
      <c r="AP5068" s="9">
        <v>3.0176624849224516</v>
      </c>
    </row>
    <row r="5069" spans="40:42" x14ac:dyDescent="0.3">
      <c r="AN5069">
        <v>5065</v>
      </c>
      <c r="AO5069" s="11">
        <v>32132.880000000001</v>
      </c>
      <c r="AP5069" s="9">
        <v>3.322134322157452</v>
      </c>
    </row>
    <row r="5070" spans="40:42" x14ac:dyDescent="0.3">
      <c r="AN5070">
        <v>5066</v>
      </c>
      <c r="AO5070" s="11">
        <v>25749.86</v>
      </c>
      <c r="AP5070" s="9">
        <v>3.2852004071722147</v>
      </c>
    </row>
    <row r="5071" spans="40:42" x14ac:dyDescent="0.3">
      <c r="AN5071">
        <v>5067</v>
      </c>
      <c r="AO5071" s="11">
        <v>31310.9</v>
      </c>
      <c r="AP5071" s="9">
        <v>2.9166713756817355</v>
      </c>
    </row>
    <row r="5072" spans="40:42" x14ac:dyDescent="0.3">
      <c r="AN5072">
        <v>5068</v>
      </c>
      <c r="AO5072" s="11">
        <v>26150.880000000001</v>
      </c>
      <c r="AP5072" s="9">
        <v>3.9076664623694919</v>
      </c>
    </row>
    <row r="5073" spans="40:42" x14ac:dyDescent="0.3">
      <c r="AN5073">
        <v>5069</v>
      </c>
      <c r="AO5073" s="11">
        <v>28945.96</v>
      </c>
      <c r="AP5073" s="9">
        <v>2.9272586906653233</v>
      </c>
    </row>
    <row r="5074" spans="40:42" x14ac:dyDescent="0.3">
      <c r="AN5074">
        <v>5070</v>
      </c>
      <c r="AO5074" s="11">
        <v>32898.76</v>
      </c>
      <c r="AP5074" s="9">
        <v>3.6197987107996497</v>
      </c>
    </row>
    <row r="5075" spans="40:42" x14ac:dyDescent="0.3">
      <c r="AN5075">
        <v>5071</v>
      </c>
      <c r="AO5075" s="11">
        <v>26720.94</v>
      </c>
      <c r="AP5075" s="9">
        <v>4.0253101984050144</v>
      </c>
    </row>
    <row r="5076" spans="40:42" x14ac:dyDescent="0.3">
      <c r="AN5076">
        <v>5072</v>
      </c>
      <c r="AO5076" s="11">
        <v>28086.14</v>
      </c>
      <c r="AP5076" s="9">
        <v>3.4629616108537959</v>
      </c>
    </row>
    <row r="5077" spans="40:42" x14ac:dyDescent="0.3">
      <c r="AN5077">
        <v>5073</v>
      </c>
      <c r="AO5077" s="11">
        <v>24155.15</v>
      </c>
      <c r="AP5077" s="9">
        <v>4.0431074927214157</v>
      </c>
    </row>
    <row r="5078" spans="40:42" x14ac:dyDescent="0.3">
      <c r="AN5078">
        <v>5074</v>
      </c>
      <c r="AO5078" s="11">
        <v>30033.42</v>
      </c>
      <c r="AP5078" s="9">
        <v>3.7366428104326981</v>
      </c>
    </row>
    <row r="5079" spans="40:42" x14ac:dyDescent="0.3">
      <c r="AN5079">
        <v>5075</v>
      </c>
      <c r="AO5079" s="11">
        <v>21205.01</v>
      </c>
      <c r="AP5079" s="9">
        <v>3.3353236024462589</v>
      </c>
    </row>
    <row r="5080" spans="40:42" x14ac:dyDescent="0.3">
      <c r="AN5080">
        <v>5076</v>
      </c>
      <c r="AO5080" s="11">
        <v>15990.47</v>
      </c>
      <c r="AP5080" s="9">
        <v>2.694145549274396</v>
      </c>
    </row>
    <row r="5081" spans="40:42" x14ac:dyDescent="0.3">
      <c r="AN5081">
        <v>5077</v>
      </c>
      <c r="AO5081" s="11">
        <v>27174.53</v>
      </c>
      <c r="AP5081" s="9">
        <v>3.4301028321434077</v>
      </c>
    </row>
    <row r="5082" spans="40:42" x14ac:dyDescent="0.3">
      <c r="AN5082">
        <v>5078</v>
      </c>
      <c r="AO5082" s="11">
        <v>21530.48</v>
      </c>
      <c r="AP5082" s="9">
        <v>4.011757702808449</v>
      </c>
    </row>
    <row r="5083" spans="40:42" x14ac:dyDescent="0.3">
      <c r="AN5083">
        <v>5079</v>
      </c>
      <c r="AO5083" s="11">
        <v>36809.919999999998</v>
      </c>
      <c r="AP5083" s="9">
        <v>3.1352318055716637</v>
      </c>
    </row>
    <row r="5084" spans="40:42" x14ac:dyDescent="0.3">
      <c r="AN5084">
        <v>5080</v>
      </c>
      <c r="AO5084" s="11">
        <v>30569.91</v>
      </c>
      <c r="AP5084" s="9">
        <v>3.3793335448942496</v>
      </c>
    </row>
    <row r="5085" spans="40:42" x14ac:dyDescent="0.3">
      <c r="AN5085">
        <v>5081</v>
      </c>
      <c r="AO5085" s="11">
        <v>33510.629999999997</v>
      </c>
      <c r="AP5085" s="9">
        <v>3.4432191603139399</v>
      </c>
    </row>
    <row r="5086" spans="40:42" x14ac:dyDescent="0.3">
      <c r="AN5086">
        <v>5082</v>
      </c>
      <c r="AO5086" s="11">
        <v>29364.39</v>
      </c>
      <c r="AP5086" s="9">
        <v>4.0251325352486829</v>
      </c>
    </row>
    <row r="5087" spans="40:42" x14ac:dyDescent="0.3">
      <c r="AN5087">
        <v>5083</v>
      </c>
      <c r="AO5087" s="11">
        <v>20533.77</v>
      </c>
      <c r="AP5087" s="9">
        <v>2.4827118527605276</v>
      </c>
    </row>
    <row r="5088" spans="40:42" x14ac:dyDescent="0.3">
      <c r="AN5088">
        <v>5084</v>
      </c>
      <c r="AO5088" s="11">
        <v>24029.119999999999</v>
      </c>
      <c r="AP5088" s="9">
        <v>4.0276640696588517</v>
      </c>
    </row>
    <row r="5089" spans="40:42" x14ac:dyDescent="0.3">
      <c r="AN5089">
        <v>5085</v>
      </c>
      <c r="AO5089" s="11">
        <v>26015.16</v>
      </c>
      <c r="AP5089" s="9">
        <v>4.1089346116431127</v>
      </c>
    </row>
    <row r="5090" spans="40:42" x14ac:dyDescent="0.3">
      <c r="AN5090">
        <v>5086</v>
      </c>
      <c r="AO5090" s="11">
        <v>34970.050000000003</v>
      </c>
      <c r="AP5090" s="9">
        <v>3.8478489898795183</v>
      </c>
    </row>
    <row r="5091" spans="40:42" x14ac:dyDescent="0.3">
      <c r="AN5091">
        <v>5087</v>
      </c>
      <c r="AO5091" s="11">
        <v>26018.63</v>
      </c>
      <c r="AP5091" s="9">
        <v>2.9180751873954853</v>
      </c>
    </row>
    <row r="5092" spans="40:42" x14ac:dyDescent="0.3">
      <c r="AN5092">
        <v>5088</v>
      </c>
      <c r="AO5092" s="11">
        <v>26967.87</v>
      </c>
      <c r="AP5092" s="9">
        <v>4.2373570813245207</v>
      </c>
    </row>
    <row r="5093" spans="40:42" x14ac:dyDescent="0.3">
      <c r="AN5093">
        <v>5089</v>
      </c>
      <c r="AO5093" s="11">
        <v>23018.68</v>
      </c>
      <c r="AP5093" s="9">
        <v>3.265043700971852</v>
      </c>
    </row>
    <row r="5094" spans="40:42" x14ac:dyDescent="0.3">
      <c r="AN5094">
        <v>5090</v>
      </c>
      <c r="AO5094" s="11">
        <v>24216.82</v>
      </c>
      <c r="AP5094" s="9">
        <v>2.8804469009674141</v>
      </c>
    </row>
    <row r="5095" spans="40:42" x14ac:dyDescent="0.3">
      <c r="AN5095">
        <v>5091</v>
      </c>
      <c r="AO5095" s="11">
        <v>24029.47</v>
      </c>
      <c r="AP5095" s="9">
        <v>3.6003893992714047</v>
      </c>
    </row>
    <row r="5096" spans="40:42" x14ac:dyDescent="0.3">
      <c r="AN5096">
        <v>5092</v>
      </c>
      <c r="AO5096" s="11">
        <v>44340.37</v>
      </c>
      <c r="AP5096" s="9">
        <v>3.911753760984253</v>
      </c>
    </row>
    <row r="5097" spans="40:42" x14ac:dyDescent="0.3">
      <c r="AN5097">
        <v>5093</v>
      </c>
      <c r="AO5097" s="11">
        <v>24157.26</v>
      </c>
      <c r="AP5097" s="9">
        <v>2.5289935663064309</v>
      </c>
    </row>
    <row r="5098" spans="40:42" x14ac:dyDescent="0.3">
      <c r="AN5098">
        <v>5094</v>
      </c>
      <c r="AO5098" s="11">
        <v>27654.87</v>
      </c>
      <c r="AP5098" s="9">
        <v>3.4208403817934556</v>
      </c>
    </row>
    <row r="5099" spans="40:42" x14ac:dyDescent="0.3">
      <c r="AN5099">
        <v>5095</v>
      </c>
      <c r="AO5099" s="11">
        <v>28893.97</v>
      </c>
      <c r="AP5099" s="9">
        <v>3.242980141432644</v>
      </c>
    </row>
    <row r="5100" spans="40:42" x14ac:dyDescent="0.3">
      <c r="AN5100">
        <v>5096</v>
      </c>
      <c r="AO5100" s="11">
        <v>24535.759999999998</v>
      </c>
      <c r="AP5100" s="9">
        <v>3.563631884916111</v>
      </c>
    </row>
    <row r="5101" spans="40:42" x14ac:dyDescent="0.3">
      <c r="AN5101">
        <v>5097</v>
      </c>
      <c r="AO5101" s="11">
        <v>23324.86</v>
      </c>
      <c r="AP5101" s="9">
        <v>3.9701090081540742</v>
      </c>
    </row>
    <row r="5102" spans="40:42" x14ac:dyDescent="0.3">
      <c r="AN5102">
        <v>5098</v>
      </c>
      <c r="AO5102" s="11">
        <v>31025.3</v>
      </c>
      <c r="AP5102" s="9">
        <v>3.7927559311488537</v>
      </c>
    </row>
    <row r="5103" spans="40:42" x14ac:dyDescent="0.3">
      <c r="AN5103">
        <v>5099</v>
      </c>
      <c r="AO5103" s="11">
        <v>30390.54</v>
      </c>
      <c r="AP5103" s="9">
        <v>3.9756083444595691</v>
      </c>
    </row>
    <row r="5104" spans="40:42" x14ac:dyDescent="0.3">
      <c r="AN5104">
        <v>5100</v>
      </c>
      <c r="AO5104" s="11">
        <v>46698.27</v>
      </c>
      <c r="AP5104" s="9">
        <v>3.8728573135078359</v>
      </c>
    </row>
    <row r="5105" spans="40:42" x14ac:dyDescent="0.3">
      <c r="AN5105">
        <v>5101</v>
      </c>
      <c r="AO5105" s="11">
        <v>21621.07</v>
      </c>
      <c r="AP5105" s="9">
        <v>3.6788007176993185</v>
      </c>
    </row>
    <row r="5106" spans="40:42" x14ac:dyDescent="0.3">
      <c r="AN5106">
        <v>5102</v>
      </c>
      <c r="AO5106" s="11">
        <v>17640.71</v>
      </c>
      <c r="AP5106" s="9">
        <v>3.0733958951836247</v>
      </c>
    </row>
    <row r="5107" spans="40:42" x14ac:dyDescent="0.3">
      <c r="AN5107">
        <v>5103</v>
      </c>
      <c r="AO5107" s="11">
        <v>31231.88</v>
      </c>
      <c r="AP5107" s="9">
        <v>4.1843505593793626</v>
      </c>
    </row>
    <row r="5108" spans="40:42" x14ac:dyDescent="0.3">
      <c r="AN5108">
        <v>5104</v>
      </c>
      <c r="AO5108" s="11">
        <v>16182.8</v>
      </c>
      <c r="AP5108" s="9">
        <v>3.3216092821862895</v>
      </c>
    </row>
    <row r="5109" spans="40:42" x14ac:dyDescent="0.3">
      <c r="AN5109">
        <v>5105</v>
      </c>
      <c r="AO5109" s="11">
        <v>25092.01</v>
      </c>
      <c r="AP5109" s="9">
        <v>2.9877864412953232</v>
      </c>
    </row>
    <row r="5110" spans="40:42" x14ac:dyDescent="0.3">
      <c r="AN5110">
        <v>5106</v>
      </c>
      <c r="AO5110" s="11">
        <v>19333.02</v>
      </c>
      <c r="AP5110" s="9">
        <v>3.1657674634266395</v>
      </c>
    </row>
    <row r="5111" spans="40:42" x14ac:dyDescent="0.3">
      <c r="AN5111">
        <v>5107</v>
      </c>
      <c r="AO5111" s="11">
        <v>16722.419999999998</v>
      </c>
      <c r="AP5111" s="9">
        <v>3.4821269757492126</v>
      </c>
    </row>
    <row r="5112" spans="40:42" x14ac:dyDescent="0.3">
      <c r="AN5112">
        <v>5108</v>
      </c>
      <c r="AO5112" s="11">
        <v>32973.550000000003</v>
      </c>
      <c r="AP5112" s="9">
        <v>3.3569418513122149</v>
      </c>
    </row>
    <row r="5113" spans="40:42" x14ac:dyDescent="0.3">
      <c r="AN5113">
        <v>5109</v>
      </c>
      <c r="AO5113" s="11">
        <v>27803.99</v>
      </c>
      <c r="AP5113" s="9">
        <v>3.2810881099362126</v>
      </c>
    </row>
    <row r="5114" spans="40:42" x14ac:dyDescent="0.3">
      <c r="AN5114">
        <v>5110</v>
      </c>
      <c r="AO5114" s="11">
        <v>21060.71</v>
      </c>
      <c r="AP5114" s="9">
        <v>3.0361712852123901</v>
      </c>
    </row>
    <row r="5115" spans="40:42" x14ac:dyDescent="0.3">
      <c r="AN5115">
        <v>5111</v>
      </c>
      <c r="AO5115" s="11">
        <v>27111.65</v>
      </c>
      <c r="AP5115" s="9">
        <v>3.1052247367119241</v>
      </c>
    </row>
    <row r="5116" spans="40:42" x14ac:dyDescent="0.3">
      <c r="AN5116">
        <v>5112</v>
      </c>
      <c r="AO5116" s="11">
        <v>26641.42</v>
      </c>
      <c r="AP5116" s="9">
        <v>3.496182146701726</v>
      </c>
    </row>
    <row r="5117" spans="40:42" x14ac:dyDescent="0.3">
      <c r="AN5117">
        <v>5113</v>
      </c>
      <c r="AO5117" s="11">
        <v>32171.47</v>
      </c>
      <c r="AP5117" s="9">
        <v>3.5170377561042563</v>
      </c>
    </row>
    <row r="5118" spans="40:42" x14ac:dyDescent="0.3">
      <c r="AN5118">
        <v>5114</v>
      </c>
      <c r="AO5118" s="11">
        <v>27417.41</v>
      </c>
      <c r="AP5118" s="9">
        <v>3.6833487408073382</v>
      </c>
    </row>
    <row r="5119" spans="40:42" x14ac:dyDescent="0.3">
      <c r="AN5119">
        <v>5115</v>
      </c>
      <c r="AO5119" s="11">
        <v>24587.4</v>
      </c>
      <c r="AP5119" s="9">
        <v>2.9162320202018628</v>
      </c>
    </row>
    <row r="5120" spans="40:42" x14ac:dyDescent="0.3">
      <c r="AN5120">
        <v>5116</v>
      </c>
      <c r="AO5120" s="11">
        <v>23778.37</v>
      </c>
      <c r="AP5120" s="9">
        <v>2.6499002141549788</v>
      </c>
    </row>
    <row r="5121" spans="40:42" x14ac:dyDescent="0.3">
      <c r="AN5121">
        <v>5117</v>
      </c>
      <c r="AO5121" s="11">
        <v>24079.06</v>
      </c>
      <c r="AP5121" s="9">
        <v>3.3841751198078538</v>
      </c>
    </row>
    <row r="5122" spans="40:42" x14ac:dyDescent="0.3">
      <c r="AN5122">
        <v>5118</v>
      </c>
      <c r="AO5122" s="11">
        <v>31509.66</v>
      </c>
      <c r="AP5122" s="9">
        <v>3.5636373157764996</v>
      </c>
    </row>
    <row r="5123" spans="40:42" x14ac:dyDescent="0.3">
      <c r="AN5123">
        <v>5119</v>
      </c>
      <c r="AO5123" s="11">
        <v>36995.769999999997</v>
      </c>
      <c r="AP5123" s="9">
        <v>3.9231911060421236</v>
      </c>
    </row>
    <row r="5124" spans="40:42" x14ac:dyDescent="0.3">
      <c r="AN5124">
        <v>5120</v>
      </c>
      <c r="AO5124" s="11">
        <v>34472.410000000003</v>
      </c>
      <c r="AP5124" s="9">
        <v>3.2537295471135601</v>
      </c>
    </row>
    <row r="5125" spans="40:42" x14ac:dyDescent="0.3">
      <c r="AN5125">
        <v>5121</v>
      </c>
      <c r="AO5125" s="11">
        <v>15170.48</v>
      </c>
      <c r="AP5125" s="9">
        <v>3.4431648245871638</v>
      </c>
    </row>
    <row r="5126" spans="40:42" x14ac:dyDescent="0.3">
      <c r="AN5126">
        <v>5122</v>
      </c>
      <c r="AO5126" s="11">
        <v>40169.599999999999</v>
      </c>
      <c r="AP5126" s="9">
        <v>3.3698948784023668</v>
      </c>
    </row>
    <row r="5127" spans="40:42" x14ac:dyDescent="0.3">
      <c r="AN5127">
        <v>5123</v>
      </c>
      <c r="AO5127" s="11">
        <v>32503.97</v>
      </c>
      <c r="AP5127" s="9">
        <v>3.2502481859860044</v>
      </c>
    </row>
    <row r="5128" spans="40:42" x14ac:dyDescent="0.3">
      <c r="AN5128">
        <v>5124</v>
      </c>
      <c r="AO5128" s="11">
        <v>26987.02</v>
      </c>
      <c r="AP5128" s="9">
        <v>3.1384744081891025</v>
      </c>
    </row>
    <row r="5129" spans="40:42" x14ac:dyDescent="0.3">
      <c r="AN5129">
        <v>5125</v>
      </c>
      <c r="AO5129" s="11">
        <v>28617.98</v>
      </c>
      <c r="AP5129" s="9">
        <v>3.3760122450409167</v>
      </c>
    </row>
    <row r="5130" spans="40:42" x14ac:dyDescent="0.3">
      <c r="AN5130">
        <v>5126</v>
      </c>
      <c r="AO5130" s="11">
        <v>28645.55</v>
      </c>
      <c r="AP5130" s="9">
        <v>3.8871132725654003</v>
      </c>
    </row>
    <row r="5131" spans="40:42" x14ac:dyDescent="0.3">
      <c r="AN5131">
        <v>5127</v>
      </c>
      <c r="AO5131" s="11">
        <v>45088.74</v>
      </c>
      <c r="AP5131" s="9">
        <v>3.7785557097249183</v>
      </c>
    </row>
    <row r="5132" spans="40:42" x14ac:dyDescent="0.3">
      <c r="AN5132">
        <v>5128</v>
      </c>
      <c r="AO5132" s="11">
        <v>29984.639999999999</v>
      </c>
      <c r="AP5132" s="9">
        <v>3.2689383463812542</v>
      </c>
    </row>
    <row r="5133" spans="40:42" x14ac:dyDescent="0.3">
      <c r="AN5133">
        <v>5129</v>
      </c>
      <c r="AO5133" s="11">
        <v>26118.240000000002</v>
      </c>
      <c r="AP5133" s="9">
        <v>2.9621296946257361</v>
      </c>
    </row>
    <row r="5134" spans="40:42" x14ac:dyDescent="0.3">
      <c r="AN5134">
        <v>5130</v>
      </c>
      <c r="AO5134" s="11">
        <v>25679.81</v>
      </c>
      <c r="AP5134" s="9">
        <v>3.5302363716182623</v>
      </c>
    </row>
    <row r="5135" spans="40:42" x14ac:dyDescent="0.3">
      <c r="AN5135">
        <v>5131</v>
      </c>
      <c r="AO5135" s="11">
        <v>20949.400000000001</v>
      </c>
      <c r="AP5135" s="9">
        <v>3.1556972699706627</v>
      </c>
    </row>
    <row r="5136" spans="40:42" x14ac:dyDescent="0.3">
      <c r="AN5136">
        <v>5132</v>
      </c>
      <c r="AO5136" s="11">
        <v>22172.74</v>
      </c>
      <c r="AP5136" s="9">
        <v>3.0400418261761342</v>
      </c>
    </row>
    <row r="5137" spans="40:42" x14ac:dyDescent="0.3">
      <c r="AN5137">
        <v>5133</v>
      </c>
      <c r="AO5137" s="11">
        <v>37717.910000000003</v>
      </c>
      <c r="AP5137" s="9">
        <v>3.8366156739685517</v>
      </c>
    </row>
    <row r="5138" spans="40:42" x14ac:dyDescent="0.3">
      <c r="AN5138">
        <v>5134</v>
      </c>
      <c r="AO5138" s="11">
        <v>34839.72</v>
      </c>
      <c r="AP5138" s="9">
        <v>2.7976428828399915</v>
      </c>
    </row>
    <row r="5139" spans="40:42" x14ac:dyDescent="0.3">
      <c r="AN5139">
        <v>5135</v>
      </c>
      <c r="AO5139" s="11">
        <v>42852.78</v>
      </c>
      <c r="AP5139" s="9">
        <v>3.5624421608355488</v>
      </c>
    </row>
    <row r="5140" spans="40:42" x14ac:dyDescent="0.3">
      <c r="AN5140">
        <v>5136</v>
      </c>
      <c r="AO5140" s="11">
        <v>25859.54</v>
      </c>
      <c r="AP5140" s="9">
        <v>2.6060948587674995</v>
      </c>
    </row>
    <row r="5141" spans="40:42" x14ac:dyDescent="0.3">
      <c r="AN5141">
        <v>5137</v>
      </c>
      <c r="AO5141" s="11">
        <v>32621.9</v>
      </c>
      <c r="AP5141" s="9">
        <v>3.5379779188654608</v>
      </c>
    </row>
    <row r="5142" spans="40:42" x14ac:dyDescent="0.3">
      <c r="AN5142">
        <v>5138</v>
      </c>
      <c r="AO5142" s="11">
        <v>22311.16</v>
      </c>
      <c r="AP5142" s="9">
        <v>2.7523322189948352</v>
      </c>
    </row>
    <row r="5143" spans="40:42" x14ac:dyDescent="0.3">
      <c r="AN5143">
        <v>5139</v>
      </c>
      <c r="AO5143" s="11">
        <v>19773.36</v>
      </c>
      <c r="AP5143" s="9">
        <v>3.2561235803917596</v>
      </c>
    </row>
    <row r="5144" spans="40:42" x14ac:dyDescent="0.3">
      <c r="AN5144">
        <v>5140</v>
      </c>
      <c r="AO5144" s="11">
        <v>39702.230000000003</v>
      </c>
      <c r="AP5144" s="9">
        <v>3.3369797201169966</v>
      </c>
    </row>
    <row r="5145" spans="40:42" x14ac:dyDescent="0.3">
      <c r="AN5145">
        <v>5141</v>
      </c>
      <c r="AO5145" s="11">
        <v>28007.3</v>
      </c>
      <c r="AP5145" s="9">
        <v>3.8974506597504508</v>
      </c>
    </row>
    <row r="5146" spans="40:42" x14ac:dyDescent="0.3">
      <c r="AN5146">
        <v>5142</v>
      </c>
      <c r="AO5146" s="11">
        <v>12614.12</v>
      </c>
      <c r="AP5146" s="9">
        <v>3.20699381134117</v>
      </c>
    </row>
    <row r="5147" spans="40:42" x14ac:dyDescent="0.3">
      <c r="AN5147">
        <v>5143</v>
      </c>
      <c r="AO5147" s="11">
        <v>31009.62</v>
      </c>
      <c r="AP5147" s="9">
        <v>3.271509830085285</v>
      </c>
    </row>
    <row r="5148" spans="40:42" x14ac:dyDescent="0.3">
      <c r="AN5148">
        <v>5144</v>
      </c>
      <c r="AO5148" s="11">
        <v>23205.26</v>
      </c>
      <c r="AP5148" s="9">
        <v>3.1915560382099692</v>
      </c>
    </row>
    <row r="5149" spans="40:42" x14ac:dyDescent="0.3">
      <c r="AN5149">
        <v>5145</v>
      </c>
      <c r="AO5149" s="11">
        <v>41980.83</v>
      </c>
      <c r="AP5149" s="9">
        <v>3.9978014948726952</v>
      </c>
    </row>
    <row r="5150" spans="40:42" x14ac:dyDescent="0.3">
      <c r="AN5150">
        <v>5146</v>
      </c>
      <c r="AO5150" s="11">
        <v>19727.060000000001</v>
      </c>
      <c r="AP5150" s="9">
        <v>3.6890991465332301</v>
      </c>
    </row>
    <row r="5151" spans="40:42" x14ac:dyDescent="0.3">
      <c r="AN5151">
        <v>5147</v>
      </c>
      <c r="AO5151" s="11">
        <v>26420.75</v>
      </c>
      <c r="AP5151" s="9">
        <v>3.3156086860189462</v>
      </c>
    </row>
    <row r="5152" spans="40:42" x14ac:dyDescent="0.3">
      <c r="AN5152">
        <v>5148</v>
      </c>
      <c r="AO5152" s="11">
        <v>24407.48</v>
      </c>
      <c r="AP5152" s="9">
        <v>3.5257648490318396</v>
      </c>
    </row>
    <row r="5153" spans="40:42" x14ac:dyDescent="0.3">
      <c r="AN5153">
        <v>5149</v>
      </c>
      <c r="AO5153" s="11">
        <v>17811.48</v>
      </c>
      <c r="AP5153" s="9">
        <v>2.4192431110464536</v>
      </c>
    </row>
    <row r="5154" spans="40:42" x14ac:dyDescent="0.3">
      <c r="AN5154">
        <v>5150</v>
      </c>
      <c r="AO5154" s="11">
        <v>17485.810000000001</v>
      </c>
      <c r="AP5154" s="9">
        <v>3.612211587943384</v>
      </c>
    </row>
    <row r="5155" spans="40:42" x14ac:dyDescent="0.3">
      <c r="AN5155">
        <v>5151</v>
      </c>
      <c r="AO5155" s="11">
        <v>23893</v>
      </c>
      <c r="AP5155" s="9">
        <v>3.2373643494179598</v>
      </c>
    </row>
    <row r="5156" spans="40:42" x14ac:dyDescent="0.3">
      <c r="AN5156">
        <v>5152</v>
      </c>
      <c r="AO5156" s="11">
        <v>20286.91</v>
      </c>
      <c r="AP5156" s="9">
        <v>3.8716556700769811</v>
      </c>
    </row>
    <row r="5157" spans="40:42" x14ac:dyDescent="0.3">
      <c r="AN5157">
        <v>5153</v>
      </c>
      <c r="AO5157" s="11">
        <v>25527.67</v>
      </c>
      <c r="AP5157" s="9">
        <v>3.5702824114044622</v>
      </c>
    </row>
    <row r="5158" spans="40:42" x14ac:dyDescent="0.3">
      <c r="AN5158">
        <v>5154</v>
      </c>
      <c r="AO5158" s="11">
        <v>21081.31</v>
      </c>
      <c r="AP5158" s="9">
        <v>2.5477163301838091</v>
      </c>
    </row>
    <row r="5159" spans="40:42" x14ac:dyDescent="0.3">
      <c r="AN5159">
        <v>5155</v>
      </c>
      <c r="AO5159" s="11">
        <v>27561.17</v>
      </c>
      <c r="AP5159" s="9">
        <v>4.1715069792746622</v>
      </c>
    </row>
    <row r="5160" spans="40:42" x14ac:dyDescent="0.3">
      <c r="AN5160">
        <v>5156</v>
      </c>
      <c r="AO5160" s="11">
        <v>32166.54</v>
      </c>
      <c r="AP5160" s="9">
        <v>3.8329526011371073</v>
      </c>
    </row>
    <row r="5161" spans="40:42" x14ac:dyDescent="0.3">
      <c r="AN5161">
        <v>5157</v>
      </c>
      <c r="AO5161" s="11">
        <v>33714.949999999997</v>
      </c>
      <c r="AP5161" s="9">
        <v>3.5242477571327502</v>
      </c>
    </row>
    <row r="5162" spans="40:42" x14ac:dyDescent="0.3">
      <c r="AN5162">
        <v>5158</v>
      </c>
      <c r="AO5162" s="11">
        <v>22871.4</v>
      </c>
      <c r="AP5162" s="9">
        <v>3.1941969178353493</v>
      </c>
    </row>
    <row r="5163" spans="40:42" x14ac:dyDescent="0.3">
      <c r="AN5163">
        <v>5159</v>
      </c>
      <c r="AO5163" s="11">
        <v>25985.56</v>
      </c>
      <c r="AP5163" s="9">
        <v>3.7440985660450212</v>
      </c>
    </row>
    <row r="5164" spans="40:42" x14ac:dyDescent="0.3">
      <c r="AN5164">
        <v>5160</v>
      </c>
      <c r="AO5164" s="11">
        <v>34171.800000000003</v>
      </c>
      <c r="AP5164" s="9">
        <v>3.3809856485494065</v>
      </c>
    </row>
    <row r="5165" spans="40:42" x14ac:dyDescent="0.3">
      <c r="AN5165">
        <v>5161</v>
      </c>
      <c r="AO5165" s="11">
        <v>38522.620000000003</v>
      </c>
      <c r="AP5165" s="9">
        <v>3.5629375586678593</v>
      </c>
    </row>
    <row r="5166" spans="40:42" x14ac:dyDescent="0.3">
      <c r="AN5166">
        <v>5162</v>
      </c>
      <c r="AO5166" s="11">
        <v>26806.13</v>
      </c>
      <c r="AP5166" s="9">
        <v>3.1461287675159917</v>
      </c>
    </row>
    <row r="5167" spans="40:42" x14ac:dyDescent="0.3">
      <c r="AN5167">
        <v>5163</v>
      </c>
      <c r="AO5167" s="11">
        <v>16135.86</v>
      </c>
      <c r="AP5167" s="9">
        <v>2.8953089234453651</v>
      </c>
    </row>
    <row r="5168" spans="40:42" x14ac:dyDescent="0.3">
      <c r="AN5168">
        <v>5164</v>
      </c>
      <c r="AO5168" s="11">
        <v>32101.46</v>
      </c>
      <c r="AP5168" s="9">
        <v>3.6174761502903476</v>
      </c>
    </row>
    <row r="5169" spans="40:42" x14ac:dyDescent="0.3">
      <c r="AN5169">
        <v>5165</v>
      </c>
      <c r="AO5169" s="11">
        <v>19218.009999999998</v>
      </c>
      <c r="AP5169" s="9">
        <v>3.207260671014784</v>
      </c>
    </row>
    <row r="5170" spans="40:42" x14ac:dyDescent="0.3">
      <c r="AN5170">
        <v>5166</v>
      </c>
      <c r="AO5170" s="11">
        <v>23419.48</v>
      </c>
      <c r="AP5170" s="9">
        <v>3.5863991317024224</v>
      </c>
    </row>
    <row r="5171" spans="40:42" x14ac:dyDescent="0.3">
      <c r="AN5171">
        <v>5167</v>
      </c>
      <c r="AO5171" s="11">
        <v>39780.79</v>
      </c>
      <c r="AP5171" s="9">
        <v>3.7228596859523422</v>
      </c>
    </row>
    <row r="5172" spans="40:42" x14ac:dyDescent="0.3">
      <c r="AN5172">
        <v>5168</v>
      </c>
      <c r="AO5172" s="11">
        <v>30148.01</v>
      </c>
      <c r="AP5172" s="9">
        <v>4.0448750982939297</v>
      </c>
    </row>
    <row r="5173" spans="40:42" x14ac:dyDescent="0.3">
      <c r="AN5173">
        <v>5169</v>
      </c>
      <c r="AO5173" s="11">
        <v>33436.9</v>
      </c>
      <c r="AP5173" s="9">
        <v>3.6320401585232158</v>
      </c>
    </row>
    <row r="5174" spans="40:42" x14ac:dyDescent="0.3">
      <c r="AN5174">
        <v>5170</v>
      </c>
      <c r="AO5174" s="11">
        <v>47375.48</v>
      </c>
      <c r="AP5174" s="9">
        <v>3.811225208775594</v>
      </c>
    </row>
    <row r="5175" spans="40:42" x14ac:dyDescent="0.3">
      <c r="AN5175">
        <v>5171</v>
      </c>
      <c r="AO5175" s="11">
        <v>23164.73</v>
      </c>
      <c r="AP5175" s="9">
        <v>2.9767017915997074</v>
      </c>
    </row>
    <row r="5176" spans="40:42" x14ac:dyDescent="0.3">
      <c r="AN5176">
        <v>5172</v>
      </c>
      <c r="AO5176" s="11">
        <v>14483.81</v>
      </c>
      <c r="AP5176" s="9">
        <v>2.9413653713814205</v>
      </c>
    </row>
    <row r="5177" spans="40:42" x14ac:dyDescent="0.3">
      <c r="AN5177">
        <v>5173</v>
      </c>
      <c r="AO5177" s="11">
        <v>36241.33</v>
      </c>
      <c r="AP5177" s="9">
        <v>2.887363842585994</v>
      </c>
    </row>
    <row r="5178" spans="40:42" x14ac:dyDescent="0.3">
      <c r="AN5178">
        <v>5174</v>
      </c>
      <c r="AO5178" s="11">
        <v>23634.02</v>
      </c>
      <c r="AP5178" s="9">
        <v>2.8860110531402574</v>
      </c>
    </row>
    <row r="5179" spans="40:42" x14ac:dyDescent="0.3">
      <c r="AN5179">
        <v>5175</v>
      </c>
      <c r="AO5179" s="11">
        <v>16424.080000000002</v>
      </c>
      <c r="AP5179" s="9">
        <v>3.381808790847324</v>
      </c>
    </row>
    <row r="5180" spans="40:42" x14ac:dyDescent="0.3">
      <c r="AN5180">
        <v>5176</v>
      </c>
      <c r="AO5180" s="11">
        <v>20414.560000000001</v>
      </c>
      <c r="AP5180" s="9">
        <v>3.0027679416025199</v>
      </c>
    </row>
    <row r="5181" spans="40:42" x14ac:dyDescent="0.3">
      <c r="AN5181">
        <v>5177</v>
      </c>
      <c r="AO5181" s="11">
        <v>20873.810000000001</v>
      </c>
      <c r="AP5181" s="9">
        <v>2.9593381156285807</v>
      </c>
    </row>
    <row r="5182" spans="40:42" x14ac:dyDescent="0.3">
      <c r="AN5182">
        <v>5178</v>
      </c>
      <c r="AO5182" s="11">
        <v>32195.33</v>
      </c>
      <c r="AP5182" s="9">
        <v>3.5060809193676548</v>
      </c>
    </row>
    <row r="5183" spans="40:42" x14ac:dyDescent="0.3">
      <c r="AN5183">
        <v>5179</v>
      </c>
      <c r="AO5183" s="11">
        <v>33121.31</v>
      </c>
      <c r="AP5183" s="9">
        <v>2.7819141622619328</v>
      </c>
    </row>
    <row r="5184" spans="40:42" x14ac:dyDescent="0.3">
      <c r="AN5184">
        <v>5180</v>
      </c>
      <c r="AO5184" s="11">
        <v>35506.800000000003</v>
      </c>
      <c r="AP5184" s="9">
        <v>3.8534109110653683</v>
      </c>
    </row>
    <row r="5185" spans="40:42" x14ac:dyDescent="0.3">
      <c r="AN5185">
        <v>5181</v>
      </c>
      <c r="AO5185" s="11">
        <v>22664.62</v>
      </c>
      <c r="AP5185" s="9">
        <v>3.5764026967190636</v>
      </c>
    </row>
    <row r="5186" spans="40:42" x14ac:dyDescent="0.3">
      <c r="AN5186">
        <v>5182</v>
      </c>
      <c r="AO5186" s="11">
        <v>36651.879999999997</v>
      </c>
      <c r="AP5186" s="9">
        <v>3.6909340441780087</v>
      </c>
    </row>
    <row r="5187" spans="40:42" x14ac:dyDescent="0.3">
      <c r="AN5187">
        <v>5183</v>
      </c>
      <c r="AO5187" s="11">
        <v>17832.580000000002</v>
      </c>
      <c r="AP5187" s="9">
        <v>2.646600724227453</v>
      </c>
    </row>
    <row r="5188" spans="40:42" x14ac:dyDescent="0.3">
      <c r="AN5188">
        <v>5184</v>
      </c>
      <c r="AO5188" s="11">
        <v>18030.57</v>
      </c>
      <c r="AP5188" s="9">
        <v>2.7492020978588645</v>
      </c>
    </row>
    <row r="5189" spans="40:42" x14ac:dyDescent="0.3">
      <c r="AN5189">
        <v>5185</v>
      </c>
      <c r="AO5189" s="11">
        <v>16230.25</v>
      </c>
      <c r="AP5189" s="9">
        <v>3.135055651043186</v>
      </c>
    </row>
    <row r="5190" spans="40:42" x14ac:dyDescent="0.3">
      <c r="AN5190">
        <v>5186</v>
      </c>
      <c r="AO5190" s="11">
        <v>20931.150000000001</v>
      </c>
      <c r="AP5190" s="9">
        <v>2.9067815272056521</v>
      </c>
    </row>
    <row r="5191" spans="40:42" x14ac:dyDescent="0.3">
      <c r="AN5191">
        <v>5187</v>
      </c>
      <c r="AO5191" s="11">
        <v>24020.84</v>
      </c>
      <c r="AP5191" s="9">
        <v>2.9239689012218255</v>
      </c>
    </row>
    <row r="5192" spans="40:42" x14ac:dyDescent="0.3">
      <c r="AN5192">
        <v>5188</v>
      </c>
      <c r="AO5192" s="11">
        <v>19440.63</v>
      </c>
      <c r="AP5192" s="9">
        <v>2.6096625940133396</v>
      </c>
    </row>
    <row r="5193" spans="40:42" x14ac:dyDescent="0.3">
      <c r="AN5193">
        <v>5189</v>
      </c>
      <c r="AO5193" s="11">
        <v>24779.19</v>
      </c>
      <c r="AP5193" s="9">
        <v>3.2135842108858164</v>
      </c>
    </row>
    <row r="5194" spans="40:42" x14ac:dyDescent="0.3">
      <c r="AN5194">
        <v>5190</v>
      </c>
      <c r="AO5194" s="11">
        <v>24409.4</v>
      </c>
      <c r="AP5194" s="9">
        <v>2.6111012546362726</v>
      </c>
    </row>
    <row r="5195" spans="40:42" x14ac:dyDescent="0.3">
      <c r="AN5195">
        <v>5191</v>
      </c>
      <c r="AO5195" s="11">
        <v>24566.639999999999</v>
      </c>
      <c r="AP5195" s="9">
        <v>3.5565836394386858</v>
      </c>
    </row>
    <row r="5196" spans="40:42" x14ac:dyDescent="0.3">
      <c r="AN5196">
        <v>5192</v>
      </c>
      <c r="AO5196" s="11">
        <v>30048.19</v>
      </c>
      <c r="AP5196" s="9">
        <v>2.7698413746324073</v>
      </c>
    </row>
    <row r="5197" spans="40:42" x14ac:dyDescent="0.3">
      <c r="AN5197">
        <v>5193</v>
      </c>
      <c r="AO5197" s="11">
        <v>31556.69</v>
      </c>
      <c r="AP5197" s="9">
        <v>3.0029346509914898</v>
      </c>
    </row>
    <row r="5198" spans="40:42" x14ac:dyDescent="0.3">
      <c r="AN5198">
        <v>5194</v>
      </c>
      <c r="AO5198" s="11">
        <v>31007.75</v>
      </c>
      <c r="AP5198" s="9">
        <v>3.6741770728106449</v>
      </c>
    </row>
    <row r="5199" spans="40:42" x14ac:dyDescent="0.3">
      <c r="AN5199">
        <v>5195</v>
      </c>
      <c r="AO5199" s="11">
        <v>24984.18</v>
      </c>
      <c r="AP5199" s="9">
        <v>2.9348536866788235</v>
      </c>
    </row>
    <row r="5200" spans="40:42" x14ac:dyDescent="0.3">
      <c r="AN5200">
        <v>5196</v>
      </c>
      <c r="AO5200" s="11">
        <v>35154.370000000003</v>
      </c>
      <c r="AP5200" s="9">
        <v>3.2402109011277296</v>
      </c>
    </row>
    <row r="5201" spans="40:42" x14ac:dyDescent="0.3">
      <c r="AN5201">
        <v>5197</v>
      </c>
      <c r="AO5201" s="11">
        <v>32067.14</v>
      </c>
      <c r="AP5201" s="9">
        <v>3.570908279423795</v>
      </c>
    </row>
    <row r="5202" spans="40:42" x14ac:dyDescent="0.3">
      <c r="AN5202">
        <v>5198</v>
      </c>
      <c r="AO5202" s="11">
        <v>30247.01</v>
      </c>
      <c r="AP5202" s="9">
        <v>4.073720777296133</v>
      </c>
    </row>
    <row r="5203" spans="40:42" x14ac:dyDescent="0.3">
      <c r="AN5203">
        <v>5199</v>
      </c>
      <c r="AO5203" s="11">
        <v>28733.200000000001</v>
      </c>
      <c r="AP5203" s="9">
        <v>3.6739492739746646</v>
      </c>
    </row>
    <row r="5204" spans="40:42" x14ac:dyDescent="0.3">
      <c r="AN5204">
        <v>5200</v>
      </c>
      <c r="AO5204" s="11">
        <v>20513.52</v>
      </c>
      <c r="AP5204" s="9">
        <v>4.0854563025204831</v>
      </c>
    </row>
    <row r="5205" spans="40:42" x14ac:dyDescent="0.3">
      <c r="AN5205">
        <v>5201</v>
      </c>
      <c r="AO5205" s="11">
        <v>19490.43</v>
      </c>
      <c r="AP5205" s="9">
        <v>3.0217009042430645</v>
      </c>
    </row>
    <row r="5206" spans="40:42" x14ac:dyDescent="0.3">
      <c r="AN5206">
        <v>5202</v>
      </c>
      <c r="AO5206" s="11">
        <v>21780.77</v>
      </c>
      <c r="AP5206" s="9">
        <v>3.2060237604252091</v>
      </c>
    </row>
    <row r="5207" spans="40:42" x14ac:dyDescent="0.3">
      <c r="AN5207">
        <v>5203</v>
      </c>
      <c r="AO5207" s="11">
        <v>15024.55</v>
      </c>
      <c r="AP5207" s="9">
        <v>2.5431720229185228</v>
      </c>
    </row>
    <row r="5208" spans="40:42" x14ac:dyDescent="0.3">
      <c r="AN5208">
        <v>5204</v>
      </c>
      <c r="AO5208" s="11">
        <v>25617.57</v>
      </c>
      <c r="AP5208" s="9">
        <v>3.5654578380621356</v>
      </c>
    </row>
    <row r="5209" spans="40:42" x14ac:dyDescent="0.3">
      <c r="AN5209">
        <v>5205</v>
      </c>
      <c r="AO5209" s="11">
        <v>28726.15</v>
      </c>
      <c r="AP5209" s="9">
        <v>3.2289165668613791</v>
      </c>
    </row>
    <row r="5210" spans="40:42" x14ac:dyDescent="0.3">
      <c r="AN5210">
        <v>5206</v>
      </c>
      <c r="AO5210" s="11">
        <v>22826.3</v>
      </c>
      <c r="AP5210" s="9">
        <v>3.5813933480275733</v>
      </c>
    </row>
    <row r="5211" spans="40:42" x14ac:dyDescent="0.3">
      <c r="AN5211">
        <v>5207</v>
      </c>
      <c r="AO5211" s="11">
        <v>22946.71</v>
      </c>
      <c r="AP5211" s="9">
        <v>3.1980742170181951</v>
      </c>
    </row>
    <row r="5212" spans="40:42" x14ac:dyDescent="0.3">
      <c r="AN5212">
        <v>5208</v>
      </c>
      <c r="AO5212" s="11">
        <v>27660.33</v>
      </c>
      <c r="AP5212" s="9">
        <v>2.9806459765307705</v>
      </c>
    </row>
    <row r="5213" spans="40:42" x14ac:dyDescent="0.3">
      <c r="AN5213">
        <v>5209</v>
      </c>
      <c r="AO5213" s="11">
        <v>26603.9</v>
      </c>
      <c r="AP5213" s="9">
        <v>3.2853393949291267</v>
      </c>
    </row>
    <row r="5214" spans="40:42" x14ac:dyDescent="0.3">
      <c r="AN5214">
        <v>5210</v>
      </c>
      <c r="AO5214" s="11">
        <v>47372.37</v>
      </c>
      <c r="AP5214" s="9">
        <v>4.2318352740213365</v>
      </c>
    </row>
    <row r="5215" spans="40:42" x14ac:dyDescent="0.3">
      <c r="AN5215">
        <v>5211</v>
      </c>
      <c r="AO5215" s="11">
        <v>29177.07</v>
      </c>
      <c r="AP5215" s="9">
        <v>3.3782935042347697</v>
      </c>
    </row>
    <row r="5216" spans="40:42" x14ac:dyDescent="0.3">
      <c r="AN5216">
        <v>5212</v>
      </c>
      <c r="AO5216" s="11">
        <v>13953.1</v>
      </c>
      <c r="AP5216" s="9">
        <v>3.2967495460244449</v>
      </c>
    </row>
    <row r="5217" spans="40:42" x14ac:dyDescent="0.3">
      <c r="AN5217">
        <v>5213</v>
      </c>
      <c r="AO5217" s="11">
        <v>24739.72</v>
      </c>
      <c r="AP5217" s="9">
        <v>3.4310719626629607</v>
      </c>
    </row>
    <row r="5218" spans="40:42" x14ac:dyDescent="0.3">
      <c r="AN5218">
        <v>5214</v>
      </c>
      <c r="AO5218" s="11">
        <v>20892.18</v>
      </c>
      <c r="AP5218" s="9">
        <v>3.3085233026868908</v>
      </c>
    </row>
    <row r="5219" spans="40:42" x14ac:dyDescent="0.3">
      <c r="AN5219">
        <v>5215</v>
      </c>
      <c r="AO5219" s="11">
        <v>20721.46</v>
      </c>
      <c r="AP5219" s="9">
        <v>2.9996674545223359</v>
      </c>
    </row>
    <row r="5220" spans="40:42" x14ac:dyDescent="0.3">
      <c r="AN5220">
        <v>5216</v>
      </c>
      <c r="AO5220" s="11">
        <v>24495.73</v>
      </c>
      <c r="AP5220" s="9">
        <v>4.0525531407589934</v>
      </c>
    </row>
    <row r="5221" spans="40:42" x14ac:dyDescent="0.3">
      <c r="AN5221">
        <v>5217</v>
      </c>
      <c r="AO5221" s="11">
        <v>22005.78</v>
      </c>
      <c r="AP5221" s="9">
        <v>3.9481003860027331</v>
      </c>
    </row>
    <row r="5222" spans="40:42" x14ac:dyDescent="0.3">
      <c r="AN5222">
        <v>5218</v>
      </c>
      <c r="AO5222" s="11">
        <v>26740.57</v>
      </c>
      <c r="AP5222" s="9">
        <v>3.4544706714452129</v>
      </c>
    </row>
    <row r="5223" spans="40:42" x14ac:dyDescent="0.3">
      <c r="AN5223">
        <v>5219</v>
      </c>
      <c r="AO5223" s="11">
        <v>37890.69</v>
      </c>
      <c r="AP5223" s="9">
        <v>3.7700063021965597</v>
      </c>
    </row>
    <row r="5224" spans="40:42" x14ac:dyDescent="0.3">
      <c r="AN5224">
        <v>5220</v>
      </c>
      <c r="AO5224" s="11">
        <v>16943.16</v>
      </c>
      <c r="AP5224" s="9">
        <v>2.6955114556230479</v>
      </c>
    </row>
    <row r="5225" spans="40:42" x14ac:dyDescent="0.3">
      <c r="AN5225">
        <v>5221</v>
      </c>
      <c r="AO5225" s="11">
        <v>46871.23</v>
      </c>
      <c r="AP5225" s="9">
        <v>3.7480502203871375</v>
      </c>
    </row>
    <row r="5226" spans="40:42" x14ac:dyDescent="0.3">
      <c r="AN5226">
        <v>5222</v>
      </c>
      <c r="AO5226" s="11">
        <v>27060.5</v>
      </c>
      <c r="AP5226" s="9">
        <v>3.0855541139158551</v>
      </c>
    </row>
    <row r="5227" spans="40:42" x14ac:dyDescent="0.3">
      <c r="AN5227">
        <v>5223</v>
      </c>
      <c r="AO5227" s="11">
        <v>23129.67</v>
      </c>
      <c r="AP5227" s="9">
        <v>3.2724070831788952</v>
      </c>
    </row>
    <row r="5228" spans="40:42" x14ac:dyDescent="0.3">
      <c r="AN5228">
        <v>5224</v>
      </c>
      <c r="AO5228" s="11">
        <v>30133.5</v>
      </c>
      <c r="AP5228" s="9">
        <v>3.9084773011484528</v>
      </c>
    </row>
    <row r="5229" spans="40:42" x14ac:dyDescent="0.3">
      <c r="AN5229">
        <v>5225</v>
      </c>
      <c r="AO5229" s="11">
        <v>24686.16</v>
      </c>
      <c r="AP5229" s="9">
        <v>2.6931674651185156</v>
      </c>
    </row>
    <row r="5230" spans="40:42" x14ac:dyDescent="0.3">
      <c r="AN5230">
        <v>5226</v>
      </c>
      <c r="AO5230" s="11">
        <v>31889.63</v>
      </c>
      <c r="AP5230" s="9">
        <v>3.0236816244611835</v>
      </c>
    </row>
    <row r="5231" spans="40:42" x14ac:dyDescent="0.3">
      <c r="AN5231">
        <v>5227</v>
      </c>
      <c r="AO5231" s="11">
        <v>47323.9</v>
      </c>
      <c r="AP5231" s="9">
        <v>3.3719512526411712</v>
      </c>
    </row>
    <row r="5232" spans="40:42" x14ac:dyDescent="0.3">
      <c r="AN5232">
        <v>5228</v>
      </c>
      <c r="AO5232" s="11">
        <v>33405.919999999998</v>
      </c>
      <c r="AP5232" s="9">
        <v>3.347486408281795</v>
      </c>
    </row>
    <row r="5233" spans="40:42" x14ac:dyDescent="0.3">
      <c r="AN5233">
        <v>5229</v>
      </c>
      <c r="AO5233" s="11">
        <v>14939.49</v>
      </c>
      <c r="AP5233" s="9">
        <v>2.8688691868187512</v>
      </c>
    </row>
    <row r="5234" spans="40:42" x14ac:dyDescent="0.3">
      <c r="AN5234">
        <v>5230</v>
      </c>
      <c r="AO5234" s="11">
        <v>30107.02</v>
      </c>
      <c r="AP5234" s="9">
        <v>3.2520180037455964</v>
      </c>
    </row>
    <row r="5235" spans="40:42" x14ac:dyDescent="0.3">
      <c r="AN5235">
        <v>5231</v>
      </c>
      <c r="AO5235" s="11">
        <v>14749.51</v>
      </c>
      <c r="AP5235" s="9">
        <v>3.3582042378597086</v>
      </c>
    </row>
    <row r="5236" spans="40:42" x14ac:dyDescent="0.3">
      <c r="AN5236">
        <v>5232</v>
      </c>
      <c r="AO5236" s="11">
        <v>15937.42</v>
      </c>
      <c r="AP5236" s="9">
        <v>3.2489507323087472</v>
      </c>
    </row>
    <row r="5237" spans="40:42" x14ac:dyDescent="0.3">
      <c r="AN5237">
        <v>5233</v>
      </c>
      <c r="AO5237" s="11">
        <v>37396.81</v>
      </c>
      <c r="AP5237" s="9">
        <v>4.0435260717495156</v>
      </c>
    </row>
    <row r="5238" spans="40:42" x14ac:dyDescent="0.3">
      <c r="AN5238">
        <v>5234</v>
      </c>
      <c r="AO5238" s="11">
        <v>22420.44</v>
      </c>
      <c r="AP5238" s="9">
        <v>3.2358792202882403</v>
      </c>
    </row>
    <row r="5239" spans="40:42" x14ac:dyDescent="0.3">
      <c r="AN5239">
        <v>5235</v>
      </c>
      <c r="AO5239" s="11">
        <v>32285.43</v>
      </c>
      <c r="AP5239" s="9">
        <v>3.1294446297808998</v>
      </c>
    </row>
    <row r="5240" spans="40:42" x14ac:dyDescent="0.3">
      <c r="AN5240">
        <v>5236</v>
      </c>
      <c r="AO5240" s="11">
        <v>25036.52</v>
      </c>
      <c r="AP5240" s="9">
        <v>3.5740496962419246</v>
      </c>
    </row>
    <row r="5241" spans="40:42" x14ac:dyDescent="0.3">
      <c r="AN5241">
        <v>5237</v>
      </c>
      <c r="AO5241" s="11">
        <v>27785.88</v>
      </c>
      <c r="AP5241" s="9">
        <v>2.7300898273761063</v>
      </c>
    </row>
    <row r="5242" spans="40:42" x14ac:dyDescent="0.3">
      <c r="AN5242">
        <v>5238</v>
      </c>
      <c r="AO5242" s="11">
        <v>23141.200000000001</v>
      </c>
      <c r="AP5242" s="9">
        <v>3.8309630686896075</v>
      </c>
    </row>
    <row r="5243" spans="40:42" x14ac:dyDescent="0.3">
      <c r="AN5243">
        <v>5239</v>
      </c>
      <c r="AO5243" s="11">
        <v>27626.29</v>
      </c>
      <c r="AP5243" s="9">
        <v>3.9192642423723534</v>
      </c>
    </row>
    <row r="5244" spans="40:42" x14ac:dyDescent="0.3">
      <c r="AN5244">
        <v>5240</v>
      </c>
      <c r="AO5244" s="11">
        <v>20012.29</v>
      </c>
      <c r="AP5244" s="9">
        <v>2.9314704055832914</v>
      </c>
    </row>
    <row r="5245" spans="40:42" x14ac:dyDescent="0.3">
      <c r="AN5245">
        <v>5241</v>
      </c>
      <c r="AO5245" s="11">
        <v>27631.27</v>
      </c>
      <c r="AP5245" s="9">
        <v>3.65881014137367</v>
      </c>
    </row>
    <row r="5246" spans="40:42" x14ac:dyDescent="0.3">
      <c r="AN5246">
        <v>5242</v>
      </c>
      <c r="AO5246" s="11">
        <v>23553.55</v>
      </c>
      <c r="AP5246" s="9">
        <v>2.9763466300411237</v>
      </c>
    </row>
    <row r="5247" spans="40:42" x14ac:dyDescent="0.3">
      <c r="AN5247">
        <v>5243</v>
      </c>
      <c r="AO5247" s="11">
        <v>18243.78</v>
      </c>
      <c r="AP5247" s="9">
        <v>2.597118538643691</v>
      </c>
    </row>
    <row r="5248" spans="40:42" x14ac:dyDescent="0.3">
      <c r="AN5248">
        <v>5244</v>
      </c>
      <c r="AO5248" s="11">
        <v>35248</v>
      </c>
      <c r="AP5248" s="9">
        <v>3.2002046692725559</v>
      </c>
    </row>
    <row r="5249" spans="40:42" x14ac:dyDescent="0.3">
      <c r="AN5249">
        <v>5245</v>
      </c>
      <c r="AO5249" s="11">
        <v>23346.2</v>
      </c>
      <c r="AP5249" s="9">
        <v>3.2308729302092147</v>
      </c>
    </row>
    <row r="5250" spans="40:42" x14ac:dyDescent="0.3">
      <c r="AN5250">
        <v>5246</v>
      </c>
      <c r="AO5250" s="11">
        <v>18450.64</v>
      </c>
      <c r="AP5250" s="9">
        <v>3.2424199553105248</v>
      </c>
    </row>
    <row r="5251" spans="40:42" x14ac:dyDescent="0.3">
      <c r="AN5251">
        <v>5247</v>
      </c>
      <c r="AO5251" s="11">
        <v>23859.72</v>
      </c>
      <c r="AP5251" s="9">
        <v>3.0597008656882778</v>
      </c>
    </row>
    <row r="5252" spans="40:42" x14ac:dyDescent="0.3">
      <c r="AN5252">
        <v>5248</v>
      </c>
      <c r="AO5252" s="11">
        <v>21807.47</v>
      </c>
      <c r="AP5252" s="9">
        <v>3.5472876576402741</v>
      </c>
    </row>
    <row r="5253" spans="40:42" x14ac:dyDescent="0.3">
      <c r="AN5253">
        <v>5249</v>
      </c>
      <c r="AO5253" s="11">
        <v>34841.17</v>
      </c>
      <c r="AP5253" s="9">
        <v>3.3243744568706739</v>
      </c>
    </row>
    <row r="5254" spans="40:42" x14ac:dyDescent="0.3">
      <c r="AN5254">
        <v>5250</v>
      </c>
      <c r="AO5254" s="11">
        <v>27836.39</v>
      </c>
      <c r="AP5254" s="9">
        <v>2.9772511872081986</v>
      </c>
    </row>
    <row r="5255" spans="40:42" x14ac:dyDescent="0.3">
      <c r="AN5255">
        <v>5251</v>
      </c>
      <c r="AO5255" s="11">
        <v>19332.150000000001</v>
      </c>
      <c r="AP5255" s="9">
        <v>3.0928708493728632</v>
      </c>
    </row>
    <row r="5256" spans="40:42" x14ac:dyDescent="0.3">
      <c r="AN5256">
        <v>5252</v>
      </c>
      <c r="AO5256" s="11">
        <v>22137.02</v>
      </c>
      <c r="AP5256" s="9">
        <v>3.4643031291125013</v>
      </c>
    </row>
    <row r="5257" spans="40:42" x14ac:dyDescent="0.3">
      <c r="AN5257">
        <v>5253</v>
      </c>
      <c r="AO5257" s="11">
        <v>27213.52</v>
      </c>
      <c r="AP5257" s="9">
        <v>3.1317145827248338</v>
      </c>
    </row>
    <row r="5258" spans="40:42" x14ac:dyDescent="0.3">
      <c r="AN5258">
        <v>5254</v>
      </c>
      <c r="AO5258" s="11">
        <v>26715.55</v>
      </c>
      <c r="AP5258" s="9">
        <v>3.7686943783160038</v>
      </c>
    </row>
    <row r="5259" spans="40:42" x14ac:dyDescent="0.3">
      <c r="AN5259">
        <v>5255</v>
      </c>
      <c r="AO5259" s="11">
        <v>22764.31</v>
      </c>
      <c r="AP5259" s="9">
        <v>3.2521422730922565</v>
      </c>
    </row>
    <row r="5260" spans="40:42" x14ac:dyDescent="0.3">
      <c r="AN5260">
        <v>5256</v>
      </c>
      <c r="AO5260" s="11">
        <v>25238.29</v>
      </c>
      <c r="AP5260" s="9">
        <v>3.19902217377023</v>
      </c>
    </row>
    <row r="5261" spans="40:42" x14ac:dyDescent="0.3">
      <c r="AN5261">
        <v>5257</v>
      </c>
      <c r="AO5261" s="11">
        <v>33115.83</v>
      </c>
      <c r="AP5261" s="9">
        <v>3.3545958459480349</v>
      </c>
    </row>
    <row r="5262" spans="40:42" x14ac:dyDescent="0.3">
      <c r="AN5262">
        <v>5258</v>
      </c>
      <c r="AO5262" s="11">
        <v>17585.95</v>
      </c>
      <c r="AP5262" s="9">
        <v>3.508696274222078</v>
      </c>
    </row>
    <row r="5263" spans="40:42" x14ac:dyDescent="0.3">
      <c r="AN5263">
        <v>5259</v>
      </c>
      <c r="AO5263" s="11">
        <v>49473.19</v>
      </c>
      <c r="AP5263" s="9">
        <v>3.7066609367419128</v>
      </c>
    </row>
    <row r="5264" spans="40:42" x14ac:dyDescent="0.3">
      <c r="AN5264">
        <v>5260</v>
      </c>
      <c r="AO5264" s="11">
        <v>19431.59</v>
      </c>
      <c r="AP5264" s="9">
        <v>3.386926980322424</v>
      </c>
    </row>
    <row r="5265" spans="40:42" x14ac:dyDescent="0.3">
      <c r="AN5265">
        <v>5261</v>
      </c>
      <c r="AO5265" s="11">
        <v>39119.07</v>
      </c>
      <c r="AP5265" s="9">
        <v>4.1537235050296246</v>
      </c>
    </row>
    <row r="5266" spans="40:42" x14ac:dyDescent="0.3">
      <c r="AN5266">
        <v>5262</v>
      </c>
      <c r="AO5266" s="11">
        <v>32240.04</v>
      </c>
      <c r="AP5266" s="9">
        <v>4.374510012844361</v>
      </c>
    </row>
    <row r="5267" spans="40:42" x14ac:dyDescent="0.3">
      <c r="AN5267">
        <v>5263</v>
      </c>
      <c r="AO5267" s="11">
        <v>35537.58</v>
      </c>
      <c r="AP5267" s="9">
        <v>2.9184553354234382</v>
      </c>
    </row>
    <row r="5268" spans="40:42" x14ac:dyDescent="0.3">
      <c r="AN5268">
        <v>5264</v>
      </c>
      <c r="AO5268" s="11">
        <v>23775.39</v>
      </c>
      <c r="AP5268" s="9">
        <v>4.0069545469258294</v>
      </c>
    </row>
    <row r="5269" spans="40:42" x14ac:dyDescent="0.3">
      <c r="AN5269">
        <v>5265</v>
      </c>
      <c r="AO5269" s="11">
        <v>12931.24</v>
      </c>
      <c r="AP5269" s="9">
        <v>2.8075713238481361</v>
      </c>
    </row>
    <row r="5270" spans="40:42" x14ac:dyDescent="0.3">
      <c r="AN5270">
        <v>5266</v>
      </c>
      <c r="AO5270" s="11">
        <v>19798.05</v>
      </c>
      <c r="AP5270" s="9">
        <v>3.5359036985124588</v>
      </c>
    </row>
    <row r="5271" spans="40:42" x14ac:dyDescent="0.3">
      <c r="AN5271">
        <v>5267</v>
      </c>
      <c r="AO5271" s="11">
        <v>25901.26</v>
      </c>
      <c r="AP5271" s="9">
        <v>2.8814950946300102</v>
      </c>
    </row>
    <row r="5272" spans="40:42" x14ac:dyDescent="0.3">
      <c r="AN5272">
        <v>5268</v>
      </c>
      <c r="AO5272" s="11">
        <v>24887.68</v>
      </c>
      <c r="AP5272" s="9">
        <v>3.3238442636562984</v>
      </c>
    </row>
    <row r="5273" spans="40:42" x14ac:dyDescent="0.3">
      <c r="AN5273">
        <v>5269</v>
      </c>
      <c r="AO5273" s="11">
        <v>27677.4</v>
      </c>
      <c r="AP5273" s="9">
        <v>3.3190751326774199</v>
      </c>
    </row>
    <row r="5274" spans="40:42" x14ac:dyDescent="0.3">
      <c r="AN5274">
        <v>5270</v>
      </c>
      <c r="AO5274" s="11">
        <v>19464.77</v>
      </c>
      <c r="AP5274" s="9">
        <v>2.8466602937831711</v>
      </c>
    </row>
    <row r="5275" spans="40:42" x14ac:dyDescent="0.3">
      <c r="AN5275">
        <v>5271</v>
      </c>
      <c r="AO5275" s="11">
        <v>24441.62</v>
      </c>
      <c r="AP5275" s="9">
        <v>3.3857354556197703</v>
      </c>
    </row>
    <row r="5276" spans="40:42" x14ac:dyDescent="0.3">
      <c r="AN5276">
        <v>5272</v>
      </c>
      <c r="AO5276" s="11">
        <v>15430.54</v>
      </c>
      <c r="AP5276" s="9">
        <v>3.1821125016816163</v>
      </c>
    </row>
    <row r="5277" spans="40:42" x14ac:dyDescent="0.3">
      <c r="AN5277">
        <v>5273</v>
      </c>
      <c r="AO5277" s="11">
        <v>38886.54</v>
      </c>
      <c r="AP5277" s="9">
        <v>3.7370044952595669</v>
      </c>
    </row>
    <row r="5278" spans="40:42" x14ac:dyDescent="0.3">
      <c r="AN5278">
        <v>5274</v>
      </c>
      <c r="AO5278" s="11">
        <v>19382.810000000001</v>
      </c>
      <c r="AP5278" s="9">
        <v>3.123991610235703</v>
      </c>
    </row>
    <row r="5279" spans="40:42" x14ac:dyDescent="0.3">
      <c r="AN5279">
        <v>5275</v>
      </c>
      <c r="AO5279" s="11">
        <v>22572.91</v>
      </c>
      <c r="AP5279" s="9">
        <v>3.3581259687909104</v>
      </c>
    </row>
    <row r="5280" spans="40:42" x14ac:dyDescent="0.3">
      <c r="AN5280">
        <v>5276</v>
      </c>
      <c r="AO5280" s="11">
        <v>22132.17</v>
      </c>
      <c r="AP5280" s="9">
        <v>3.486208047257044</v>
      </c>
    </row>
    <row r="5281" spans="40:42" x14ac:dyDescent="0.3">
      <c r="AN5281">
        <v>5277</v>
      </c>
      <c r="AO5281" s="11">
        <v>30497.53</v>
      </c>
      <c r="AP5281" s="9">
        <v>3.6540006081059575</v>
      </c>
    </row>
    <row r="5282" spans="40:42" x14ac:dyDescent="0.3">
      <c r="AN5282">
        <v>5278</v>
      </c>
      <c r="AO5282" s="11">
        <v>33575.050000000003</v>
      </c>
      <c r="AP5282" s="9">
        <v>3.403051561596083</v>
      </c>
    </row>
    <row r="5283" spans="40:42" x14ac:dyDescent="0.3">
      <c r="AN5283">
        <v>5279</v>
      </c>
      <c r="AO5283" s="11">
        <v>36975.279999999999</v>
      </c>
      <c r="AP5283" s="9">
        <v>3.0331051977947334</v>
      </c>
    </row>
    <row r="5284" spans="40:42" x14ac:dyDescent="0.3">
      <c r="AN5284">
        <v>5280</v>
      </c>
      <c r="AO5284" s="11">
        <v>28756.880000000001</v>
      </c>
      <c r="AP5284" s="9">
        <v>3.7463691989098371</v>
      </c>
    </row>
    <row r="5285" spans="40:42" x14ac:dyDescent="0.3">
      <c r="AN5285">
        <v>5281</v>
      </c>
      <c r="AO5285" s="11">
        <v>28738.11</v>
      </c>
      <c r="AP5285" s="9">
        <v>3.663163061655752</v>
      </c>
    </row>
    <row r="5286" spans="40:42" x14ac:dyDescent="0.3">
      <c r="AN5286">
        <v>5282</v>
      </c>
      <c r="AO5286" s="11">
        <v>18592.34</v>
      </c>
      <c r="AP5286" s="9">
        <v>2.9736236894974057</v>
      </c>
    </row>
    <row r="5287" spans="40:42" x14ac:dyDescent="0.3">
      <c r="AN5287">
        <v>5283</v>
      </c>
      <c r="AO5287" s="11">
        <v>21726.65</v>
      </c>
      <c r="AP5287" s="9">
        <v>2.566499013264596</v>
      </c>
    </row>
    <row r="5288" spans="40:42" x14ac:dyDescent="0.3">
      <c r="AN5288">
        <v>5284</v>
      </c>
      <c r="AO5288" s="11">
        <v>21646.51</v>
      </c>
      <c r="AP5288" s="9">
        <v>3.5626502654942374</v>
      </c>
    </row>
    <row r="5289" spans="40:42" x14ac:dyDescent="0.3">
      <c r="AN5289">
        <v>5285</v>
      </c>
      <c r="AO5289" s="11">
        <v>27938.99</v>
      </c>
      <c r="AP5289" s="9">
        <v>3.3145818540252074</v>
      </c>
    </row>
    <row r="5290" spans="40:42" x14ac:dyDescent="0.3">
      <c r="AN5290">
        <v>5286</v>
      </c>
      <c r="AO5290" s="11">
        <v>24057.919999999998</v>
      </c>
      <c r="AP5290" s="9">
        <v>2.6467103266501528</v>
      </c>
    </row>
    <row r="5291" spans="40:42" x14ac:dyDescent="0.3">
      <c r="AN5291">
        <v>5287</v>
      </c>
      <c r="AO5291" s="11">
        <v>33998.339999999997</v>
      </c>
      <c r="AP5291" s="9">
        <v>3.9616584901815002</v>
      </c>
    </row>
    <row r="5292" spans="40:42" x14ac:dyDescent="0.3">
      <c r="AN5292">
        <v>5288</v>
      </c>
      <c r="AO5292" s="11">
        <v>23290.52</v>
      </c>
      <c r="AP5292" s="9">
        <v>3.2467585794916434</v>
      </c>
    </row>
    <row r="5293" spans="40:42" x14ac:dyDescent="0.3">
      <c r="AN5293">
        <v>5289</v>
      </c>
      <c r="AO5293" s="11">
        <v>24471.9</v>
      </c>
      <c r="AP5293" s="9">
        <v>3.5720607245272973</v>
      </c>
    </row>
    <row r="5294" spans="40:42" x14ac:dyDescent="0.3">
      <c r="AN5294">
        <v>5290</v>
      </c>
      <c r="AO5294" s="11">
        <v>32809.730000000003</v>
      </c>
      <c r="AP5294" s="9">
        <v>3.7663171255173227</v>
      </c>
    </row>
    <row r="5295" spans="40:42" x14ac:dyDescent="0.3">
      <c r="AN5295">
        <v>5291</v>
      </c>
      <c r="AO5295" s="11">
        <v>33181.06</v>
      </c>
      <c r="AP5295" s="9">
        <v>3.3997129720067032</v>
      </c>
    </row>
    <row r="5296" spans="40:42" x14ac:dyDescent="0.3">
      <c r="AN5296">
        <v>5292</v>
      </c>
      <c r="AO5296" s="11">
        <v>29156.22</v>
      </c>
      <c r="AP5296" s="9">
        <v>3.4602370601344008</v>
      </c>
    </row>
    <row r="5297" spans="40:42" x14ac:dyDescent="0.3">
      <c r="AN5297">
        <v>5293</v>
      </c>
      <c r="AO5297" s="11">
        <v>32385.91</v>
      </c>
      <c r="AP5297" s="9">
        <v>3.3847679708537255</v>
      </c>
    </row>
    <row r="5298" spans="40:42" x14ac:dyDescent="0.3">
      <c r="AN5298">
        <v>5294</v>
      </c>
      <c r="AO5298" s="11">
        <v>24817.66</v>
      </c>
      <c r="AP5298" s="9">
        <v>3.5510581479435372</v>
      </c>
    </row>
    <row r="5299" spans="40:42" x14ac:dyDescent="0.3">
      <c r="AN5299">
        <v>5295</v>
      </c>
      <c r="AO5299" s="11">
        <v>25458.49</v>
      </c>
      <c r="AP5299" s="9">
        <v>3.4460714906572414</v>
      </c>
    </row>
    <row r="5300" spans="40:42" x14ac:dyDescent="0.3">
      <c r="AN5300">
        <v>5296</v>
      </c>
      <c r="AO5300" s="11">
        <v>30819.33</v>
      </c>
      <c r="AP5300" s="9">
        <v>4.3403951660987259</v>
      </c>
    </row>
    <row r="5301" spans="40:42" x14ac:dyDescent="0.3">
      <c r="AN5301">
        <v>5297</v>
      </c>
      <c r="AO5301" s="11">
        <v>25053.05</v>
      </c>
      <c r="AP5301" s="9">
        <v>2.9323026953852689</v>
      </c>
    </row>
    <row r="5302" spans="40:42" x14ac:dyDescent="0.3">
      <c r="AN5302">
        <v>5298</v>
      </c>
      <c r="AO5302" s="11">
        <v>30596.959999999999</v>
      </c>
      <c r="AP5302" s="9">
        <v>3.1471494940621128</v>
      </c>
    </row>
    <row r="5303" spans="40:42" x14ac:dyDescent="0.3">
      <c r="AN5303">
        <v>5299</v>
      </c>
      <c r="AO5303" s="11">
        <v>29578.05</v>
      </c>
      <c r="AP5303" s="9">
        <v>3.3429222325091414</v>
      </c>
    </row>
    <row r="5304" spans="40:42" x14ac:dyDescent="0.3">
      <c r="AN5304">
        <v>5300</v>
      </c>
      <c r="AO5304" s="11">
        <v>22204.080000000002</v>
      </c>
      <c r="AP5304" s="9">
        <v>2.9760515161662506</v>
      </c>
    </row>
    <row r="5305" spans="40:42" x14ac:dyDescent="0.3">
      <c r="AN5305">
        <v>5301</v>
      </c>
      <c r="AO5305" s="11">
        <v>30712.11</v>
      </c>
      <c r="AP5305" s="9">
        <v>3.1698948499792965</v>
      </c>
    </row>
    <row r="5306" spans="40:42" x14ac:dyDescent="0.3">
      <c r="AN5306">
        <v>5302</v>
      </c>
      <c r="AO5306" s="11">
        <v>25160.94</v>
      </c>
      <c r="AP5306" s="9">
        <v>3.1810754583472032</v>
      </c>
    </row>
    <row r="5307" spans="40:42" x14ac:dyDescent="0.3">
      <c r="AN5307">
        <v>5303</v>
      </c>
      <c r="AO5307" s="11">
        <v>21937.35</v>
      </c>
      <c r="AP5307" s="9">
        <v>3.0942273244690628</v>
      </c>
    </row>
    <row r="5308" spans="40:42" x14ac:dyDescent="0.3">
      <c r="AN5308">
        <v>5304</v>
      </c>
      <c r="AO5308" s="11">
        <v>28088.68</v>
      </c>
      <c r="AP5308" s="9">
        <v>3.2714754633092085</v>
      </c>
    </row>
    <row r="5309" spans="40:42" x14ac:dyDescent="0.3">
      <c r="AN5309">
        <v>5305</v>
      </c>
      <c r="AO5309" s="11">
        <v>23626.240000000002</v>
      </c>
      <c r="AP5309" s="9">
        <v>3.4022663131250295</v>
      </c>
    </row>
    <row r="5310" spans="40:42" x14ac:dyDescent="0.3">
      <c r="AN5310">
        <v>5306</v>
      </c>
      <c r="AO5310" s="11">
        <v>20471.2</v>
      </c>
      <c r="AP5310" s="9">
        <v>2.9829869339741202</v>
      </c>
    </row>
    <row r="5311" spans="40:42" x14ac:dyDescent="0.3">
      <c r="AN5311">
        <v>5307</v>
      </c>
      <c r="AO5311" s="11">
        <v>28688.76</v>
      </c>
      <c r="AP5311" s="9">
        <v>3.630255934647503</v>
      </c>
    </row>
    <row r="5312" spans="40:42" x14ac:dyDescent="0.3">
      <c r="AN5312">
        <v>5308</v>
      </c>
      <c r="AO5312" s="11">
        <v>16885.21</v>
      </c>
      <c r="AP5312" s="9">
        <v>3.0085470120251117</v>
      </c>
    </row>
    <row r="5313" spans="40:42" x14ac:dyDescent="0.3">
      <c r="AN5313">
        <v>5309</v>
      </c>
      <c r="AO5313" s="11">
        <v>44966.45</v>
      </c>
      <c r="AP5313" s="9">
        <v>4.7181355092408719</v>
      </c>
    </row>
    <row r="5314" spans="40:42" x14ac:dyDescent="0.3">
      <c r="AN5314">
        <v>5310</v>
      </c>
      <c r="AO5314" s="11">
        <v>22397.02</v>
      </c>
      <c r="AP5314" s="9">
        <v>3.6368881404440381</v>
      </c>
    </row>
    <row r="5315" spans="40:42" x14ac:dyDescent="0.3">
      <c r="AN5315">
        <v>5311</v>
      </c>
      <c r="AO5315" s="11">
        <v>30323.48</v>
      </c>
      <c r="AP5315" s="9">
        <v>3.3249010863395534</v>
      </c>
    </row>
    <row r="5316" spans="40:42" x14ac:dyDescent="0.3">
      <c r="AN5316">
        <v>5312</v>
      </c>
      <c r="AO5316" s="11">
        <v>24442.12</v>
      </c>
      <c r="AP5316" s="9">
        <v>3.9302992880900116</v>
      </c>
    </row>
    <row r="5317" spans="40:42" x14ac:dyDescent="0.3">
      <c r="AN5317">
        <v>5313</v>
      </c>
      <c r="AO5317" s="11">
        <v>26818.04</v>
      </c>
      <c r="AP5317" s="9">
        <v>3.2098374325932419</v>
      </c>
    </row>
    <row r="5318" spans="40:42" x14ac:dyDescent="0.3">
      <c r="AN5318">
        <v>5314</v>
      </c>
      <c r="AO5318" s="11">
        <v>23516.080000000002</v>
      </c>
      <c r="AP5318" s="9">
        <v>3.2906635628271328</v>
      </c>
    </row>
    <row r="5319" spans="40:42" x14ac:dyDescent="0.3">
      <c r="AN5319">
        <v>5315</v>
      </c>
      <c r="AO5319" s="11">
        <v>18770.259999999998</v>
      </c>
      <c r="AP5319" s="9">
        <v>2.7538312819007182</v>
      </c>
    </row>
    <row r="5320" spans="40:42" x14ac:dyDescent="0.3">
      <c r="AN5320">
        <v>5316</v>
      </c>
      <c r="AO5320" s="11">
        <v>24555.45</v>
      </c>
      <c r="AP5320" s="9">
        <v>3.1885860648006408</v>
      </c>
    </row>
    <row r="5321" spans="40:42" x14ac:dyDescent="0.3">
      <c r="AN5321">
        <v>5317</v>
      </c>
      <c r="AO5321" s="11">
        <v>24314.080000000002</v>
      </c>
      <c r="AP5321" s="9">
        <v>3.0385796065244204</v>
      </c>
    </row>
    <row r="5322" spans="40:42" x14ac:dyDescent="0.3">
      <c r="AN5322">
        <v>5318</v>
      </c>
      <c r="AO5322" s="11">
        <v>26232.44</v>
      </c>
      <c r="AP5322" s="9">
        <v>3.5494344881993265</v>
      </c>
    </row>
    <row r="5323" spans="40:42" x14ac:dyDescent="0.3">
      <c r="AN5323">
        <v>5319</v>
      </c>
      <c r="AO5323" s="11">
        <v>17931.05</v>
      </c>
      <c r="AP5323" s="9">
        <v>3.8492492545508421</v>
      </c>
    </row>
    <row r="5324" spans="40:42" x14ac:dyDescent="0.3">
      <c r="AN5324">
        <v>5320</v>
      </c>
      <c r="AO5324" s="11">
        <v>20437.3</v>
      </c>
      <c r="AP5324" s="9">
        <v>2.9097057178825416</v>
      </c>
    </row>
    <row r="5325" spans="40:42" x14ac:dyDescent="0.3">
      <c r="AN5325">
        <v>5321</v>
      </c>
      <c r="AO5325" s="11">
        <v>20430.099999999999</v>
      </c>
      <c r="AP5325" s="9">
        <v>3.3542052683703356</v>
      </c>
    </row>
    <row r="5326" spans="40:42" x14ac:dyDescent="0.3">
      <c r="AN5326">
        <v>5322</v>
      </c>
      <c r="AO5326" s="11">
        <v>29062.78</v>
      </c>
      <c r="AP5326" s="9">
        <v>3.1922472174248582</v>
      </c>
    </row>
    <row r="5327" spans="40:42" x14ac:dyDescent="0.3">
      <c r="AN5327">
        <v>5323</v>
      </c>
      <c r="AO5327" s="11">
        <v>48244.03</v>
      </c>
      <c r="AP5327" s="9">
        <v>4.0517214732369391</v>
      </c>
    </row>
    <row r="5328" spans="40:42" x14ac:dyDescent="0.3">
      <c r="AN5328">
        <v>5324</v>
      </c>
      <c r="AO5328" s="11">
        <v>27542.7</v>
      </c>
      <c r="AP5328" s="9">
        <v>3.5726190040081529</v>
      </c>
    </row>
    <row r="5329" spans="40:42" x14ac:dyDescent="0.3">
      <c r="AN5329">
        <v>5325</v>
      </c>
      <c r="AO5329" s="11">
        <v>25300.57</v>
      </c>
      <c r="AP5329" s="9">
        <v>3.9949136656385669</v>
      </c>
    </row>
    <row r="5330" spans="40:42" x14ac:dyDescent="0.3">
      <c r="AN5330">
        <v>5326</v>
      </c>
      <c r="AO5330" s="11">
        <v>40110.410000000003</v>
      </c>
      <c r="AP5330" s="9">
        <v>4.1384277662620024</v>
      </c>
    </row>
    <row r="5331" spans="40:42" x14ac:dyDescent="0.3">
      <c r="AN5331">
        <v>5327</v>
      </c>
      <c r="AO5331" s="11">
        <v>43951.09</v>
      </c>
      <c r="AP5331" s="9">
        <v>3.9576230072913408</v>
      </c>
    </row>
    <row r="5332" spans="40:42" x14ac:dyDescent="0.3">
      <c r="AN5332">
        <v>5328</v>
      </c>
      <c r="AO5332" s="11">
        <v>27314.42</v>
      </c>
      <c r="AP5332" s="9">
        <v>3.0469896337962759</v>
      </c>
    </row>
    <row r="5333" spans="40:42" x14ac:dyDescent="0.3">
      <c r="AN5333">
        <v>5329</v>
      </c>
      <c r="AO5333" s="11">
        <v>20813.12</v>
      </c>
      <c r="AP5333" s="9">
        <v>3.0178794643067675</v>
      </c>
    </row>
    <row r="5334" spans="40:42" x14ac:dyDescent="0.3">
      <c r="AN5334">
        <v>5330</v>
      </c>
      <c r="AO5334" s="11">
        <v>20585.91</v>
      </c>
      <c r="AP5334" s="9">
        <v>3.1069753923856678</v>
      </c>
    </row>
    <row r="5335" spans="40:42" x14ac:dyDescent="0.3">
      <c r="AN5335">
        <v>5331</v>
      </c>
      <c r="AO5335" s="11">
        <v>21900.81</v>
      </c>
      <c r="AP5335" s="9">
        <v>3.7221250273811348</v>
      </c>
    </row>
    <row r="5336" spans="40:42" x14ac:dyDescent="0.3">
      <c r="AN5336">
        <v>5332</v>
      </c>
      <c r="AO5336" s="11">
        <v>30834.78</v>
      </c>
      <c r="AP5336" s="9">
        <v>3.0395946854476485</v>
      </c>
    </row>
    <row r="5337" spans="40:42" x14ac:dyDescent="0.3">
      <c r="AN5337">
        <v>5333</v>
      </c>
      <c r="AO5337" s="11">
        <v>29974.57</v>
      </c>
      <c r="AP5337" s="9">
        <v>3.4854533698591328</v>
      </c>
    </row>
    <row r="5338" spans="40:42" x14ac:dyDescent="0.3">
      <c r="AN5338">
        <v>5334</v>
      </c>
      <c r="AO5338" s="11">
        <v>34781.839999999997</v>
      </c>
      <c r="AP5338" s="9">
        <v>4.7184235342904817</v>
      </c>
    </row>
    <row r="5339" spans="40:42" x14ac:dyDescent="0.3">
      <c r="AN5339">
        <v>5335</v>
      </c>
      <c r="AO5339" s="11">
        <v>28016.95</v>
      </c>
      <c r="AP5339" s="9">
        <v>3.4040559112979945</v>
      </c>
    </row>
    <row r="5340" spans="40:42" x14ac:dyDescent="0.3">
      <c r="AN5340">
        <v>5336</v>
      </c>
      <c r="AO5340" s="11">
        <v>26747.95</v>
      </c>
      <c r="AP5340" s="9">
        <v>2.9303938223760428</v>
      </c>
    </row>
    <row r="5341" spans="40:42" x14ac:dyDescent="0.3">
      <c r="AN5341">
        <v>5337</v>
      </c>
      <c r="AO5341" s="11">
        <v>25829.75</v>
      </c>
      <c r="AP5341" s="9">
        <v>3.0816275156528472</v>
      </c>
    </row>
    <row r="5342" spans="40:42" x14ac:dyDescent="0.3">
      <c r="AN5342">
        <v>5338</v>
      </c>
      <c r="AO5342" s="11">
        <v>26879.94</v>
      </c>
      <c r="AP5342" s="9">
        <v>3.0560571681014017</v>
      </c>
    </row>
    <row r="5343" spans="40:42" x14ac:dyDescent="0.3">
      <c r="AN5343">
        <v>5339</v>
      </c>
      <c r="AO5343" s="11">
        <v>22524.68</v>
      </c>
      <c r="AP5343" s="9">
        <v>3.5753050421678303</v>
      </c>
    </row>
    <row r="5344" spans="40:42" x14ac:dyDescent="0.3">
      <c r="AN5344">
        <v>5340</v>
      </c>
      <c r="AO5344" s="11">
        <v>30420.9</v>
      </c>
      <c r="AP5344" s="9">
        <v>3.1035603650692738</v>
      </c>
    </row>
    <row r="5345" spans="40:42" x14ac:dyDescent="0.3">
      <c r="AN5345">
        <v>5341</v>
      </c>
      <c r="AO5345" s="11">
        <v>42627.49</v>
      </c>
      <c r="AP5345" s="9">
        <v>4.1741959228187984</v>
      </c>
    </row>
    <row r="5346" spans="40:42" x14ac:dyDescent="0.3">
      <c r="AN5346">
        <v>5342</v>
      </c>
      <c r="AO5346" s="11">
        <v>32913.71</v>
      </c>
      <c r="AP5346" s="9">
        <v>3.6202995570096168</v>
      </c>
    </row>
    <row r="5347" spans="40:42" x14ac:dyDescent="0.3">
      <c r="AN5347">
        <v>5343</v>
      </c>
      <c r="AO5347" s="11">
        <v>21898.82</v>
      </c>
      <c r="AP5347" s="9">
        <v>3.4173629768453475</v>
      </c>
    </row>
    <row r="5348" spans="40:42" x14ac:dyDescent="0.3">
      <c r="AN5348">
        <v>5344</v>
      </c>
      <c r="AO5348" s="11">
        <v>20827.82</v>
      </c>
      <c r="AP5348" s="9">
        <v>2.9965287080236633</v>
      </c>
    </row>
    <row r="5349" spans="40:42" x14ac:dyDescent="0.3">
      <c r="AN5349">
        <v>5345</v>
      </c>
      <c r="AO5349" s="11">
        <v>25689.26</v>
      </c>
      <c r="AP5349" s="9">
        <v>3.3661698422411463</v>
      </c>
    </row>
    <row r="5350" spans="40:42" x14ac:dyDescent="0.3">
      <c r="AN5350">
        <v>5346</v>
      </c>
      <c r="AO5350" s="11">
        <v>21844.34</v>
      </c>
      <c r="AP5350" s="9">
        <v>2.7953267739285952</v>
      </c>
    </row>
    <row r="5351" spans="40:42" x14ac:dyDescent="0.3">
      <c r="AN5351">
        <v>5347</v>
      </c>
      <c r="AO5351" s="11">
        <v>27247.22</v>
      </c>
      <c r="AP5351" s="9">
        <v>3.4696605954114053</v>
      </c>
    </row>
    <row r="5352" spans="40:42" x14ac:dyDescent="0.3">
      <c r="AN5352">
        <v>5348</v>
      </c>
      <c r="AO5352" s="11">
        <v>21703.03</v>
      </c>
      <c r="AP5352" s="9">
        <v>2.9709041991230061</v>
      </c>
    </row>
    <row r="5353" spans="40:42" x14ac:dyDescent="0.3">
      <c r="AN5353">
        <v>5349</v>
      </c>
      <c r="AO5353" s="11">
        <v>20760.29</v>
      </c>
      <c r="AP5353" s="9">
        <v>3.1518224585496406</v>
      </c>
    </row>
    <row r="5354" spans="40:42" x14ac:dyDescent="0.3">
      <c r="AN5354">
        <v>5350</v>
      </c>
      <c r="AO5354" s="11">
        <v>27625.47</v>
      </c>
      <c r="AP5354" s="9">
        <v>2.7369179353682025</v>
      </c>
    </row>
    <row r="5355" spans="40:42" x14ac:dyDescent="0.3">
      <c r="AN5355">
        <v>5351</v>
      </c>
      <c r="AO5355" s="11">
        <v>24753.67</v>
      </c>
      <c r="AP5355" s="9">
        <v>3.1417281797192116</v>
      </c>
    </row>
    <row r="5356" spans="40:42" x14ac:dyDescent="0.3">
      <c r="AN5356">
        <v>5352</v>
      </c>
      <c r="AO5356" s="11">
        <v>24250.959999999999</v>
      </c>
      <c r="AP5356" s="9">
        <v>3.3481001547562688</v>
      </c>
    </row>
    <row r="5357" spans="40:42" x14ac:dyDescent="0.3">
      <c r="AN5357">
        <v>5353</v>
      </c>
      <c r="AO5357" s="11">
        <v>36471.9</v>
      </c>
      <c r="AP5357" s="9">
        <v>3.549312115221908</v>
      </c>
    </row>
    <row r="5358" spans="40:42" x14ac:dyDescent="0.3">
      <c r="AN5358">
        <v>5354</v>
      </c>
      <c r="AO5358" s="11">
        <v>24645.41</v>
      </c>
      <c r="AP5358" s="9">
        <v>3.4098839170323672</v>
      </c>
    </row>
    <row r="5359" spans="40:42" x14ac:dyDescent="0.3">
      <c r="AN5359">
        <v>5355</v>
      </c>
      <c r="AO5359" s="11">
        <v>30960.05</v>
      </c>
      <c r="AP5359" s="9">
        <v>3.8676896278553108</v>
      </c>
    </row>
    <row r="5360" spans="40:42" x14ac:dyDescent="0.3">
      <c r="AN5360">
        <v>5356</v>
      </c>
      <c r="AO5360" s="11">
        <v>19740.52</v>
      </c>
      <c r="AP5360" s="9">
        <v>3.190998367273576</v>
      </c>
    </row>
    <row r="5361" spans="40:42" x14ac:dyDescent="0.3">
      <c r="AN5361">
        <v>5357</v>
      </c>
      <c r="AO5361" s="11">
        <v>22547.01</v>
      </c>
      <c r="AP5361" s="9">
        <v>3.0744013831612449</v>
      </c>
    </row>
    <row r="5362" spans="40:42" x14ac:dyDescent="0.3">
      <c r="AN5362">
        <v>5358</v>
      </c>
      <c r="AO5362" s="11">
        <v>28671.67</v>
      </c>
      <c r="AP5362" s="9">
        <v>3.321798084826034</v>
      </c>
    </row>
    <row r="5363" spans="40:42" x14ac:dyDescent="0.3">
      <c r="AN5363">
        <v>5359</v>
      </c>
      <c r="AO5363" s="11">
        <v>29057.08</v>
      </c>
      <c r="AP5363" s="9">
        <v>3.4514050328569041</v>
      </c>
    </row>
    <row r="5364" spans="40:42" x14ac:dyDescent="0.3">
      <c r="AN5364">
        <v>5360</v>
      </c>
      <c r="AO5364" s="11">
        <v>19072.88</v>
      </c>
      <c r="AP5364" s="9">
        <v>3.4698067958236587</v>
      </c>
    </row>
    <row r="5365" spans="40:42" x14ac:dyDescent="0.3">
      <c r="AN5365">
        <v>5361</v>
      </c>
      <c r="AO5365" s="11">
        <v>33687.440000000002</v>
      </c>
      <c r="AP5365" s="9">
        <v>3.9274928078710807</v>
      </c>
    </row>
    <row r="5366" spans="40:42" x14ac:dyDescent="0.3">
      <c r="AN5366">
        <v>5362</v>
      </c>
      <c r="AO5366" s="11">
        <v>25489.9</v>
      </c>
      <c r="AP5366" s="9">
        <v>3.2682133484311682</v>
      </c>
    </row>
    <row r="5367" spans="40:42" x14ac:dyDescent="0.3">
      <c r="AN5367">
        <v>5363</v>
      </c>
      <c r="AO5367" s="11">
        <v>32103.919999999998</v>
      </c>
      <c r="AP5367" s="9">
        <v>3.7087825744503609</v>
      </c>
    </row>
    <row r="5368" spans="40:42" x14ac:dyDescent="0.3">
      <c r="AN5368">
        <v>5364</v>
      </c>
      <c r="AO5368" s="11">
        <v>25813.31</v>
      </c>
      <c r="AP5368" s="9">
        <v>3.4459353629853644</v>
      </c>
    </row>
    <row r="5369" spans="40:42" x14ac:dyDescent="0.3">
      <c r="AN5369">
        <v>5365</v>
      </c>
      <c r="AO5369" s="11">
        <v>21961.55</v>
      </c>
      <c r="AP5369" s="9">
        <v>3.3469963520424746</v>
      </c>
    </row>
    <row r="5370" spans="40:42" x14ac:dyDescent="0.3">
      <c r="AN5370">
        <v>5366</v>
      </c>
      <c r="AO5370" s="11">
        <v>13946.08</v>
      </c>
      <c r="AP5370" s="9">
        <v>3.5593322144033723</v>
      </c>
    </row>
    <row r="5371" spans="40:42" x14ac:dyDescent="0.3">
      <c r="AN5371">
        <v>5367</v>
      </c>
      <c r="AO5371" s="11">
        <v>27467.95</v>
      </c>
      <c r="AP5371" s="9">
        <v>3.2402862529038194</v>
      </c>
    </row>
    <row r="5372" spans="40:42" x14ac:dyDescent="0.3">
      <c r="AN5372">
        <v>5368</v>
      </c>
      <c r="AO5372" s="11">
        <v>25226.33</v>
      </c>
      <c r="AP5372" s="9">
        <v>3.3677560033145411</v>
      </c>
    </row>
    <row r="5373" spans="40:42" x14ac:dyDescent="0.3">
      <c r="AN5373">
        <v>5369</v>
      </c>
      <c r="AO5373" s="11">
        <v>16629.75</v>
      </c>
      <c r="AP5373" s="9">
        <v>2.937678252162466</v>
      </c>
    </row>
    <row r="5374" spans="40:42" x14ac:dyDescent="0.3">
      <c r="AN5374">
        <v>5370</v>
      </c>
      <c r="AO5374" s="11">
        <v>25449.42</v>
      </c>
      <c r="AP5374" s="9">
        <v>2.9850195673036914</v>
      </c>
    </row>
    <row r="5375" spans="40:42" x14ac:dyDescent="0.3">
      <c r="AN5375">
        <v>5371</v>
      </c>
      <c r="AO5375" s="11">
        <v>36614.870000000003</v>
      </c>
      <c r="AP5375" s="9">
        <v>3.4090860535069578</v>
      </c>
    </row>
    <row r="5376" spans="40:42" x14ac:dyDescent="0.3">
      <c r="AN5376">
        <v>5372</v>
      </c>
      <c r="AO5376" s="11">
        <v>21002.639999999999</v>
      </c>
      <c r="AP5376" s="9">
        <v>3.1151152552555592</v>
      </c>
    </row>
    <row r="5377" spans="40:42" x14ac:dyDescent="0.3">
      <c r="AN5377">
        <v>5373</v>
      </c>
      <c r="AO5377" s="11">
        <v>19480.78</v>
      </c>
      <c r="AP5377" s="9">
        <v>3.3992864424538944</v>
      </c>
    </row>
    <row r="5378" spans="40:42" x14ac:dyDescent="0.3">
      <c r="AN5378">
        <v>5374</v>
      </c>
      <c r="AO5378" s="11">
        <v>29279.38</v>
      </c>
      <c r="AP5378" s="9">
        <v>3.2864900140090323</v>
      </c>
    </row>
    <row r="5379" spans="40:42" x14ac:dyDescent="0.3">
      <c r="AN5379">
        <v>5375</v>
      </c>
      <c r="AO5379" s="11">
        <v>16578.05</v>
      </c>
      <c r="AP5379" s="9">
        <v>3.5166385120547297</v>
      </c>
    </row>
    <row r="5380" spans="40:42" x14ac:dyDescent="0.3">
      <c r="AN5380">
        <v>5376</v>
      </c>
      <c r="AO5380" s="11">
        <v>42718.09</v>
      </c>
      <c r="AP5380" s="9">
        <v>3.5885771830873705</v>
      </c>
    </row>
    <row r="5381" spans="40:42" x14ac:dyDescent="0.3">
      <c r="AN5381">
        <v>5377</v>
      </c>
      <c r="AO5381" s="11">
        <v>20714.099999999999</v>
      </c>
      <c r="AP5381" s="9">
        <v>2.9339469694007465</v>
      </c>
    </row>
    <row r="5382" spans="40:42" x14ac:dyDescent="0.3">
      <c r="AN5382">
        <v>5378</v>
      </c>
      <c r="AO5382" s="11">
        <v>23539.19</v>
      </c>
      <c r="AP5382" s="9">
        <v>3.1750926431342394</v>
      </c>
    </row>
    <row r="5383" spans="40:42" x14ac:dyDescent="0.3">
      <c r="AN5383">
        <v>5379</v>
      </c>
      <c r="AO5383" s="11">
        <v>20760.689999999999</v>
      </c>
      <c r="AP5383" s="9">
        <v>3.223304552546193</v>
      </c>
    </row>
    <row r="5384" spans="40:42" x14ac:dyDescent="0.3">
      <c r="AN5384">
        <v>5380</v>
      </c>
      <c r="AO5384" s="11">
        <v>28859.360000000001</v>
      </c>
      <c r="AP5384" s="9">
        <v>3.3120438451000118</v>
      </c>
    </row>
    <row r="5385" spans="40:42" x14ac:dyDescent="0.3">
      <c r="AN5385">
        <v>5381</v>
      </c>
      <c r="AO5385" s="11">
        <v>17395.97</v>
      </c>
      <c r="AP5385" s="9">
        <v>3.4447019015089513</v>
      </c>
    </row>
    <row r="5386" spans="40:42" x14ac:dyDescent="0.3">
      <c r="AN5386">
        <v>5382</v>
      </c>
      <c r="AO5386" s="11">
        <v>24240.38</v>
      </c>
      <c r="AP5386" s="9">
        <v>3.8356037042132147</v>
      </c>
    </row>
    <row r="5387" spans="40:42" x14ac:dyDescent="0.3">
      <c r="AN5387">
        <v>5383</v>
      </c>
      <c r="AO5387" s="11">
        <v>19232.14</v>
      </c>
      <c r="AP5387" s="9">
        <v>3.1116441381962088</v>
      </c>
    </row>
    <row r="5388" spans="40:42" x14ac:dyDescent="0.3">
      <c r="AN5388">
        <v>5384</v>
      </c>
      <c r="AO5388" s="11">
        <v>26146.66</v>
      </c>
      <c r="AP5388" s="9">
        <v>3.4305504101899951</v>
      </c>
    </row>
    <row r="5389" spans="40:42" x14ac:dyDescent="0.3">
      <c r="AN5389">
        <v>5385</v>
      </c>
      <c r="AO5389" s="11">
        <v>30993.72</v>
      </c>
      <c r="AP5389" s="9">
        <v>4.4476256391299964</v>
      </c>
    </row>
    <row r="5390" spans="40:42" x14ac:dyDescent="0.3">
      <c r="AN5390">
        <v>5386</v>
      </c>
      <c r="AO5390" s="11">
        <v>35919.730000000003</v>
      </c>
      <c r="AP5390" s="9">
        <v>3.0136091682782156</v>
      </c>
    </row>
    <row r="5391" spans="40:42" x14ac:dyDescent="0.3">
      <c r="AN5391">
        <v>5387</v>
      </c>
      <c r="AO5391" s="11">
        <v>23312.720000000001</v>
      </c>
      <c r="AP5391" s="9">
        <v>3.302833409313386</v>
      </c>
    </row>
    <row r="5392" spans="40:42" x14ac:dyDescent="0.3">
      <c r="AN5392">
        <v>5388</v>
      </c>
      <c r="AO5392" s="11">
        <v>29211.65</v>
      </c>
      <c r="AP5392" s="9">
        <v>3.2432624550464939</v>
      </c>
    </row>
    <row r="5393" spans="40:42" x14ac:dyDescent="0.3">
      <c r="AN5393">
        <v>5389</v>
      </c>
      <c r="AO5393" s="11">
        <v>23476.31</v>
      </c>
      <c r="AP5393" s="9">
        <v>4.0674061975615281</v>
      </c>
    </row>
    <row r="5394" spans="40:42" x14ac:dyDescent="0.3">
      <c r="AN5394">
        <v>5390</v>
      </c>
      <c r="AO5394" s="11">
        <v>18244.68</v>
      </c>
      <c r="AP5394" s="9">
        <v>3.1021699562413998</v>
      </c>
    </row>
    <row r="5395" spans="40:42" x14ac:dyDescent="0.3">
      <c r="AN5395">
        <v>5391</v>
      </c>
      <c r="AO5395" s="11">
        <v>26691.22</v>
      </c>
      <c r="AP5395" s="9">
        <v>3.5557281397682066</v>
      </c>
    </row>
    <row r="5396" spans="40:42" x14ac:dyDescent="0.3">
      <c r="AN5396">
        <v>5392</v>
      </c>
      <c r="AO5396" s="11">
        <v>20198.2</v>
      </c>
      <c r="AP5396" s="9">
        <v>2.8566947589639846</v>
      </c>
    </row>
    <row r="5397" spans="40:42" x14ac:dyDescent="0.3">
      <c r="AN5397">
        <v>5393</v>
      </c>
      <c r="AO5397" s="11">
        <v>24288.92</v>
      </c>
      <c r="AP5397" s="9">
        <v>3.4982371885116788</v>
      </c>
    </row>
    <row r="5398" spans="40:42" x14ac:dyDescent="0.3">
      <c r="AN5398">
        <v>5394</v>
      </c>
      <c r="AO5398" s="11">
        <v>16742.95</v>
      </c>
      <c r="AP5398" s="9">
        <v>3.3348711626893617</v>
      </c>
    </row>
    <row r="5399" spans="40:42" x14ac:dyDescent="0.3">
      <c r="AN5399">
        <v>5395</v>
      </c>
      <c r="AO5399" s="11">
        <v>29433.32</v>
      </c>
      <c r="AP5399" s="9">
        <v>3.3500733952152504</v>
      </c>
    </row>
    <row r="5400" spans="40:42" x14ac:dyDescent="0.3">
      <c r="AN5400">
        <v>5396</v>
      </c>
      <c r="AO5400" s="11">
        <v>26055.42</v>
      </c>
      <c r="AP5400" s="9">
        <v>3.0349644712408677</v>
      </c>
    </row>
    <row r="5401" spans="40:42" x14ac:dyDescent="0.3">
      <c r="AN5401">
        <v>5397</v>
      </c>
      <c r="AO5401" s="11">
        <v>30601.95</v>
      </c>
      <c r="AP5401" s="9">
        <v>3.2252571736008449</v>
      </c>
    </row>
    <row r="5402" spans="40:42" x14ac:dyDescent="0.3">
      <c r="AN5402">
        <v>5398</v>
      </c>
      <c r="AO5402" s="11">
        <v>34743.06</v>
      </c>
      <c r="AP5402" s="9">
        <v>2.9474954596561762</v>
      </c>
    </row>
    <row r="5403" spans="40:42" x14ac:dyDescent="0.3">
      <c r="AN5403">
        <v>5399</v>
      </c>
      <c r="AO5403" s="11">
        <v>32410.639999999999</v>
      </c>
      <c r="AP5403" s="9">
        <v>4.2258328930210434</v>
      </c>
    </row>
    <row r="5404" spans="40:42" x14ac:dyDescent="0.3">
      <c r="AN5404">
        <v>5400</v>
      </c>
      <c r="AO5404" s="11">
        <v>25410.26</v>
      </c>
      <c r="AP5404" s="9">
        <v>3.584607583265417</v>
      </c>
    </row>
    <row r="5405" spans="40:42" x14ac:dyDescent="0.3">
      <c r="AN5405">
        <v>5401</v>
      </c>
      <c r="AO5405" s="11">
        <v>20664.080000000002</v>
      </c>
      <c r="AP5405" s="9">
        <v>3.10524280391666</v>
      </c>
    </row>
    <row r="5406" spans="40:42" x14ac:dyDescent="0.3">
      <c r="AN5406">
        <v>5402</v>
      </c>
      <c r="AO5406" s="11">
        <v>30128.17</v>
      </c>
      <c r="AP5406" s="9">
        <v>3.4865423410220684</v>
      </c>
    </row>
    <row r="5407" spans="40:42" x14ac:dyDescent="0.3">
      <c r="AN5407">
        <v>5403</v>
      </c>
      <c r="AO5407" s="11">
        <v>27866.400000000001</v>
      </c>
      <c r="AP5407" s="9">
        <v>3.6093476941667855</v>
      </c>
    </row>
    <row r="5408" spans="40:42" x14ac:dyDescent="0.3">
      <c r="AN5408">
        <v>5404</v>
      </c>
      <c r="AO5408" s="11">
        <v>23792.62</v>
      </c>
      <c r="AP5408" s="9">
        <v>2.9220520995924879</v>
      </c>
    </row>
    <row r="5409" spans="40:42" x14ac:dyDescent="0.3">
      <c r="AN5409">
        <v>5405</v>
      </c>
      <c r="AO5409" s="11">
        <v>13375.48</v>
      </c>
      <c r="AP5409" s="9">
        <v>3.0028085252341317</v>
      </c>
    </row>
    <row r="5410" spans="40:42" x14ac:dyDescent="0.3">
      <c r="AN5410">
        <v>5406</v>
      </c>
      <c r="AO5410" s="11">
        <v>29315.59</v>
      </c>
      <c r="AP5410" s="9">
        <v>3.5863858958855768</v>
      </c>
    </row>
    <row r="5411" spans="40:42" x14ac:dyDescent="0.3">
      <c r="AN5411">
        <v>5407</v>
      </c>
      <c r="AO5411" s="11">
        <v>26433.88</v>
      </c>
      <c r="AP5411" s="9">
        <v>3.413681306951271</v>
      </c>
    </row>
    <row r="5412" spans="40:42" x14ac:dyDescent="0.3">
      <c r="AN5412">
        <v>5408</v>
      </c>
      <c r="AO5412" s="11">
        <v>18771.849999999999</v>
      </c>
      <c r="AP5412" s="9">
        <v>4.0472227687809799</v>
      </c>
    </row>
    <row r="5413" spans="40:42" x14ac:dyDescent="0.3">
      <c r="AN5413">
        <v>5409</v>
      </c>
      <c r="AO5413" s="11">
        <v>33920.550000000003</v>
      </c>
      <c r="AP5413" s="9">
        <v>3.6509235821855643</v>
      </c>
    </row>
    <row r="5414" spans="40:42" x14ac:dyDescent="0.3">
      <c r="AN5414">
        <v>5410</v>
      </c>
      <c r="AO5414" s="11">
        <v>28931.759999999998</v>
      </c>
      <c r="AP5414" s="9">
        <v>3.6553324332019539</v>
      </c>
    </row>
    <row r="5415" spans="40:42" x14ac:dyDescent="0.3">
      <c r="AN5415">
        <v>5411</v>
      </c>
      <c r="AO5415" s="11">
        <v>35586.01</v>
      </c>
      <c r="AP5415" s="9">
        <v>4.5589463946597935</v>
      </c>
    </row>
    <row r="5416" spans="40:42" x14ac:dyDescent="0.3">
      <c r="AN5416">
        <v>5412</v>
      </c>
      <c r="AO5416" s="11">
        <v>22618.9</v>
      </c>
      <c r="AP5416" s="9">
        <v>3.246469130313471</v>
      </c>
    </row>
    <row r="5417" spans="40:42" x14ac:dyDescent="0.3">
      <c r="AN5417">
        <v>5413</v>
      </c>
      <c r="AO5417" s="11">
        <v>29109.040000000001</v>
      </c>
      <c r="AP5417" s="9">
        <v>3.3127422060998746</v>
      </c>
    </row>
    <row r="5418" spans="40:42" x14ac:dyDescent="0.3">
      <c r="AN5418">
        <v>5414</v>
      </c>
      <c r="AO5418" s="11">
        <v>30861.61</v>
      </c>
      <c r="AP5418" s="9">
        <v>3.9021230866638117</v>
      </c>
    </row>
    <row r="5419" spans="40:42" x14ac:dyDescent="0.3">
      <c r="AN5419">
        <v>5415</v>
      </c>
      <c r="AO5419" s="11">
        <v>43233.82</v>
      </c>
      <c r="AP5419" s="9">
        <v>4.3370114664361736</v>
      </c>
    </row>
    <row r="5420" spans="40:42" x14ac:dyDescent="0.3">
      <c r="AN5420">
        <v>5416</v>
      </c>
      <c r="AO5420" s="11">
        <v>20054.419999999998</v>
      </c>
      <c r="AP5420" s="9">
        <v>2.7712739886119389</v>
      </c>
    </row>
    <row r="5421" spans="40:42" x14ac:dyDescent="0.3">
      <c r="AN5421">
        <v>5417</v>
      </c>
      <c r="AO5421" s="11">
        <v>29447.94</v>
      </c>
      <c r="AP5421" s="9">
        <v>3.3223549536674049</v>
      </c>
    </row>
    <row r="5422" spans="40:42" x14ac:dyDescent="0.3">
      <c r="AN5422">
        <v>5418</v>
      </c>
      <c r="AO5422" s="11">
        <v>26423.59</v>
      </c>
      <c r="AP5422" s="9">
        <v>2.7035801070510921</v>
      </c>
    </row>
    <row r="5423" spans="40:42" x14ac:dyDescent="0.3">
      <c r="AN5423">
        <v>5419</v>
      </c>
      <c r="AO5423" s="11">
        <v>35734.550000000003</v>
      </c>
      <c r="AP5423" s="9">
        <v>3.2990092950669889</v>
      </c>
    </row>
    <row r="5424" spans="40:42" x14ac:dyDescent="0.3">
      <c r="AN5424">
        <v>5420</v>
      </c>
      <c r="AO5424" s="11">
        <v>28973.33</v>
      </c>
      <c r="AP5424" s="9">
        <v>3.9353929144959552</v>
      </c>
    </row>
    <row r="5425" spans="40:42" x14ac:dyDescent="0.3">
      <c r="AN5425">
        <v>5421</v>
      </c>
      <c r="AO5425" s="11">
        <v>27883.89</v>
      </c>
      <c r="AP5425" s="9">
        <v>3.1658724431729954</v>
      </c>
    </row>
    <row r="5426" spans="40:42" x14ac:dyDescent="0.3">
      <c r="AN5426">
        <v>5422</v>
      </c>
      <c r="AO5426" s="11">
        <v>28320.06</v>
      </c>
      <c r="AP5426" s="9">
        <v>3.881197110597872</v>
      </c>
    </row>
    <row r="5427" spans="40:42" x14ac:dyDescent="0.3">
      <c r="AN5427">
        <v>5423</v>
      </c>
      <c r="AO5427" s="11">
        <v>29198.73</v>
      </c>
      <c r="AP5427" s="9">
        <v>3.3002221100602802</v>
      </c>
    </row>
    <row r="5428" spans="40:42" x14ac:dyDescent="0.3">
      <c r="AN5428">
        <v>5424</v>
      </c>
      <c r="AO5428" s="11">
        <v>36464.839999999997</v>
      </c>
      <c r="AP5428" s="9">
        <v>3.5466337387616869</v>
      </c>
    </row>
    <row r="5429" spans="40:42" x14ac:dyDescent="0.3">
      <c r="AN5429">
        <v>5425</v>
      </c>
      <c r="AO5429" s="11">
        <v>23607.57</v>
      </c>
      <c r="AP5429" s="9">
        <v>3.1150608485441782</v>
      </c>
    </row>
    <row r="5430" spans="40:42" x14ac:dyDescent="0.3">
      <c r="AN5430">
        <v>5426</v>
      </c>
      <c r="AO5430" s="11">
        <v>30772.639999999999</v>
      </c>
      <c r="AP5430" s="9">
        <v>3.7033978147522277</v>
      </c>
    </row>
    <row r="5431" spans="40:42" x14ac:dyDescent="0.3">
      <c r="AN5431">
        <v>5427</v>
      </c>
      <c r="AO5431" s="11">
        <v>28995.84</v>
      </c>
      <c r="AP5431" s="9">
        <v>3.5980919589887779</v>
      </c>
    </row>
    <row r="5432" spans="40:42" x14ac:dyDescent="0.3">
      <c r="AN5432">
        <v>5428</v>
      </c>
      <c r="AO5432" s="11">
        <v>33774.400000000001</v>
      </c>
      <c r="AP5432" s="9">
        <v>3.6249332732167963</v>
      </c>
    </row>
    <row r="5433" spans="40:42" x14ac:dyDescent="0.3">
      <c r="AN5433">
        <v>5429</v>
      </c>
      <c r="AO5433" s="11">
        <v>24286.45</v>
      </c>
      <c r="AP5433" s="9">
        <v>3.4895358835898311</v>
      </c>
    </row>
    <row r="5434" spans="40:42" x14ac:dyDescent="0.3">
      <c r="AN5434">
        <v>5430</v>
      </c>
      <c r="AO5434" s="11">
        <v>17125.11</v>
      </c>
      <c r="AP5434" s="9">
        <v>2.8030039736394454</v>
      </c>
    </row>
    <row r="5435" spans="40:42" x14ac:dyDescent="0.3">
      <c r="AN5435">
        <v>5431</v>
      </c>
      <c r="AO5435" s="11">
        <v>21536.93</v>
      </c>
      <c r="AP5435" s="9">
        <v>3.657406121085411</v>
      </c>
    </row>
    <row r="5436" spans="40:42" x14ac:dyDescent="0.3">
      <c r="AN5436">
        <v>5432</v>
      </c>
      <c r="AO5436" s="11">
        <v>30017.1</v>
      </c>
      <c r="AP5436" s="9">
        <v>3.2777844579055992</v>
      </c>
    </row>
    <row r="5437" spans="40:42" x14ac:dyDescent="0.3">
      <c r="AN5437">
        <v>5433</v>
      </c>
      <c r="AO5437" s="11">
        <v>15367.02</v>
      </c>
      <c r="AP5437" s="9">
        <v>2.7750638563875434</v>
      </c>
    </row>
    <row r="5438" spans="40:42" x14ac:dyDescent="0.3">
      <c r="AN5438">
        <v>5434</v>
      </c>
      <c r="AO5438" s="11">
        <v>26325.07</v>
      </c>
      <c r="AP5438" s="9">
        <v>3.168315593051874</v>
      </c>
    </row>
    <row r="5439" spans="40:42" x14ac:dyDescent="0.3">
      <c r="AN5439">
        <v>5435</v>
      </c>
      <c r="AO5439" s="11">
        <v>30295.200000000001</v>
      </c>
      <c r="AP5439" s="9">
        <v>3.2585580616738286</v>
      </c>
    </row>
    <row r="5440" spans="40:42" x14ac:dyDescent="0.3">
      <c r="AN5440">
        <v>5436</v>
      </c>
      <c r="AO5440" s="11">
        <v>24176.54</v>
      </c>
      <c r="AP5440" s="9">
        <v>2.8949924761801458</v>
      </c>
    </row>
    <row r="5441" spans="40:42" x14ac:dyDescent="0.3">
      <c r="AN5441">
        <v>5437</v>
      </c>
      <c r="AO5441" s="11">
        <v>28315.93</v>
      </c>
      <c r="AP5441" s="9">
        <v>3.8367930107298487</v>
      </c>
    </row>
    <row r="5442" spans="40:42" x14ac:dyDescent="0.3">
      <c r="AN5442">
        <v>5438</v>
      </c>
      <c r="AO5442" s="11">
        <v>38879.199999999997</v>
      </c>
      <c r="AP5442" s="9">
        <v>3.5188460237334143</v>
      </c>
    </row>
    <row r="5443" spans="40:42" x14ac:dyDescent="0.3">
      <c r="AN5443">
        <v>5439</v>
      </c>
      <c r="AO5443" s="11">
        <v>32776.39</v>
      </c>
      <c r="AP5443" s="9">
        <v>3.2620889008826413</v>
      </c>
    </row>
    <row r="5444" spans="40:42" x14ac:dyDescent="0.3">
      <c r="AN5444">
        <v>5440</v>
      </c>
      <c r="AO5444" s="11">
        <v>29162.83</v>
      </c>
      <c r="AP5444" s="9">
        <v>3.6897811123308166</v>
      </c>
    </row>
    <row r="5445" spans="40:42" x14ac:dyDescent="0.3">
      <c r="AN5445">
        <v>5441</v>
      </c>
      <c r="AO5445" s="11">
        <v>27022.92</v>
      </c>
      <c r="AP5445" s="9">
        <v>2.8110736922642459</v>
      </c>
    </row>
    <row r="5446" spans="40:42" x14ac:dyDescent="0.3">
      <c r="AN5446">
        <v>5442</v>
      </c>
      <c r="AO5446" s="11">
        <v>13065.29</v>
      </c>
      <c r="AP5446" s="9">
        <v>2.9439019136351772</v>
      </c>
    </row>
    <row r="5447" spans="40:42" x14ac:dyDescent="0.3">
      <c r="AN5447">
        <v>5443</v>
      </c>
      <c r="AO5447" s="11">
        <v>35161.980000000003</v>
      </c>
      <c r="AP5447" s="9">
        <v>3.3771629957477898</v>
      </c>
    </row>
    <row r="5448" spans="40:42" x14ac:dyDescent="0.3">
      <c r="AN5448">
        <v>5444</v>
      </c>
      <c r="AO5448" s="11">
        <v>23425.53</v>
      </c>
      <c r="AP5448" s="9">
        <v>3.6008515080367842</v>
      </c>
    </row>
    <row r="5449" spans="40:42" x14ac:dyDescent="0.3">
      <c r="AN5449">
        <v>5445</v>
      </c>
      <c r="AO5449" s="11">
        <v>20384.55</v>
      </c>
      <c r="AP5449" s="9">
        <v>2.796340502281327</v>
      </c>
    </row>
    <row r="5450" spans="40:42" x14ac:dyDescent="0.3">
      <c r="AN5450">
        <v>5446</v>
      </c>
      <c r="AO5450" s="11">
        <v>20594.060000000001</v>
      </c>
      <c r="AP5450" s="9">
        <v>3.0988093611615879</v>
      </c>
    </row>
    <row r="5451" spans="40:42" x14ac:dyDescent="0.3">
      <c r="AN5451">
        <v>5447</v>
      </c>
      <c r="AO5451" s="11">
        <v>35982.620000000003</v>
      </c>
      <c r="AP5451" s="9">
        <v>3.5782720730519326</v>
      </c>
    </row>
    <row r="5452" spans="40:42" x14ac:dyDescent="0.3">
      <c r="AN5452">
        <v>5448</v>
      </c>
      <c r="AO5452" s="11">
        <v>43733.42</v>
      </c>
      <c r="AP5452" s="9">
        <v>4.2518110066097767</v>
      </c>
    </row>
    <row r="5453" spans="40:42" x14ac:dyDescent="0.3">
      <c r="AN5453">
        <v>5449</v>
      </c>
      <c r="AO5453" s="11">
        <v>29672.83</v>
      </c>
      <c r="AP5453" s="9">
        <v>3.6980461754454907</v>
      </c>
    </row>
    <row r="5454" spans="40:42" x14ac:dyDescent="0.3">
      <c r="AN5454">
        <v>5450</v>
      </c>
      <c r="AO5454" s="11">
        <v>27794.74</v>
      </c>
      <c r="AP5454" s="9">
        <v>3.5216820221007867</v>
      </c>
    </row>
    <row r="5455" spans="40:42" x14ac:dyDescent="0.3">
      <c r="AN5455">
        <v>5451</v>
      </c>
      <c r="AO5455" s="11">
        <v>29788.16</v>
      </c>
      <c r="AP5455" s="9">
        <v>2.6917496555469662</v>
      </c>
    </row>
    <row r="5456" spans="40:42" x14ac:dyDescent="0.3">
      <c r="AN5456">
        <v>5452</v>
      </c>
      <c r="AO5456" s="11">
        <v>28864.33</v>
      </c>
      <c r="AP5456" s="9">
        <v>4.5071508270466722</v>
      </c>
    </row>
    <row r="5457" spans="40:42" x14ac:dyDescent="0.3">
      <c r="AN5457">
        <v>5453</v>
      </c>
      <c r="AO5457" s="11">
        <v>24476.04</v>
      </c>
      <c r="AP5457" s="9">
        <v>2.9920184763392368</v>
      </c>
    </row>
    <row r="5458" spans="40:42" x14ac:dyDescent="0.3">
      <c r="AN5458">
        <v>5454</v>
      </c>
      <c r="AO5458" s="11">
        <v>31492.880000000001</v>
      </c>
      <c r="AP5458" s="9">
        <v>3.2173419670008161</v>
      </c>
    </row>
    <row r="5459" spans="40:42" x14ac:dyDescent="0.3">
      <c r="AN5459">
        <v>5455</v>
      </c>
      <c r="AO5459" s="11">
        <v>27860.45</v>
      </c>
      <c r="AP5459" s="9">
        <v>4.0321282239338228</v>
      </c>
    </row>
    <row r="5460" spans="40:42" x14ac:dyDescent="0.3">
      <c r="AN5460">
        <v>5456</v>
      </c>
      <c r="AO5460" s="11">
        <v>21504.86</v>
      </c>
      <c r="AP5460" s="9">
        <v>3.1975010480895611</v>
      </c>
    </row>
    <row r="5461" spans="40:42" x14ac:dyDescent="0.3">
      <c r="AN5461">
        <v>5457</v>
      </c>
      <c r="AO5461" s="11">
        <v>12943.54</v>
      </c>
      <c r="AP5461" s="9">
        <v>3.0586502965286178</v>
      </c>
    </row>
    <row r="5462" spans="40:42" x14ac:dyDescent="0.3">
      <c r="AN5462">
        <v>5458</v>
      </c>
      <c r="AO5462" s="11">
        <v>31298.01</v>
      </c>
      <c r="AP5462" s="9">
        <v>2.7956351611499781</v>
      </c>
    </row>
    <row r="5463" spans="40:42" x14ac:dyDescent="0.3">
      <c r="AN5463">
        <v>5459</v>
      </c>
      <c r="AO5463" s="11">
        <v>20309.259999999998</v>
      </c>
      <c r="AP5463" s="9">
        <v>2.9903125245152378</v>
      </c>
    </row>
    <row r="5464" spans="40:42" x14ac:dyDescent="0.3">
      <c r="AN5464">
        <v>5460</v>
      </c>
      <c r="AO5464" s="11">
        <v>34919.08</v>
      </c>
      <c r="AP5464" s="9">
        <v>3.3150945804018166</v>
      </c>
    </row>
    <row r="5465" spans="40:42" x14ac:dyDescent="0.3">
      <c r="AN5465">
        <v>5461</v>
      </c>
      <c r="AO5465" s="11">
        <v>35503.379999999997</v>
      </c>
      <c r="AP5465" s="9">
        <v>3.3004929832368646</v>
      </c>
    </row>
    <row r="5466" spans="40:42" x14ac:dyDescent="0.3">
      <c r="AN5466">
        <v>5462</v>
      </c>
      <c r="AO5466" s="11">
        <v>23363.14</v>
      </c>
      <c r="AP5466" s="9">
        <v>2.7611892849530011</v>
      </c>
    </row>
    <row r="5467" spans="40:42" x14ac:dyDescent="0.3">
      <c r="AN5467">
        <v>5463</v>
      </c>
      <c r="AO5467" s="11">
        <v>26465.21</v>
      </c>
      <c r="AP5467" s="9">
        <v>3.5193450209799155</v>
      </c>
    </row>
    <row r="5468" spans="40:42" x14ac:dyDescent="0.3">
      <c r="AN5468">
        <v>5464</v>
      </c>
      <c r="AO5468" s="11">
        <v>30827.69</v>
      </c>
      <c r="AP5468" s="9">
        <v>3.2458564353746149</v>
      </c>
    </row>
    <row r="5469" spans="40:42" x14ac:dyDescent="0.3">
      <c r="AN5469">
        <v>5465</v>
      </c>
      <c r="AO5469" s="11">
        <v>28900.67</v>
      </c>
      <c r="AP5469" s="9">
        <v>2.9695960475597243</v>
      </c>
    </row>
    <row r="5470" spans="40:42" x14ac:dyDescent="0.3">
      <c r="AN5470">
        <v>5466</v>
      </c>
      <c r="AO5470" s="11">
        <v>23661.7</v>
      </c>
      <c r="AP5470" s="9">
        <v>3.5175269007286016</v>
      </c>
    </row>
    <row r="5471" spans="40:42" x14ac:dyDescent="0.3">
      <c r="AN5471">
        <v>5467</v>
      </c>
      <c r="AO5471" s="11">
        <v>41033.230000000003</v>
      </c>
      <c r="AP5471" s="9">
        <v>4.1340540890668596</v>
      </c>
    </row>
    <row r="5472" spans="40:42" x14ac:dyDescent="0.3">
      <c r="AN5472">
        <v>5468</v>
      </c>
      <c r="AO5472" s="11">
        <v>39330.15</v>
      </c>
      <c r="AP5472" s="9">
        <v>3.3272948046844926</v>
      </c>
    </row>
    <row r="5473" spans="40:42" x14ac:dyDescent="0.3">
      <c r="AN5473">
        <v>5469</v>
      </c>
      <c r="AO5473" s="11">
        <v>29465.08</v>
      </c>
      <c r="AP5473" s="9">
        <v>3.2824374649193571</v>
      </c>
    </row>
    <row r="5474" spans="40:42" x14ac:dyDescent="0.3">
      <c r="AN5474">
        <v>5470</v>
      </c>
      <c r="AO5474" s="11">
        <v>29534.87</v>
      </c>
      <c r="AP5474" s="9">
        <v>4.0823506607281814</v>
      </c>
    </row>
    <row r="5475" spans="40:42" x14ac:dyDescent="0.3">
      <c r="AN5475">
        <v>5471</v>
      </c>
      <c r="AO5475" s="11">
        <v>33290.22</v>
      </c>
      <c r="AP5475" s="9">
        <v>3.7471754203062533</v>
      </c>
    </row>
    <row r="5476" spans="40:42" x14ac:dyDescent="0.3">
      <c r="AN5476">
        <v>5472</v>
      </c>
      <c r="AO5476" s="11">
        <v>22996.959999999999</v>
      </c>
      <c r="AP5476" s="9">
        <v>3.2571702024998173</v>
      </c>
    </row>
    <row r="5477" spans="40:42" x14ac:dyDescent="0.3">
      <c r="AN5477">
        <v>5473</v>
      </c>
      <c r="AO5477" s="11">
        <v>22424.83</v>
      </c>
      <c r="AP5477" s="9">
        <v>3.3869362752567755</v>
      </c>
    </row>
    <row r="5478" spans="40:42" x14ac:dyDescent="0.3">
      <c r="AN5478">
        <v>5474</v>
      </c>
      <c r="AO5478" s="11">
        <v>22675.89</v>
      </c>
      <c r="AP5478" s="9">
        <v>3.2705238257375875</v>
      </c>
    </row>
    <row r="5479" spans="40:42" x14ac:dyDescent="0.3">
      <c r="AN5479">
        <v>5475</v>
      </c>
      <c r="AO5479" s="11">
        <v>28020.09</v>
      </c>
      <c r="AP5479" s="9">
        <v>3.5743441998495835</v>
      </c>
    </row>
    <row r="5480" spans="40:42" x14ac:dyDescent="0.3">
      <c r="AN5480">
        <v>5476</v>
      </c>
      <c r="AO5480" s="11">
        <v>29711.27</v>
      </c>
      <c r="AP5480" s="9">
        <v>3.5432615991841825</v>
      </c>
    </row>
    <row r="5481" spans="40:42" x14ac:dyDescent="0.3">
      <c r="AN5481">
        <v>5477</v>
      </c>
      <c r="AO5481" s="11">
        <v>19201.97</v>
      </c>
      <c r="AP5481" s="9">
        <v>3.3190932911380915</v>
      </c>
    </row>
    <row r="5482" spans="40:42" x14ac:dyDescent="0.3">
      <c r="AN5482">
        <v>5478</v>
      </c>
      <c r="AO5482" s="11">
        <v>24574.94</v>
      </c>
      <c r="AP5482" s="9">
        <v>3.0591884650633907</v>
      </c>
    </row>
    <row r="5483" spans="40:42" x14ac:dyDescent="0.3">
      <c r="AN5483">
        <v>5479</v>
      </c>
      <c r="AO5483" s="11">
        <v>25754.75</v>
      </c>
      <c r="AP5483" s="9">
        <v>3.4154785275527431</v>
      </c>
    </row>
    <row r="5484" spans="40:42" x14ac:dyDescent="0.3">
      <c r="AN5484">
        <v>5480</v>
      </c>
      <c r="AO5484" s="11">
        <v>25952.51</v>
      </c>
      <c r="AP5484" s="9">
        <v>3.5978635238016858</v>
      </c>
    </row>
    <row r="5485" spans="40:42" x14ac:dyDescent="0.3">
      <c r="AN5485">
        <v>5481</v>
      </c>
      <c r="AO5485" s="11">
        <v>24165.31</v>
      </c>
      <c r="AP5485" s="9">
        <v>3.7782907144105096</v>
      </c>
    </row>
    <row r="5486" spans="40:42" x14ac:dyDescent="0.3">
      <c r="AN5486">
        <v>5482</v>
      </c>
      <c r="AO5486" s="11">
        <v>24372.1</v>
      </c>
      <c r="AP5486" s="9">
        <v>2.7457335907502709</v>
      </c>
    </row>
    <row r="5487" spans="40:42" x14ac:dyDescent="0.3">
      <c r="AN5487">
        <v>5483</v>
      </c>
      <c r="AO5487" s="11">
        <v>16437.830000000002</v>
      </c>
      <c r="AP5487" s="9">
        <v>3.2587091442930398</v>
      </c>
    </row>
    <row r="5488" spans="40:42" x14ac:dyDescent="0.3">
      <c r="AN5488">
        <v>5484</v>
      </c>
      <c r="AO5488" s="11">
        <v>44296.17</v>
      </c>
      <c r="AP5488" s="9">
        <v>3.2461262770074111</v>
      </c>
    </row>
    <row r="5489" spans="40:42" x14ac:dyDescent="0.3">
      <c r="AN5489">
        <v>5485</v>
      </c>
      <c r="AO5489" s="11">
        <v>23699.48</v>
      </c>
      <c r="AP5489" s="9">
        <v>3.5514865182091544</v>
      </c>
    </row>
    <row r="5490" spans="40:42" x14ac:dyDescent="0.3">
      <c r="AN5490">
        <v>5486</v>
      </c>
      <c r="AO5490" s="11">
        <v>24195.61</v>
      </c>
      <c r="AP5490" s="9">
        <v>3.443154112813017</v>
      </c>
    </row>
    <row r="5491" spans="40:42" x14ac:dyDescent="0.3">
      <c r="AN5491">
        <v>5487</v>
      </c>
      <c r="AO5491" s="11">
        <v>28561.75</v>
      </c>
      <c r="AP5491" s="9">
        <v>4.1657653664910619</v>
      </c>
    </row>
    <row r="5492" spans="40:42" x14ac:dyDescent="0.3">
      <c r="AN5492">
        <v>5488</v>
      </c>
      <c r="AO5492" s="11">
        <v>25087.99</v>
      </c>
      <c r="AP5492" s="9">
        <v>2.9877209493189687</v>
      </c>
    </row>
    <row r="5493" spans="40:42" x14ac:dyDescent="0.3">
      <c r="AN5493">
        <v>5489</v>
      </c>
      <c r="AO5493" s="11">
        <v>28069.93</v>
      </c>
      <c r="AP5493" s="9">
        <v>3.2516240681125925</v>
      </c>
    </row>
    <row r="5494" spans="40:42" x14ac:dyDescent="0.3">
      <c r="AN5494">
        <v>5490</v>
      </c>
      <c r="AO5494" s="11">
        <v>35822.97</v>
      </c>
      <c r="AP5494" s="9">
        <v>3.1416487641757729</v>
      </c>
    </row>
    <row r="5495" spans="40:42" x14ac:dyDescent="0.3">
      <c r="AN5495">
        <v>5491</v>
      </c>
      <c r="AO5495" s="11">
        <v>20261.419999999998</v>
      </c>
      <c r="AP5495" s="9">
        <v>3.5293043353899622</v>
      </c>
    </row>
    <row r="5496" spans="40:42" x14ac:dyDescent="0.3">
      <c r="AN5496">
        <v>5492</v>
      </c>
      <c r="AO5496" s="11">
        <v>31893.29</v>
      </c>
      <c r="AP5496" s="9">
        <v>3.5782432524959562</v>
      </c>
    </row>
    <row r="5497" spans="40:42" x14ac:dyDescent="0.3">
      <c r="AN5497">
        <v>5493</v>
      </c>
      <c r="AO5497" s="11">
        <v>33285.120000000003</v>
      </c>
      <c r="AP5497" s="9">
        <v>3.0711214799535469</v>
      </c>
    </row>
    <row r="5498" spans="40:42" x14ac:dyDescent="0.3">
      <c r="AN5498">
        <v>5494</v>
      </c>
      <c r="AO5498" s="11">
        <v>21927.56</v>
      </c>
      <c r="AP5498" s="9">
        <v>3.4820915488327344</v>
      </c>
    </row>
    <row r="5499" spans="40:42" x14ac:dyDescent="0.3">
      <c r="AN5499">
        <v>5495</v>
      </c>
      <c r="AO5499" s="11">
        <v>25868.16</v>
      </c>
      <c r="AP5499" s="9">
        <v>3.6139520602822501</v>
      </c>
    </row>
    <row r="5500" spans="40:42" x14ac:dyDescent="0.3">
      <c r="AN5500">
        <v>5496</v>
      </c>
      <c r="AO5500" s="11">
        <v>26223.26</v>
      </c>
      <c r="AP5500" s="9">
        <v>3.3452037582851633</v>
      </c>
    </row>
    <row r="5501" spans="40:42" x14ac:dyDescent="0.3">
      <c r="AN5501">
        <v>5497</v>
      </c>
      <c r="AO5501" s="11">
        <v>25778.31</v>
      </c>
      <c r="AP5501" s="9">
        <v>3.088317873962322</v>
      </c>
    </row>
    <row r="5502" spans="40:42" x14ac:dyDescent="0.3">
      <c r="AN5502">
        <v>5498</v>
      </c>
      <c r="AO5502" s="11">
        <v>21561.19</v>
      </c>
      <c r="AP5502" s="9">
        <v>2.9606075532665446</v>
      </c>
    </row>
    <row r="5503" spans="40:42" x14ac:dyDescent="0.3">
      <c r="AN5503">
        <v>5499</v>
      </c>
      <c r="AO5503" s="11">
        <v>30101.43</v>
      </c>
      <c r="AP5503" s="9">
        <v>3.2697805879704078</v>
      </c>
    </row>
    <row r="5504" spans="40:42" x14ac:dyDescent="0.3">
      <c r="AN5504">
        <v>5500</v>
      </c>
      <c r="AO5504" s="11">
        <v>18092.919999999998</v>
      </c>
      <c r="AP5504" s="9">
        <v>3.3970730120988333</v>
      </c>
    </row>
    <row r="5505" spans="40:42" x14ac:dyDescent="0.3">
      <c r="AN5505">
        <v>5501</v>
      </c>
      <c r="AO5505" s="11">
        <v>27434.93</v>
      </c>
      <c r="AP5505" s="9">
        <v>3.6759474466010649</v>
      </c>
    </row>
    <row r="5506" spans="40:42" x14ac:dyDescent="0.3">
      <c r="AN5506">
        <v>5502</v>
      </c>
      <c r="AO5506" s="11">
        <v>28941.88</v>
      </c>
      <c r="AP5506" s="9">
        <v>3.5144783770925221</v>
      </c>
    </row>
    <row r="5507" spans="40:42" x14ac:dyDescent="0.3">
      <c r="AN5507">
        <v>5503</v>
      </c>
      <c r="AO5507" s="11">
        <v>19777.89</v>
      </c>
      <c r="AP5507" s="9">
        <v>3.2107167520739011</v>
      </c>
    </row>
    <row r="5508" spans="40:42" x14ac:dyDescent="0.3">
      <c r="AN5508">
        <v>5504</v>
      </c>
      <c r="AO5508" s="11">
        <v>31135.15</v>
      </c>
      <c r="AP5508" s="9">
        <v>3.6688908212092217</v>
      </c>
    </row>
    <row r="5509" spans="40:42" x14ac:dyDescent="0.3">
      <c r="AN5509">
        <v>5505</v>
      </c>
      <c r="AO5509" s="11">
        <v>21730.23</v>
      </c>
      <c r="AP5509" s="9">
        <v>2.9824156260637973</v>
      </c>
    </row>
    <row r="5510" spans="40:42" x14ac:dyDescent="0.3">
      <c r="AN5510">
        <v>5506</v>
      </c>
      <c r="AO5510" s="11">
        <v>26313.37</v>
      </c>
      <c r="AP5510" s="9">
        <v>3.5121521050278308</v>
      </c>
    </row>
    <row r="5511" spans="40:42" x14ac:dyDescent="0.3">
      <c r="AN5511">
        <v>5507</v>
      </c>
      <c r="AO5511" s="11">
        <v>24186.46</v>
      </c>
      <c r="AP5511" s="9">
        <v>3.0921588848313482</v>
      </c>
    </row>
    <row r="5512" spans="40:42" x14ac:dyDescent="0.3">
      <c r="AN5512">
        <v>5508</v>
      </c>
      <c r="AO5512" s="11">
        <v>25153.1</v>
      </c>
      <c r="AP5512" s="9">
        <v>3.1431713456960666</v>
      </c>
    </row>
    <row r="5513" spans="40:42" x14ac:dyDescent="0.3">
      <c r="AN5513">
        <v>5509</v>
      </c>
      <c r="AO5513" s="11">
        <v>24340.89</v>
      </c>
      <c r="AP5513" s="9">
        <v>3.0429094709216424</v>
      </c>
    </row>
    <row r="5514" spans="40:42" x14ac:dyDescent="0.3">
      <c r="AN5514">
        <v>5510</v>
      </c>
      <c r="AO5514" s="11">
        <v>18461.099999999999</v>
      </c>
      <c r="AP5514" s="9">
        <v>3.5991238044159424</v>
      </c>
    </row>
    <row r="5515" spans="40:42" x14ac:dyDescent="0.3">
      <c r="AN5515">
        <v>5511</v>
      </c>
      <c r="AO5515" s="11">
        <v>32468.46</v>
      </c>
      <c r="AP5515" s="9">
        <v>2.9691966529473053</v>
      </c>
    </row>
    <row r="5516" spans="40:42" x14ac:dyDescent="0.3">
      <c r="AN5516">
        <v>5512</v>
      </c>
      <c r="AO5516" s="11">
        <v>17961.310000000001</v>
      </c>
      <c r="AP5516" s="9">
        <v>3.368328820017386</v>
      </c>
    </row>
    <row r="5517" spans="40:42" x14ac:dyDescent="0.3">
      <c r="AN5517">
        <v>5513</v>
      </c>
      <c r="AO5517" s="11">
        <v>28933.06</v>
      </c>
      <c r="AP5517" s="9">
        <v>3.9996813303187193</v>
      </c>
    </row>
    <row r="5518" spans="40:42" x14ac:dyDescent="0.3">
      <c r="AN5518">
        <v>5514</v>
      </c>
      <c r="AO5518" s="11">
        <v>32360.18</v>
      </c>
      <c r="AP5518" s="9">
        <v>3.7074220693041173</v>
      </c>
    </row>
    <row r="5519" spans="40:42" x14ac:dyDescent="0.3">
      <c r="AN5519">
        <v>5515</v>
      </c>
      <c r="AO5519" s="11">
        <v>23171.24</v>
      </c>
      <c r="AP5519" s="9">
        <v>3.0015419657197979</v>
      </c>
    </row>
    <row r="5520" spans="40:42" x14ac:dyDescent="0.3">
      <c r="AN5520">
        <v>5516</v>
      </c>
      <c r="AO5520" s="11">
        <v>28507.5</v>
      </c>
      <c r="AP5520" s="9">
        <v>3.3766889769324431</v>
      </c>
    </row>
    <row r="5521" spans="40:42" x14ac:dyDescent="0.3">
      <c r="AN5521">
        <v>5517</v>
      </c>
      <c r="AO5521" s="11">
        <v>27432.84</v>
      </c>
      <c r="AP5521" s="9">
        <v>3.3811569544436404</v>
      </c>
    </row>
    <row r="5522" spans="40:42" x14ac:dyDescent="0.3">
      <c r="AN5522">
        <v>5518</v>
      </c>
      <c r="AO5522" s="11">
        <v>29872.19</v>
      </c>
      <c r="AP5522" s="9">
        <v>3.5564402026340742</v>
      </c>
    </row>
    <row r="5523" spans="40:42" x14ac:dyDescent="0.3">
      <c r="AN5523">
        <v>5519</v>
      </c>
      <c r="AO5523" s="11">
        <v>34047.71</v>
      </c>
      <c r="AP5523" s="9">
        <v>3.2098190731527469</v>
      </c>
    </row>
    <row r="5524" spans="40:42" x14ac:dyDescent="0.3">
      <c r="AN5524">
        <v>5520</v>
      </c>
      <c r="AO5524" s="11">
        <v>33588.25</v>
      </c>
      <c r="AP5524" s="9">
        <v>3.1456265131966141</v>
      </c>
    </row>
    <row r="5525" spans="40:42" x14ac:dyDescent="0.3">
      <c r="AN5525">
        <v>5521</v>
      </c>
      <c r="AO5525" s="11">
        <v>22847.94</v>
      </c>
      <c r="AP5525" s="9">
        <v>3.0826586740519768</v>
      </c>
    </row>
    <row r="5526" spans="40:42" x14ac:dyDescent="0.3">
      <c r="AN5526">
        <v>5522</v>
      </c>
      <c r="AO5526" s="11">
        <v>23956.92</v>
      </c>
      <c r="AP5526" s="9">
        <v>2.830523154621726</v>
      </c>
    </row>
    <row r="5527" spans="40:42" x14ac:dyDescent="0.3">
      <c r="AN5527">
        <v>5523</v>
      </c>
      <c r="AO5527" s="11">
        <v>22597.11</v>
      </c>
      <c r="AP5527" s="9">
        <v>3.6350706522366369</v>
      </c>
    </row>
    <row r="5528" spans="40:42" x14ac:dyDescent="0.3">
      <c r="AN5528">
        <v>5524</v>
      </c>
      <c r="AO5528" s="11">
        <v>21545.57</v>
      </c>
      <c r="AP5528" s="9">
        <v>3.0969218142582684</v>
      </c>
    </row>
    <row r="5529" spans="40:42" x14ac:dyDescent="0.3">
      <c r="AN5529">
        <v>5525</v>
      </c>
      <c r="AO5529" s="11">
        <v>32857.269999999997</v>
      </c>
      <c r="AP5529" s="9">
        <v>3.5949880449893481</v>
      </c>
    </row>
    <row r="5530" spans="40:42" x14ac:dyDescent="0.3">
      <c r="AN5530">
        <v>5526</v>
      </c>
      <c r="AO5530" s="11">
        <v>29269.43</v>
      </c>
      <c r="AP5530" s="9">
        <v>3.3842468391996028</v>
      </c>
    </row>
    <row r="5531" spans="40:42" x14ac:dyDescent="0.3">
      <c r="AN5531">
        <v>5527</v>
      </c>
      <c r="AO5531" s="11">
        <v>14726.9</v>
      </c>
      <c r="AP5531" s="9">
        <v>3.3280800338604442</v>
      </c>
    </row>
    <row r="5532" spans="40:42" x14ac:dyDescent="0.3">
      <c r="AN5532">
        <v>5528</v>
      </c>
      <c r="AO5532" s="11">
        <v>39454.35</v>
      </c>
      <c r="AP5532" s="9">
        <v>3.9222092537793514</v>
      </c>
    </row>
    <row r="5533" spans="40:42" x14ac:dyDescent="0.3">
      <c r="AN5533">
        <v>5529</v>
      </c>
      <c r="AO5533" s="11">
        <v>30266.54</v>
      </c>
      <c r="AP5533" s="9">
        <v>3.9819420064000095</v>
      </c>
    </row>
    <row r="5534" spans="40:42" x14ac:dyDescent="0.3">
      <c r="AN5534">
        <v>5530</v>
      </c>
      <c r="AO5534" s="11">
        <v>22118.880000000001</v>
      </c>
      <c r="AP5534" s="9">
        <v>3.1788214947754496</v>
      </c>
    </row>
    <row r="5535" spans="40:42" x14ac:dyDescent="0.3">
      <c r="AN5535">
        <v>5531</v>
      </c>
      <c r="AO5535" s="11">
        <v>28458.91</v>
      </c>
      <c r="AP5535" s="9">
        <v>3.9005719051059753</v>
      </c>
    </row>
    <row r="5536" spans="40:42" x14ac:dyDescent="0.3">
      <c r="AN5536">
        <v>5532</v>
      </c>
      <c r="AO5536" s="11">
        <v>25014.49</v>
      </c>
      <c r="AP5536" s="9">
        <v>3.4831893716459792</v>
      </c>
    </row>
    <row r="5537" spans="40:42" x14ac:dyDescent="0.3">
      <c r="AN5537">
        <v>5533</v>
      </c>
      <c r="AO5537" s="11">
        <v>28053.34</v>
      </c>
      <c r="AP5537" s="9">
        <v>3.4918734922303014</v>
      </c>
    </row>
    <row r="5538" spans="40:42" x14ac:dyDescent="0.3">
      <c r="AN5538">
        <v>5534</v>
      </c>
      <c r="AO5538" s="11">
        <v>28519.35</v>
      </c>
      <c r="AP5538" s="9">
        <v>3.4965315734272302</v>
      </c>
    </row>
    <row r="5539" spans="40:42" x14ac:dyDescent="0.3">
      <c r="AN5539">
        <v>5535</v>
      </c>
      <c r="AO5539" s="11">
        <v>20185.849999999999</v>
      </c>
      <c r="AP5539" s="9">
        <v>2.5487072201301353</v>
      </c>
    </row>
    <row r="5540" spans="40:42" x14ac:dyDescent="0.3">
      <c r="AN5540">
        <v>5536</v>
      </c>
      <c r="AO5540" s="11">
        <v>24486.53</v>
      </c>
      <c r="AP5540" s="9">
        <v>3.5858295818449606</v>
      </c>
    </row>
    <row r="5541" spans="40:42" x14ac:dyDescent="0.3">
      <c r="AN5541">
        <v>5537</v>
      </c>
      <c r="AO5541" s="11">
        <v>21189.02</v>
      </c>
      <c r="AP5541" s="9">
        <v>2.9658519905133867</v>
      </c>
    </row>
    <row r="5542" spans="40:42" x14ac:dyDescent="0.3">
      <c r="AN5542">
        <v>5538</v>
      </c>
      <c r="AO5542" s="11">
        <v>27336.94</v>
      </c>
      <c r="AP5542" s="9">
        <v>3.424920468495551</v>
      </c>
    </row>
    <row r="5543" spans="40:42" x14ac:dyDescent="0.3">
      <c r="AN5543">
        <v>5539</v>
      </c>
      <c r="AO5543" s="11">
        <v>18992.32</v>
      </c>
      <c r="AP5543" s="9">
        <v>3.065320619561033</v>
      </c>
    </row>
    <row r="5544" spans="40:42" x14ac:dyDescent="0.3">
      <c r="AN5544">
        <v>5540</v>
      </c>
      <c r="AO5544" s="11">
        <v>25300.92</v>
      </c>
      <c r="AP5544" s="9">
        <v>3.7048595992445033</v>
      </c>
    </row>
    <row r="5545" spans="40:42" x14ac:dyDescent="0.3">
      <c r="AN5545">
        <v>5541</v>
      </c>
      <c r="AO5545" s="11">
        <v>21404.62</v>
      </c>
      <c r="AP5545" s="9">
        <v>3.1567420989182611</v>
      </c>
    </row>
    <row r="5546" spans="40:42" x14ac:dyDescent="0.3">
      <c r="AN5546">
        <v>5542</v>
      </c>
      <c r="AO5546" s="11">
        <v>25219.51</v>
      </c>
      <c r="AP5546" s="9">
        <v>3.0621736795608303</v>
      </c>
    </row>
    <row r="5547" spans="40:42" x14ac:dyDescent="0.3">
      <c r="AN5547">
        <v>5543</v>
      </c>
      <c r="AO5547" s="11">
        <v>21280.54</v>
      </c>
      <c r="AP5547" s="9">
        <v>3.0855182471930607</v>
      </c>
    </row>
    <row r="5548" spans="40:42" x14ac:dyDescent="0.3">
      <c r="AN5548">
        <v>5544</v>
      </c>
      <c r="AO5548" s="11">
        <v>28459.67</v>
      </c>
      <c r="AP5548" s="9">
        <v>2.7862793536142281</v>
      </c>
    </row>
    <row r="5549" spans="40:42" x14ac:dyDescent="0.3">
      <c r="AN5549">
        <v>5545</v>
      </c>
      <c r="AO5549" s="11">
        <v>34304.959999999999</v>
      </c>
      <c r="AP5549" s="9">
        <v>4.087466759502373</v>
      </c>
    </row>
    <row r="5550" spans="40:42" x14ac:dyDescent="0.3">
      <c r="AN5550">
        <v>5546</v>
      </c>
      <c r="AO5550" s="11">
        <v>25934.17</v>
      </c>
      <c r="AP5550" s="9">
        <v>3.3119621640026344</v>
      </c>
    </row>
    <row r="5551" spans="40:42" x14ac:dyDescent="0.3">
      <c r="AN5551">
        <v>5547</v>
      </c>
      <c r="AO5551" s="11">
        <v>28409.39</v>
      </c>
      <c r="AP5551" s="9">
        <v>4.2867274163397964</v>
      </c>
    </row>
    <row r="5552" spans="40:42" x14ac:dyDescent="0.3">
      <c r="AN5552">
        <v>5548</v>
      </c>
      <c r="AO5552" s="11">
        <v>26232.16</v>
      </c>
      <c r="AP5552" s="9">
        <v>3.3945363736126413</v>
      </c>
    </row>
    <row r="5553" spans="40:42" x14ac:dyDescent="0.3">
      <c r="AN5553">
        <v>5549</v>
      </c>
      <c r="AO5553" s="11">
        <v>24031.02</v>
      </c>
      <c r="AP5553" s="9">
        <v>2.996893746296339</v>
      </c>
    </row>
    <row r="5554" spans="40:42" x14ac:dyDescent="0.3">
      <c r="AN5554">
        <v>5550</v>
      </c>
      <c r="AO5554" s="11">
        <v>15687.46</v>
      </c>
      <c r="AP5554" s="9">
        <v>3.2473465357006583</v>
      </c>
    </row>
    <row r="5555" spans="40:42" x14ac:dyDescent="0.3">
      <c r="AN5555">
        <v>5551</v>
      </c>
      <c r="AO5555" s="11">
        <v>21945.55</v>
      </c>
      <c r="AP5555" s="9">
        <v>3.0084517951583645</v>
      </c>
    </row>
    <row r="5556" spans="40:42" x14ac:dyDescent="0.3">
      <c r="AN5556">
        <v>5552</v>
      </c>
      <c r="AO5556" s="11">
        <v>35681.42</v>
      </c>
      <c r="AP5556" s="9">
        <v>3.5781930737242487</v>
      </c>
    </row>
    <row r="5557" spans="40:42" x14ac:dyDescent="0.3">
      <c r="AN5557">
        <v>5553</v>
      </c>
      <c r="AO5557" s="11">
        <v>29234.53</v>
      </c>
      <c r="AP5557" s="9">
        <v>3.6035259501224783</v>
      </c>
    </row>
    <row r="5558" spans="40:42" x14ac:dyDescent="0.3">
      <c r="AN5558">
        <v>5554</v>
      </c>
      <c r="AO5558" s="11">
        <v>42313.5</v>
      </c>
      <c r="AP5558" s="9">
        <v>3.9515222408272184</v>
      </c>
    </row>
    <row r="5559" spans="40:42" x14ac:dyDescent="0.3">
      <c r="AN5559">
        <v>5555</v>
      </c>
      <c r="AO5559" s="11">
        <v>33805.29</v>
      </c>
      <c r="AP5559" s="9">
        <v>4.1686579161489234</v>
      </c>
    </row>
    <row r="5560" spans="40:42" x14ac:dyDescent="0.3">
      <c r="AN5560">
        <v>5556</v>
      </c>
      <c r="AO5560" s="11">
        <v>31759.19</v>
      </c>
      <c r="AP5560" s="9">
        <v>3.1768046114669786</v>
      </c>
    </row>
    <row r="5561" spans="40:42" x14ac:dyDescent="0.3">
      <c r="AN5561">
        <v>5557</v>
      </c>
      <c r="AO5561" s="11">
        <v>27873.11</v>
      </c>
      <c r="AP5561" s="9">
        <v>2.9762560865544585</v>
      </c>
    </row>
    <row r="5562" spans="40:42" x14ac:dyDescent="0.3">
      <c r="AN5562">
        <v>5558</v>
      </c>
      <c r="AO5562" s="11">
        <v>25089.83</v>
      </c>
      <c r="AP5562" s="9">
        <v>3.7389307416483084</v>
      </c>
    </row>
    <row r="5563" spans="40:42" x14ac:dyDescent="0.3">
      <c r="AN5563">
        <v>5559</v>
      </c>
      <c r="AO5563" s="11">
        <v>26287.98</v>
      </c>
      <c r="AP5563" s="9">
        <v>3.0194509951944908</v>
      </c>
    </row>
    <row r="5564" spans="40:42" x14ac:dyDescent="0.3">
      <c r="AN5564">
        <v>5560</v>
      </c>
      <c r="AO5564" s="11">
        <v>26096.17</v>
      </c>
      <c r="AP5564" s="9">
        <v>3.0214055879091544</v>
      </c>
    </row>
    <row r="5565" spans="40:42" x14ac:dyDescent="0.3">
      <c r="AN5565">
        <v>5561</v>
      </c>
      <c r="AO5565" s="11">
        <v>16098.65</v>
      </c>
      <c r="AP5565" s="9">
        <v>3.2391021058552671</v>
      </c>
    </row>
    <row r="5566" spans="40:42" x14ac:dyDescent="0.3">
      <c r="AN5566">
        <v>5562</v>
      </c>
      <c r="AO5566" s="11">
        <v>15109.74</v>
      </c>
      <c r="AP5566" s="9">
        <v>2.8630876963155005</v>
      </c>
    </row>
    <row r="5567" spans="40:42" x14ac:dyDescent="0.3">
      <c r="AN5567">
        <v>5563</v>
      </c>
      <c r="AO5567" s="11">
        <v>34827.31</v>
      </c>
      <c r="AP5567" s="9">
        <v>3.9134761329986003</v>
      </c>
    </row>
    <row r="5568" spans="40:42" x14ac:dyDescent="0.3">
      <c r="AN5568">
        <v>5564</v>
      </c>
      <c r="AO5568" s="11">
        <v>19945.52</v>
      </c>
      <c r="AP5568" s="9">
        <v>3.3646503407144985</v>
      </c>
    </row>
    <row r="5569" spans="40:42" x14ac:dyDescent="0.3">
      <c r="AN5569">
        <v>5565</v>
      </c>
      <c r="AO5569" s="11">
        <v>20655.68</v>
      </c>
      <c r="AP5569" s="9">
        <v>3.1631813983857775</v>
      </c>
    </row>
    <row r="5570" spans="40:42" x14ac:dyDescent="0.3">
      <c r="AN5570">
        <v>5566</v>
      </c>
      <c r="AO5570" s="11">
        <v>21677.11</v>
      </c>
      <c r="AP5570" s="9">
        <v>3.8640008725204136</v>
      </c>
    </row>
    <row r="5571" spans="40:42" x14ac:dyDescent="0.3">
      <c r="AN5571">
        <v>5567</v>
      </c>
      <c r="AO5571" s="11">
        <v>32882.9</v>
      </c>
      <c r="AP5571" s="9">
        <v>2.9796862233053458</v>
      </c>
    </row>
    <row r="5572" spans="40:42" x14ac:dyDescent="0.3">
      <c r="AN5572">
        <v>5568</v>
      </c>
      <c r="AO5572" s="11">
        <v>31450.12</v>
      </c>
      <c r="AP5572" s="9">
        <v>4.1057891048196211</v>
      </c>
    </row>
    <row r="5573" spans="40:42" x14ac:dyDescent="0.3">
      <c r="AN5573">
        <v>5569</v>
      </c>
      <c r="AO5573" s="11">
        <v>31432.76</v>
      </c>
      <c r="AP5573" s="9">
        <v>3.3850801877831938</v>
      </c>
    </row>
    <row r="5574" spans="40:42" x14ac:dyDescent="0.3">
      <c r="AN5574">
        <v>5570</v>
      </c>
      <c r="AO5574" s="11">
        <v>31311.74</v>
      </c>
      <c r="AP5574" s="9">
        <v>3.6482077567383131</v>
      </c>
    </row>
    <row r="5575" spans="40:42" x14ac:dyDescent="0.3">
      <c r="AN5575">
        <v>5571</v>
      </c>
      <c r="AO5575" s="11">
        <v>25399.43</v>
      </c>
      <c r="AP5575" s="9">
        <v>2.9832426016524907</v>
      </c>
    </row>
    <row r="5576" spans="40:42" x14ac:dyDescent="0.3">
      <c r="AN5576">
        <v>5572</v>
      </c>
      <c r="AO5576" s="11">
        <v>28823</v>
      </c>
      <c r="AP5576" s="9">
        <v>3.8281704127624168</v>
      </c>
    </row>
    <row r="5577" spans="40:42" x14ac:dyDescent="0.3">
      <c r="AN5577">
        <v>5573</v>
      </c>
      <c r="AO5577" s="11">
        <v>22962.57</v>
      </c>
      <c r="AP5577" s="9">
        <v>3.0703185886458813</v>
      </c>
    </row>
    <row r="5578" spans="40:42" x14ac:dyDescent="0.3">
      <c r="AN5578">
        <v>5574</v>
      </c>
      <c r="AO5578" s="11">
        <v>29042.82</v>
      </c>
      <c r="AP5578" s="9">
        <v>3.4647571337144929</v>
      </c>
    </row>
    <row r="5579" spans="40:42" x14ac:dyDescent="0.3">
      <c r="AN5579">
        <v>5575</v>
      </c>
      <c r="AO5579" s="11">
        <v>18561.740000000002</v>
      </c>
      <c r="AP5579" s="9">
        <v>3.0387024209585243</v>
      </c>
    </row>
    <row r="5580" spans="40:42" x14ac:dyDescent="0.3">
      <c r="AN5580">
        <v>5576</v>
      </c>
      <c r="AO5580" s="11">
        <v>33153.08</v>
      </c>
      <c r="AP5580" s="9">
        <v>3.4298827722088254</v>
      </c>
    </row>
    <row r="5581" spans="40:42" x14ac:dyDescent="0.3">
      <c r="AN5581">
        <v>5577</v>
      </c>
      <c r="AO5581" s="11">
        <v>24011.78</v>
      </c>
      <c r="AP5581" s="9">
        <v>3.1927140586833032</v>
      </c>
    </row>
    <row r="5582" spans="40:42" x14ac:dyDescent="0.3">
      <c r="AN5582">
        <v>5578</v>
      </c>
      <c r="AO5582" s="11">
        <v>26873.25</v>
      </c>
      <c r="AP5582" s="9">
        <v>3.054245640044722</v>
      </c>
    </row>
    <row r="5583" spans="40:42" x14ac:dyDescent="0.3">
      <c r="AN5583">
        <v>5579</v>
      </c>
      <c r="AO5583" s="11">
        <v>30276.67</v>
      </c>
      <c r="AP5583" s="9">
        <v>3.9882367275706558</v>
      </c>
    </row>
    <row r="5584" spans="40:42" x14ac:dyDescent="0.3">
      <c r="AN5584">
        <v>5580</v>
      </c>
      <c r="AO5584" s="11">
        <v>30722.5</v>
      </c>
      <c r="AP5584" s="9">
        <v>3.2968797316127674</v>
      </c>
    </row>
    <row r="5585" spans="40:42" x14ac:dyDescent="0.3">
      <c r="AN5585">
        <v>5581</v>
      </c>
      <c r="AO5585" s="11">
        <v>23564.59</v>
      </c>
      <c r="AP5585" s="9">
        <v>3.0782323919926124</v>
      </c>
    </row>
    <row r="5586" spans="40:42" x14ac:dyDescent="0.3">
      <c r="AN5586">
        <v>5582</v>
      </c>
      <c r="AO5586" s="11">
        <v>22555.51</v>
      </c>
      <c r="AP5586" s="9">
        <v>2.5665636848957489</v>
      </c>
    </row>
    <row r="5587" spans="40:42" x14ac:dyDescent="0.3">
      <c r="AN5587">
        <v>5583</v>
      </c>
      <c r="AO5587" s="11">
        <v>27488.16</v>
      </c>
      <c r="AP5587" s="9">
        <v>3.2640822098253803</v>
      </c>
    </row>
    <row r="5588" spans="40:42" x14ac:dyDescent="0.3">
      <c r="AN5588">
        <v>5584</v>
      </c>
      <c r="AO5588" s="11">
        <v>24103.45</v>
      </c>
      <c r="AP5588" s="9">
        <v>3.1776159931096903</v>
      </c>
    </row>
    <row r="5589" spans="40:42" x14ac:dyDescent="0.3">
      <c r="AN5589">
        <v>5585</v>
      </c>
      <c r="AO5589" s="11">
        <v>21850.16</v>
      </c>
      <c r="AP5589" s="9">
        <v>3.9022100860678162</v>
      </c>
    </row>
    <row r="5590" spans="40:42" x14ac:dyDescent="0.3">
      <c r="AN5590">
        <v>5586</v>
      </c>
      <c r="AO5590" s="11">
        <v>20967.32</v>
      </c>
      <c r="AP5590" s="9">
        <v>3.1316520307779272</v>
      </c>
    </row>
    <row r="5591" spans="40:42" x14ac:dyDescent="0.3">
      <c r="AN5591">
        <v>5587</v>
      </c>
      <c r="AO5591" s="11">
        <v>19911.8</v>
      </c>
      <c r="AP5591" s="9">
        <v>3.1897352760846158</v>
      </c>
    </row>
    <row r="5592" spans="40:42" x14ac:dyDescent="0.3">
      <c r="AN5592">
        <v>5588</v>
      </c>
      <c r="AO5592" s="11">
        <v>30011.39</v>
      </c>
      <c r="AP5592" s="9">
        <v>2.8173267195775087</v>
      </c>
    </row>
    <row r="5593" spans="40:42" x14ac:dyDescent="0.3">
      <c r="AN5593">
        <v>5589</v>
      </c>
      <c r="AO5593" s="11">
        <v>26591.47</v>
      </c>
      <c r="AP5593" s="9">
        <v>3.0847449755780798</v>
      </c>
    </row>
    <row r="5594" spans="40:42" x14ac:dyDescent="0.3">
      <c r="AN5594">
        <v>5590</v>
      </c>
      <c r="AO5594" s="11">
        <v>37239.660000000003</v>
      </c>
      <c r="AP5594" s="9">
        <v>2.8836598686503705</v>
      </c>
    </row>
    <row r="5595" spans="40:42" x14ac:dyDescent="0.3">
      <c r="AN5595">
        <v>5591</v>
      </c>
      <c r="AO5595" s="11">
        <v>24487.87</v>
      </c>
      <c r="AP5595" s="9">
        <v>3.8851319743441528</v>
      </c>
    </row>
    <row r="5596" spans="40:42" x14ac:dyDescent="0.3">
      <c r="AN5596">
        <v>5592</v>
      </c>
      <c r="AO5596" s="11">
        <v>23426.240000000002</v>
      </c>
      <c r="AP5596" s="9">
        <v>3.5504910668240841</v>
      </c>
    </row>
    <row r="5597" spans="40:42" x14ac:dyDescent="0.3">
      <c r="AN5597">
        <v>5593</v>
      </c>
      <c r="AO5597" s="11">
        <v>38708.11</v>
      </c>
      <c r="AP5597" s="9">
        <v>3.5982999239049551</v>
      </c>
    </row>
    <row r="5598" spans="40:42" x14ac:dyDescent="0.3">
      <c r="AN5598">
        <v>5594</v>
      </c>
      <c r="AO5598" s="11">
        <v>15064.8</v>
      </c>
      <c r="AP5598" s="9">
        <v>2.9749501570763557</v>
      </c>
    </row>
    <row r="5599" spans="40:42" x14ac:dyDescent="0.3">
      <c r="AN5599">
        <v>5595</v>
      </c>
      <c r="AO5599" s="11">
        <v>34721.9</v>
      </c>
      <c r="AP5599" s="9">
        <v>3.9306875762294529</v>
      </c>
    </row>
    <row r="5600" spans="40:42" x14ac:dyDescent="0.3">
      <c r="AN5600">
        <v>5596</v>
      </c>
      <c r="AO5600" s="11">
        <v>34153.35</v>
      </c>
      <c r="AP5600" s="9">
        <v>3.5627547854896955</v>
      </c>
    </row>
    <row r="5601" spans="40:42" x14ac:dyDescent="0.3">
      <c r="AN5601">
        <v>5597</v>
      </c>
      <c r="AO5601" s="11">
        <v>22197.279999999999</v>
      </c>
      <c r="AP5601" s="9">
        <v>3.2724599538257859</v>
      </c>
    </row>
    <row r="5602" spans="40:42" x14ac:dyDescent="0.3">
      <c r="AN5602">
        <v>5598</v>
      </c>
      <c r="AO5602" s="11">
        <v>36710.230000000003</v>
      </c>
      <c r="AP5602" s="9">
        <v>4.3558845072843475</v>
      </c>
    </row>
    <row r="5603" spans="40:42" x14ac:dyDescent="0.3">
      <c r="AN5603">
        <v>5599</v>
      </c>
      <c r="AO5603" s="11">
        <v>25681.19</v>
      </c>
      <c r="AP5603" s="9">
        <v>3.3155263013504941</v>
      </c>
    </row>
    <row r="5604" spans="40:42" x14ac:dyDescent="0.3">
      <c r="AN5604">
        <v>5600</v>
      </c>
      <c r="AO5604" s="11">
        <v>54341.120000000003</v>
      </c>
      <c r="AP5604" s="9">
        <v>3.5420603802022361</v>
      </c>
    </row>
    <row r="5605" spans="40:42" x14ac:dyDescent="0.3">
      <c r="AN5605">
        <v>5601</v>
      </c>
      <c r="AO5605" s="11">
        <v>35920.57</v>
      </c>
      <c r="AP5605" s="9">
        <v>3.8949744065883669</v>
      </c>
    </row>
    <row r="5606" spans="40:42" x14ac:dyDescent="0.3">
      <c r="AN5606">
        <v>5602</v>
      </c>
      <c r="AO5606" s="11">
        <v>42280.800000000003</v>
      </c>
      <c r="AP5606" s="9">
        <v>4.5130389255211298</v>
      </c>
    </row>
    <row r="5607" spans="40:42" x14ac:dyDescent="0.3">
      <c r="AN5607">
        <v>5603</v>
      </c>
      <c r="AO5607" s="11">
        <v>34642.370000000003</v>
      </c>
      <c r="AP5607" s="9">
        <v>3.6998887560227693</v>
      </c>
    </row>
    <row r="5608" spans="40:42" x14ac:dyDescent="0.3">
      <c r="AN5608">
        <v>5604</v>
      </c>
      <c r="AO5608" s="11">
        <v>40066.6</v>
      </c>
      <c r="AP5608" s="9">
        <v>3.7604108601216883</v>
      </c>
    </row>
    <row r="5609" spans="40:42" x14ac:dyDescent="0.3">
      <c r="AN5609">
        <v>5605</v>
      </c>
      <c r="AO5609" s="11">
        <v>29814.2</v>
      </c>
      <c r="AP5609" s="9">
        <v>3.4875402634032557</v>
      </c>
    </row>
    <row r="5610" spans="40:42" x14ac:dyDescent="0.3">
      <c r="AN5610">
        <v>5606</v>
      </c>
      <c r="AO5610" s="11">
        <v>28883.72</v>
      </c>
      <c r="AP5610" s="9">
        <v>3.4980313780687218</v>
      </c>
    </row>
    <row r="5611" spans="40:42" x14ac:dyDescent="0.3">
      <c r="AN5611">
        <v>5607</v>
      </c>
      <c r="AO5611" s="11">
        <v>20405.89</v>
      </c>
      <c r="AP5611" s="9">
        <v>3.2666137776506479</v>
      </c>
    </row>
    <row r="5612" spans="40:42" x14ac:dyDescent="0.3">
      <c r="AN5612">
        <v>5608</v>
      </c>
      <c r="AO5612" s="11">
        <v>20188.77</v>
      </c>
      <c r="AP5612" s="9">
        <v>3.7004061129944681</v>
      </c>
    </row>
    <row r="5613" spans="40:42" x14ac:dyDescent="0.3">
      <c r="AN5613">
        <v>5609</v>
      </c>
      <c r="AO5613" s="11">
        <v>22112.15</v>
      </c>
      <c r="AP5613" s="9">
        <v>3.278634238119857</v>
      </c>
    </row>
    <row r="5614" spans="40:42" x14ac:dyDescent="0.3">
      <c r="AN5614">
        <v>5610</v>
      </c>
      <c r="AO5614" s="11">
        <v>55789.82</v>
      </c>
      <c r="AP5614" s="9">
        <v>3.9905001951630639</v>
      </c>
    </row>
    <row r="5615" spans="40:42" x14ac:dyDescent="0.3">
      <c r="AN5615">
        <v>5611</v>
      </c>
      <c r="AO5615" s="11">
        <v>13382.59</v>
      </c>
      <c r="AP5615" s="9">
        <v>2.7294379588882967</v>
      </c>
    </row>
    <row r="5616" spans="40:42" x14ac:dyDescent="0.3">
      <c r="AN5616">
        <v>5612</v>
      </c>
      <c r="AO5616" s="11">
        <v>47799.18</v>
      </c>
      <c r="AP5616" s="9">
        <v>5.3399876800293482</v>
      </c>
    </row>
    <row r="5617" spans="40:42" x14ac:dyDescent="0.3">
      <c r="AN5617">
        <v>5613</v>
      </c>
      <c r="AO5617" s="11">
        <v>27770.53</v>
      </c>
      <c r="AP5617" s="9">
        <v>3.8115710833365575</v>
      </c>
    </row>
    <row r="5618" spans="40:42" x14ac:dyDescent="0.3">
      <c r="AN5618">
        <v>5614</v>
      </c>
      <c r="AO5618" s="11">
        <v>26187.97</v>
      </c>
      <c r="AP5618" s="9">
        <v>3.6850909273156449</v>
      </c>
    </row>
    <row r="5619" spans="40:42" x14ac:dyDescent="0.3">
      <c r="AN5619">
        <v>5615</v>
      </c>
      <c r="AO5619" s="11">
        <v>26227.94</v>
      </c>
      <c r="AP5619" s="9">
        <v>3.1417198662689958</v>
      </c>
    </row>
    <row r="5620" spans="40:42" x14ac:dyDescent="0.3">
      <c r="AN5620">
        <v>5616</v>
      </c>
      <c r="AO5620" s="11">
        <v>13979.39</v>
      </c>
      <c r="AP5620" s="9">
        <v>2.8533344412539958</v>
      </c>
    </row>
    <row r="5621" spans="40:42" x14ac:dyDescent="0.3">
      <c r="AN5621">
        <v>5617</v>
      </c>
      <c r="AO5621" s="11">
        <v>15002.55</v>
      </c>
      <c r="AP5621" s="9">
        <v>2.8565277790859001</v>
      </c>
    </row>
    <row r="5622" spans="40:42" x14ac:dyDescent="0.3">
      <c r="AN5622">
        <v>5618</v>
      </c>
      <c r="AO5622" s="11">
        <v>29507.8</v>
      </c>
      <c r="AP5622" s="9">
        <v>3.8819634983194882</v>
      </c>
    </row>
    <row r="5623" spans="40:42" x14ac:dyDescent="0.3">
      <c r="AN5623">
        <v>5619</v>
      </c>
      <c r="AO5623" s="11">
        <v>23411.119999999999</v>
      </c>
      <c r="AP5623" s="9">
        <v>3.7630875761972451</v>
      </c>
    </row>
    <row r="5624" spans="40:42" x14ac:dyDescent="0.3">
      <c r="AN5624">
        <v>5620</v>
      </c>
      <c r="AO5624" s="11">
        <v>34598.120000000003</v>
      </c>
      <c r="AP5624" s="9">
        <v>3.6017944828082751</v>
      </c>
    </row>
    <row r="5625" spans="40:42" x14ac:dyDescent="0.3">
      <c r="AN5625">
        <v>5621</v>
      </c>
      <c r="AO5625" s="11">
        <v>20276.169999999998</v>
      </c>
      <c r="AP5625" s="9">
        <v>3.1484263122522469</v>
      </c>
    </row>
    <row r="5626" spans="40:42" x14ac:dyDescent="0.3">
      <c r="AN5626">
        <v>5622</v>
      </c>
      <c r="AO5626" s="11">
        <v>20962.03</v>
      </c>
      <c r="AP5626" s="9">
        <v>3.1589889200914274</v>
      </c>
    </row>
    <row r="5627" spans="40:42" x14ac:dyDescent="0.3">
      <c r="AN5627">
        <v>5623</v>
      </c>
      <c r="AO5627" s="11">
        <v>28432.799999999999</v>
      </c>
      <c r="AP5627" s="9">
        <v>2.9041110184031882</v>
      </c>
    </row>
    <row r="5628" spans="40:42" x14ac:dyDescent="0.3">
      <c r="AN5628">
        <v>5624</v>
      </c>
      <c r="AO5628" s="11">
        <v>32846.019999999997</v>
      </c>
      <c r="AP5628" s="9">
        <v>3.505967878078307</v>
      </c>
    </row>
    <row r="5629" spans="40:42" x14ac:dyDescent="0.3">
      <c r="AN5629">
        <v>5625</v>
      </c>
      <c r="AO5629" s="11">
        <v>37636.49</v>
      </c>
      <c r="AP5629" s="9">
        <v>3.7861634745745611</v>
      </c>
    </row>
    <row r="5630" spans="40:42" x14ac:dyDescent="0.3">
      <c r="AN5630">
        <v>5626</v>
      </c>
      <c r="AO5630" s="11">
        <v>20141.02</v>
      </c>
      <c r="AP5630" s="9">
        <v>2.7250730634170792</v>
      </c>
    </row>
    <row r="5631" spans="40:42" x14ac:dyDescent="0.3">
      <c r="AN5631">
        <v>5627</v>
      </c>
      <c r="AO5631" s="11">
        <v>23210.97</v>
      </c>
      <c r="AP5631" s="9">
        <v>3.5244732700377783</v>
      </c>
    </row>
    <row r="5632" spans="40:42" x14ac:dyDescent="0.3">
      <c r="AN5632">
        <v>5628</v>
      </c>
      <c r="AO5632" s="11">
        <v>32324.35</v>
      </c>
      <c r="AP5632" s="9">
        <v>3.7265551296407566</v>
      </c>
    </row>
    <row r="5633" spans="40:42" x14ac:dyDescent="0.3">
      <c r="AN5633">
        <v>5629</v>
      </c>
      <c r="AO5633" s="11">
        <v>24090.080000000002</v>
      </c>
      <c r="AP5633" s="9">
        <v>3.9783594735197374</v>
      </c>
    </row>
    <row r="5634" spans="40:42" x14ac:dyDescent="0.3">
      <c r="AN5634">
        <v>5630</v>
      </c>
      <c r="AO5634" s="11">
        <v>20185.36</v>
      </c>
      <c r="AP5634" s="9">
        <v>3.0849213944291756</v>
      </c>
    </row>
    <row r="5635" spans="40:42" x14ac:dyDescent="0.3">
      <c r="AN5635">
        <v>5631</v>
      </c>
      <c r="AO5635" s="11">
        <v>26651.34</v>
      </c>
      <c r="AP5635" s="9">
        <v>3.4666537894380256</v>
      </c>
    </row>
    <row r="5636" spans="40:42" x14ac:dyDescent="0.3">
      <c r="AN5636">
        <v>5632</v>
      </c>
      <c r="AO5636" s="11">
        <v>27753.72</v>
      </c>
      <c r="AP5636" s="9">
        <v>2.8270946477182219</v>
      </c>
    </row>
    <row r="5637" spans="40:42" x14ac:dyDescent="0.3">
      <c r="AN5637">
        <v>5633</v>
      </c>
      <c r="AO5637" s="11">
        <v>27685.33</v>
      </c>
      <c r="AP5637" s="9">
        <v>3.2543339677822796</v>
      </c>
    </row>
    <row r="5638" spans="40:42" x14ac:dyDescent="0.3">
      <c r="AN5638">
        <v>5634</v>
      </c>
      <c r="AO5638" s="11">
        <v>18135.509999999998</v>
      </c>
      <c r="AP5638" s="9">
        <v>3.178470476868406</v>
      </c>
    </row>
    <row r="5639" spans="40:42" x14ac:dyDescent="0.3">
      <c r="AN5639">
        <v>5635</v>
      </c>
      <c r="AO5639" s="11">
        <v>20924.68</v>
      </c>
      <c r="AP5639" s="9">
        <v>3.3357402099610698</v>
      </c>
    </row>
    <row r="5640" spans="40:42" x14ac:dyDescent="0.3">
      <c r="AN5640">
        <v>5636</v>
      </c>
      <c r="AO5640" s="11">
        <v>27387.82</v>
      </c>
      <c r="AP5640" s="9">
        <v>3.7253867234870568</v>
      </c>
    </row>
    <row r="5641" spans="40:42" x14ac:dyDescent="0.3">
      <c r="AN5641">
        <v>5637</v>
      </c>
      <c r="AO5641" s="11">
        <v>29715.87</v>
      </c>
      <c r="AP5641" s="9">
        <v>2.6970892453527666</v>
      </c>
    </row>
    <row r="5642" spans="40:42" x14ac:dyDescent="0.3">
      <c r="AN5642">
        <v>5638</v>
      </c>
      <c r="AO5642" s="11">
        <v>17662.82</v>
      </c>
      <c r="AP5642" s="9">
        <v>3.4064874213658798</v>
      </c>
    </row>
    <row r="5643" spans="40:42" x14ac:dyDescent="0.3">
      <c r="AN5643">
        <v>5639</v>
      </c>
      <c r="AO5643" s="11">
        <v>28852.400000000001</v>
      </c>
      <c r="AP5643" s="9">
        <v>3.5399581243828671</v>
      </c>
    </row>
    <row r="5644" spans="40:42" x14ac:dyDescent="0.3">
      <c r="AN5644">
        <v>5640</v>
      </c>
      <c r="AO5644" s="11">
        <v>32860.74</v>
      </c>
      <c r="AP5644" s="9">
        <v>3.9608871154276271</v>
      </c>
    </row>
    <row r="5645" spans="40:42" x14ac:dyDescent="0.3">
      <c r="AN5645">
        <v>5641</v>
      </c>
      <c r="AO5645" s="11">
        <v>14929.76</v>
      </c>
      <c r="AP5645" s="9">
        <v>3.5669585290865746</v>
      </c>
    </row>
    <row r="5646" spans="40:42" x14ac:dyDescent="0.3">
      <c r="AN5646">
        <v>5642</v>
      </c>
      <c r="AO5646" s="11">
        <v>25021.96</v>
      </c>
      <c r="AP5646" s="9">
        <v>3.1030950903070948</v>
      </c>
    </row>
    <row r="5647" spans="40:42" x14ac:dyDescent="0.3">
      <c r="AN5647">
        <v>5643</v>
      </c>
      <c r="AO5647" s="11">
        <v>24923.919999999998</v>
      </c>
      <c r="AP5647" s="9">
        <v>3.3739326876522884</v>
      </c>
    </row>
    <row r="5648" spans="40:42" x14ac:dyDescent="0.3">
      <c r="AN5648">
        <v>5644</v>
      </c>
      <c r="AO5648" s="11">
        <v>36811.39</v>
      </c>
      <c r="AP5648" s="9">
        <v>3.6735687375031709</v>
      </c>
    </row>
    <row r="5649" spans="40:42" x14ac:dyDescent="0.3">
      <c r="AN5649">
        <v>5645</v>
      </c>
      <c r="AO5649" s="11">
        <v>29136.76</v>
      </c>
      <c r="AP5649" s="9">
        <v>3.5690701950080568</v>
      </c>
    </row>
    <row r="5650" spans="40:42" x14ac:dyDescent="0.3">
      <c r="AN5650">
        <v>5646</v>
      </c>
      <c r="AO5650" s="11">
        <v>24371.29</v>
      </c>
      <c r="AP5650" s="9">
        <v>3.3697834083806373</v>
      </c>
    </row>
    <row r="5651" spans="40:42" x14ac:dyDescent="0.3">
      <c r="AN5651">
        <v>5647</v>
      </c>
      <c r="AO5651" s="11">
        <v>19717.080000000002</v>
      </c>
      <c r="AP5651" s="9">
        <v>4.2864223425675325</v>
      </c>
    </row>
    <row r="5652" spans="40:42" x14ac:dyDescent="0.3">
      <c r="AN5652">
        <v>5648</v>
      </c>
      <c r="AO5652" s="11">
        <v>21572.71</v>
      </c>
      <c r="AP5652" s="9">
        <v>2.7943507733296835</v>
      </c>
    </row>
    <row r="5653" spans="40:42" x14ac:dyDescent="0.3">
      <c r="AN5653">
        <v>5649</v>
      </c>
      <c r="AO5653" s="11">
        <v>26086.14</v>
      </c>
      <c r="AP5653" s="9">
        <v>2.9637908458855158</v>
      </c>
    </row>
    <row r="5654" spans="40:42" x14ac:dyDescent="0.3">
      <c r="AN5654">
        <v>5650</v>
      </c>
      <c r="AO5654" s="11">
        <v>27533.99</v>
      </c>
      <c r="AP5654" s="9">
        <v>3.473172409041605</v>
      </c>
    </row>
    <row r="5655" spans="40:42" x14ac:dyDescent="0.3">
      <c r="AN5655">
        <v>5651</v>
      </c>
      <c r="AO5655" s="11">
        <v>20661.73</v>
      </c>
      <c r="AP5655" s="9">
        <v>2.7483862048574257</v>
      </c>
    </row>
    <row r="5656" spans="40:42" x14ac:dyDescent="0.3">
      <c r="AN5656">
        <v>5652</v>
      </c>
      <c r="AO5656" s="11">
        <v>21374.87</v>
      </c>
      <c r="AP5656" s="9">
        <v>3.857322014805685</v>
      </c>
    </row>
    <row r="5657" spans="40:42" x14ac:dyDescent="0.3">
      <c r="AN5657">
        <v>5653</v>
      </c>
      <c r="AO5657" s="11">
        <v>14990.9</v>
      </c>
      <c r="AP5657" s="9">
        <v>3.7055909735082881</v>
      </c>
    </row>
    <row r="5658" spans="40:42" x14ac:dyDescent="0.3">
      <c r="AN5658">
        <v>5654</v>
      </c>
      <c r="AO5658" s="11">
        <v>33289.69</v>
      </c>
      <c r="AP5658" s="9">
        <v>2.9956505684154924</v>
      </c>
    </row>
    <row r="5659" spans="40:42" x14ac:dyDescent="0.3">
      <c r="AN5659">
        <v>5655</v>
      </c>
      <c r="AO5659" s="11">
        <v>32878.269999999997</v>
      </c>
      <c r="AP5659" s="9">
        <v>3.7480144819459125</v>
      </c>
    </row>
    <row r="5660" spans="40:42" x14ac:dyDescent="0.3">
      <c r="AN5660">
        <v>5656</v>
      </c>
      <c r="AO5660" s="11">
        <v>26156.54</v>
      </c>
      <c r="AP5660" s="9">
        <v>2.6525376285724525</v>
      </c>
    </row>
    <row r="5661" spans="40:42" x14ac:dyDescent="0.3">
      <c r="AN5661">
        <v>5657</v>
      </c>
      <c r="AO5661" s="11">
        <v>25349.61</v>
      </c>
      <c r="AP5661" s="9">
        <v>3.2312888705966754</v>
      </c>
    </row>
    <row r="5662" spans="40:42" x14ac:dyDescent="0.3">
      <c r="AN5662">
        <v>5658</v>
      </c>
      <c r="AO5662" s="11">
        <v>27815.55</v>
      </c>
      <c r="AP5662" s="9">
        <v>3.1055003951707496</v>
      </c>
    </row>
    <row r="5663" spans="40:42" x14ac:dyDescent="0.3">
      <c r="AN5663">
        <v>5659</v>
      </c>
      <c r="AO5663" s="11">
        <v>31541.23</v>
      </c>
      <c r="AP5663" s="9">
        <v>3.1133252679368044</v>
      </c>
    </row>
    <row r="5664" spans="40:42" x14ac:dyDescent="0.3">
      <c r="AN5664">
        <v>5660</v>
      </c>
      <c r="AO5664" s="11">
        <v>52628.97</v>
      </c>
      <c r="AP5664" s="9">
        <v>3.9060310130705314</v>
      </c>
    </row>
    <row r="5665" spans="40:42" x14ac:dyDescent="0.3">
      <c r="AN5665">
        <v>5661</v>
      </c>
      <c r="AO5665" s="11">
        <v>36436.36</v>
      </c>
      <c r="AP5665" s="9">
        <v>3.2582098572503675</v>
      </c>
    </row>
    <row r="5666" spans="40:42" x14ac:dyDescent="0.3">
      <c r="AN5666">
        <v>5662</v>
      </c>
      <c r="AO5666" s="11">
        <v>19211.189999999999</v>
      </c>
      <c r="AP5666" s="9">
        <v>3.0401951359209001</v>
      </c>
    </row>
    <row r="5667" spans="40:42" x14ac:dyDescent="0.3">
      <c r="AN5667">
        <v>5663</v>
      </c>
      <c r="AO5667" s="11">
        <v>25442.79</v>
      </c>
      <c r="AP5667" s="9">
        <v>3.479749556409121</v>
      </c>
    </row>
    <row r="5668" spans="40:42" x14ac:dyDescent="0.3">
      <c r="AN5668">
        <v>5664</v>
      </c>
      <c r="AO5668" s="11">
        <v>21872.51</v>
      </c>
      <c r="AP5668" s="9">
        <v>3.1795920425231801</v>
      </c>
    </row>
    <row r="5669" spans="40:42" x14ac:dyDescent="0.3">
      <c r="AN5669">
        <v>5665</v>
      </c>
      <c r="AO5669" s="11">
        <v>22266.15</v>
      </c>
      <c r="AP5669" s="9">
        <v>3.2602328072477054</v>
      </c>
    </row>
    <row r="5670" spans="40:42" x14ac:dyDescent="0.3">
      <c r="AN5670">
        <v>5666</v>
      </c>
      <c r="AO5670" s="11">
        <v>38596.71</v>
      </c>
      <c r="AP5670" s="9">
        <v>3.94529901793842</v>
      </c>
    </row>
    <row r="5671" spans="40:42" x14ac:dyDescent="0.3">
      <c r="AN5671">
        <v>5667</v>
      </c>
      <c r="AO5671" s="11">
        <v>29315.22</v>
      </c>
      <c r="AP5671" s="9">
        <v>3.1310903929082303</v>
      </c>
    </row>
    <row r="5672" spans="40:42" x14ac:dyDescent="0.3">
      <c r="AN5672">
        <v>5668</v>
      </c>
      <c r="AO5672" s="11">
        <v>41017.599999999999</v>
      </c>
      <c r="AP5672" s="9">
        <v>3.7549945489130674</v>
      </c>
    </row>
    <row r="5673" spans="40:42" x14ac:dyDescent="0.3">
      <c r="AN5673">
        <v>5669</v>
      </c>
      <c r="AO5673" s="11">
        <v>27276.65</v>
      </c>
      <c r="AP5673" s="9">
        <v>2.9199781298693424</v>
      </c>
    </row>
    <row r="5674" spans="40:42" x14ac:dyDescent="0.3">
      <c r="AN5674">
        <v>5670</v>
      </c>
      <c r="AO5674" s="11">
        <v>16581.13</v>
      </c>
      <c r="AP5674" s="9">
        <v>2.8826086467211809</v>
      </c>
    </row>
    <row r="5675" spans="40:42" x14ac:dyDescent="0.3">
      <c r="AN5675">
        <v>5671</v>
      </c>
      <c r="AO5675" s="11">
        <v>44283.7</v>
      </c>
      <c r="AP5675" s="9">
        <v>4.0220518495428061</v>
      </c>
    </row>
    <row r="5676" spans="40:42" x14ac:dyDescent="0.3">
      <c r="AN5676">
        <v>5672</v>
      </c>
      <c r="AO5676" s="11">
        <v>19218.02</v>
      </c>
      <c r="AP5676" s="9">
        <v>3.2943604539187392</v>
      </c>
    </row>
    <row r="5677" spans="40:42" x14ac:dyDescent="0.3">
      <c r="AN5677">
        <v>5673</v>
      </c>
      <c r="AO5677" s="11">
        <v>28187.02</v>
      </c>
      <c r="AP5677" s="9">
        <v>3.3768020478328689</v>
      </c>
    </row>
    <row r="5678" spans="40:42" x14ac:dyDescent="0.3">
      <c r="AN5678">
        <v>5674</v>
      </c>
      <c r="AO5678" s="11">
        <v>14848.86</v>
      </c>
      <c r="AP5678" s="9">
        <v>2.8380621889220849</v>
      </c>
    </row>
    <row r="5679" spans="40:42" x14ac:dyDescent="0.3">
      <c r="AN5679">
        <v>5675</v>
      </c>
      <c r="AO5679" s="11">
        <v>33508.300000000003</v>
      </c>
      <c r="AP5679" s="9">
        <v>3.3935632077775217</v>
      </c>
    </row>
    <row r="5680" spans="40:42" x14ac:dyDescent="0.3">
      <c r="AN5680">
        <v>5676</v>
      </c>
      <c r="AO5680" s="11">
        <v>16392.78</v>
      </c>
      <c r="AP5680" s="9">
        <v>3.1472132077196648</v>
      </c>
    </row>
    <row r="5681" spans="40:42" x14ac:dyDescent="0.3">
      <c r="AN5681">
        <v>5677</v>
      </c>
      <c r="AO5681" s="11">
        <v>26689.87</v>
      </c>
      <c r="AP5681" s="9">
        <v>2.8657746155270547</v>
      </c>
    </row>
    <row r="5682" spans="40:42" x14ac:dyDescent="0.3">
      <c r="AN5682">
        <v>5678</v>
      </c>
      <c r="AO5682" s="11">
        <v>31939.08</v>
      </c>
      <c r="AP5682" s="9">
        <v>4.2365290424608046</v>
      </c>
    </row>
    <row r="5683" spans="40:42" x14ac:dyDescent="0.3">
      <c r="AN5683">
        <v>5679</v>
      </c>
      <c r="AO5683" s="11">
        <v>23808.34</v>
      </c>
      <c r="AP5683" s="9">
        <v>3.1599764309128484</v>
      </c>
    </row>
    <row r="5684" spans="40:42" x14ac:dyDescent="0.3">
      <c r="AN5684">
        <v>5680</v>
      </c>
      <c r="AO5684" s="11">
        <v>26414.89</v>
      </c>
      <c r="AP5684" s="9">
        <v>3.4616193341647206</v>
      </c>
    </row>
    <row r="5685" spans="40:42" x14ac:dyDescent="0.3">
      <c r="AN5685">
        <v>5681</v>
      </c>
      <c r="AO5685" s="11">
        <v>30421.34</v>
      </c>
      <c r="AP5685" s="9">
        <v>3.8884603463048366</v>
      </c>
    </row>
    <row r="5686" spans="40:42" x14ac:dyDescent="0.3">
      <c r="AN5686">
        <v>5682</v>
      </c>
      <c r="AO5686" s="11">
        <v>28466.18</v>
      </c>
      <c r="AP5686" s="9">
        <v>3.523381345394613</v>
      </c>
    </row>
    <row r="5687" spans="40:42" x14ac:dyDescent="0.3">
      <c r="AN5687">
        <v>5683</v>
      </c>
      <c r="AO5687" s="11">
        <v>36462.53</v>
      </c>
      <c r="AP5687" s="9">
        <v>3.2542595908706411</v>
      </c>
    </row>
    <row r="5688" spans="40:42" x14ac:dyDescent="0.3">
      <c r="AN5688">
        <v>5684</v>
      </c>
      <c r="AO5688" s="11">
        <v>24073.13</v>
      </c>
      <c r="AP5688" s="9">
        <v>3.1702227662205513</v>
      </c>
    </row>
    <row r="5689" spans="40:42" x14ac:dyDescent="0.3">
      <c r="AN5689">
        <v>5685</v>
      </c>
      <c r="AO5689" s="11">
        <v>22394.28</v>
      </c>
      <c r="AP5689" s="9">
        <v>2.8005881173956757</v>
      </c>
    </row>
    <row r="5690" spans="40:42" x14ac:dyDescent="0.3">
      <c r="AN5690">
        <v>5686</v>
      </c>
      <c r="AO5690" s="11">
        <v>29152.16</v>
      </c>
      <c r="AP5690" s="9">
        <v>3.6407672896688479</v>
      </c>
    </row>
    <row r="5691" spans="40:42" x14ac:dyDescent="0.3">
      <c r="AN5691">
        <v>5687</v>
      </c>
      <c r="AO5691" s="11">
        <v>31119.98</v>
      </c>
      <c r="AP5691" s="9">
        <v>3.4615961026242288</v>
      </c>
    </row>
    <row r="5692" spans="40:42" x14ac:dyDescent="0.3">
      <c r="AN5692">
        <v>5688</v>
      </c>
      <c r="AO5692" s="11">
        <v>38147.11</v>
      </c>
      <c r="AP5692" s="9">
        <v>3.4403755205363153</v>
      </c>
    </row>
    <row r="5693" spans="40:42" x14ac:dyDescent="0.3">
      <c r="AN5693">
        <v>5689</v>
      </c>
      <c r="AO5693" s="11">
        <v>27403.03</v>
      </c>
      <c r="AP5693" s="9">
        <v>2.969342507859297</v>
      </c>
    </row>
    <row r="5694" spans="40:42" x14ac:dyDescent="0.3">
      <c r="AN5694">
        <v>5690</v>
      </c>
      <c r="AO5694" s="11">
        <v>35375.760000000002</v>
      </c>
      <c r="AP5694" s="9">
        <v>3.2030506531689524</v>
      </c>
    </row>
    <row r="5695" spans="40:42" x14ac:dyDescent="0.3">
      <c r="AN5695">
        <v>5691</v>
      </c>
      <c r="AO5695" s="11">
        <v>15099.62</v>
      </c>
      <c r="AP5695" s="9">
        <v>2.5480418160323794</v>
      </c>
    </row>
    <row r="5696" spans="40:42" x14ac:dyDescent="0.3">
      <c r="AN5696">
        <v>5692</v>
      </c>
      <c r="AO5696" s="11">
        <v>26548.26</v>
      </c>
      <c r="AP5696" s="9">
        <v>3.3149223955476605</v>
      </c>
    </row>
    <row r="5697" spans="40:42" x14ac:dyDescent="0.3">
      <c r="AN5697">
        <v>5693</v>
      </c>
      <c r="AO5697" s="11">
        <v>21889.439999999999</v>
      </c>
      <c r="AP5697" s="9">
        <v>3.1638853449328996</v>
      </c>
    </row>
    <row r="5698" spans="40:42" x14ac:dyDescent="0.3">
      <c r="AN5698">
        <v>5694</v>
      </c>
      <c r="AO5698" s="11">
        <v>49851.38</v>
      </c>
      <c r="AP5698" s="9">
        <v>3.5804346089991292</v>
      </c>
    </row>
    <row r="5699" spans="40:42" x14ac:dyDescent="0.3">
      <c r="AN5699">
        <v>5695</v>
      </c>
      <c r="AO5699" s="11">
        <v>22115.14</v>
      </c>
      <c r="AP5699" s="9">
        <v>3.1169911232656204</v>
      </c>
    </row>
    <row r="5700" spans="40:42" x14ac:dyDescent="0.3">
      <c r="AN5700">
        <v>5696</v>
      </c>
      <c r="AO5700" s="11">
        <v>22486.38</v>
      </c>
      <c r="AP5700" s="9">
        <v>3.6335270134295974</v>
      </c>
    </row>
    <row r="5701" spans="40:42" x14ac:dyDescent="0.3">
      <c r="AN5701">
        <v>5697</v>
      </c>
      <c r="AO5701" s="11">
        <v>54652.69</v>
      </c>
      <c r="AP5701" s="9">
        <v>4.4605980414446487</v>
      </c>
    </row>
    <row r="5702" spans="40:42" x14ac:dyDescent="0.3">
      <c r="AN5702">
        <v>5698</v>
      </c>
      <c r="AO5702" s="11">
        <v>55230.44</v>
      </c>
      <c r="AP5702" s="9">
        <v>4.4760947969221752</v>
      </c>
    </row>
    <row r="5703" spans="40:42" x14ac:dyDescent="0.3">
      <c r="AN5703">
        <v>5699</v>
      </c>
      <c r="AO5703" s="11">
        <v>20075.05</v>
      </c>
      <c r="AP5703" s="9">
        <v>3.0133041204044781</v>
      </c>
    </row>
    <row r="5704" spans="40:42" x14ac:dyDescent="0.3">
      <c r="AN5704">
        <v>5700</v>
      </c>
      <c r="AO5704" s="11">
        <v>31974.94</v>
      </c>
      <c r="AP5704" s="9">
        <v>3.2962971550386602</v>
      </c>
    </row>
    <row r="5705" spans="40:42" x14ac:dyDescent="0.3">
      <c r="AN5705">
        <v>5701</v>
      </c>
      <c r="AO5705" s="11">
        <v>28479.32</v>
      </c>
      <c r="AP5705" s="9">
        <v>3.5573759933391398</v>
      </c>
    </row>
    <row r="5706" spans="40:42" x14ac:dyDescent="0.3">
      <c r="AN5706">
        <v>5702</v>
      </c>
      <c r="AO5706" s="11">
        <v>32031.52</v>
      </c>
      <c r="AP5706" s="9">
        <v>3.5055376472746094</v>
      </c>
    </row>
    <row r="5707" spans="40:42" x14ac:dyDescent="0.3">
      <c r="AN5707">
        <v>5703</v>
      </c>
      <c r="AO5707" s="11">
        <v>27611.67</v>
      </c>
      <c r="AP5707" s="9">
        <v>3.1583761628454705</v>
      </c>
    </row>
    <row r="5708" spans="40:42" x14ac:dyDescent="0.3">
      <c r="AN5708">
        <v>5704</v>
      </c>
      <c r="AO5708" s="11">
        <v>21090.59</v>
      </c>
      <c r="AP5708" s="9">
        <v>2.7506864322029845</v>
      </c>
    </row>
    <row r="5709" spans="40:42" x14ac:dyDescent="0.3">
      <c r="AN5709">
        <v>5705</v>
      </c>
      <c r="AO5709" s="11">
        <v>27502.98</v>
      </c>
      <c r="AP5709" s="9">
        <v>3.1131103644471878</v>
      </c>
    </row>
    <row r="5710" spans="40:42" x14ac:dyDescent="0.3">
      <c r="AN5710">
        <v>5706</v>
      </c>
      <c r="AO5710" s="11">
        <v>19866.490000000002</v>
      </c>
      <c r="AP5710" s="9">
        <v>3.4071119277509347</v>
      </c>
    </row>
    <row r="5711" spans="40:42" x14ac:dyDescent="0.3">
      <c r="AN5711">
        <v>5707</v>
      </c>
      <c r="AO5711" s="11">
        <v>36888.629999999997</v>
      </c>
      <c r="AP5711" s="9">
        <v>3.6924099051369117</v>
      </c>
    </row>
    <row r="5712" spans="40:42" x14ac:dyDescent="0.3">
      <c r="AN5712">
        <v>5708</v>
      </c>
      <c r="AO5712" s="11">
        <v>21411.32</v>
      </c>
      <c r="AP5712" s="9">
        <v>3.7181832313274734</v>
      </c>
    </row>
    <row r="5713" spans="40:42" x14ac:dyDescent="0.3">
      <c r="AN5713">
        <v>5709</v>
      </c>
      <c r="AO5713" s="11">
        <v>29602.04</v>
      </c>
      <c r="AP5713" s="9">
        <v>3.1915922123913498</v>
      </c>
    </row>
    <row r="5714" spans="40:42" x14ac:dyDescent="0.3">
      <c r="AN5714">
        <v>5710</v>
      </c>
      <c r="AO5714" s="11">
        <v>28467.63</v>
      </c>
      <c r="AP5714" s="9">
        <v>3.1952451846328689</v>
      </c>
    </row>
    <row r="5715" spans="40:42" x14ac:dyDescent="0.3">
      <c r="AN5715">
        <v>5711</v>
      </c>
      <c r="AO5715" s="11">
        <v>36388.19</v>
      </c>
      <c r="AP5715" s="9">
        <v>3.7957423707939233</v>
      </c>
    </row>
    <row r="5716" spans="40:42" x14ac:dyDescent="0.3">
      <c r="AN5716">
        <v>5712</v>
      </c>
      <c r="AO5716" s="11">
        <v>20989.03</v>
      </c>
      <c r="AP5716" s="9">
        <v>4.0589176000188827</v>
      </c>
    </row>
    <row r="5717" spans="40:42" x14ac:dyDescent="0.3">
      <c r="AN5717">
        <v>5713</v>
      </c>
      <c r="AO5717" s="11">
        <v>41517.089999999997</v>
      </c>
      <c r="AP5717" s="9">
        <v>4.0164278851191018</v>
      </c>
    </row>
    <row r="5718" spans="40:42" x14ac:dyDescent="0.3">
      <c r="AN5718">
        <v>5714</v>
      </c>
      <c r="AO5718" s="11">
        <v>19442.91</v>
      </c>
      <c r="AP5718" s="9">
        <v>3.1925899383681493</v>
      </c>
    </row>
    <row r="5719" spans="40:42" x14ac:dyDescent="0.3">
      <c r="AN5719">
        <v>5715</v>
      </c>
      <c r="AO5719" s="11">
        <v>24324.12</v>
      </c>
      <c r="AP5719" s="9">
        <v>4.1621135834830483</v>
      </c>
    </row>
    <row r="5720" spans="40:42" x14ac:dyDescent="0.3">
      <c r="AN5720">
        <v>5716</v>
      </c>
      <c r="AO5720" s="11">
        <v>29219.57</v>
      </c>
      <c r="AP5720" s="9">
        <v>3.2595007110752579</v>
      </c>
    </row>
    <row r="5721" spans="40:42" x14ac:dyDescent="0.3">
      <c r="AN5721">
        <v>5717</v>
      </c>
      <c r="AO5721" s="11">
        <v>37042.629999999997</v>
      </c>
      <c r="AP5721" s="9">
        <v>5.0165124789961411</v>
      </c>
    </row>
    <row r="5722" spans="40:42" x14ac:dyDescent="0.3">
      <c r="AN5722">
        <v>5718</v>
      </c>
      <c r="AO5722" s="11">
        <v>22841.83</v>
      </c>
      <c r="AP5722" s="9">
        <v>3.1225911036887757</v>
      </c>
    </row>
    <row r="5723" spans="40:42" x14ac:dyDescent="0.3">
      <c r="AN5723">
        <v>5719</v>
      </c>
      <c r="AO5723" s="11">
        <v>30511.17</v>
      </c>
      <c r="AP5723" s="9">
        <v>3.4006897976140555</v>
      </c>
    </row>
    <row r="5724" spans="40:42" x14ac:dyDescent="0.3">
      <c r="AN5724">
        <v>5720</v>
      </c>
      <c r="AO5724" s="11">
        <v>35142.28</v>
      </c>
      <c r="AP5724" s="9">
        <v>3.7018867105553221</v>
      </c>
    </row>
    <row r="5725" spans="40:42" x14ac:dyDescent="0.3">
      <c r="AN5725">
        <v>5721</v>
      </c>
      <c r="AO5725" s="11">
        <v>27941.54</v>
      </c>
      <c r="AP5725" s="9">
        <v>3.5808593837747806</v>
      </c>
    </row>
    <row r="5726" spans="40:42" x14ac:dyDescent="0.3">
      <c r="AN5726">
        <v>5722</v>
      </c>
      <c r="AO5726" s="11">
        <v>47350.62</v>
      </c>
      <c r="AP5726" s="9">
        <v>3.492560687951737</v>
      </c>
    </row>
    <row r="5727" spans="40:42" x14ac:dyDescent="0.3">
      <c r="AN5727">
        <v>5723</v>
      </c>
      <c r="AO5727" s="11">
        <v>22613.1</v>
      </c>
      <c r="AP5727" s="9">
        <v>3.4730142644459843</v>
      </c>
    </row>
    <row r="5728" spans="40:42" x14ac:dyDescent="0.3">
      <c r="AN5728">
        <v>5724</v>
      </c>
      <c r="AO5728" s="11">
        <v>36141.01</v>
      </c>
      <c r="AP5728" s="9">
        <v>3.4641547872828977</v>
      </c>
    </row>
    <row r="5729" spans="40:42" x14ac:dyDescent="0.3">
      <c r="AN5729">
        <v>5725</v>
      </c>
      <c r="AO5729" s="11">
        <v>14487.44</v>
      </c>
      <c r="AP5729" s="9">
        <v>3.109590605665121</v>
      </c>
    </row>
    <row r="5730" spans="40:42" x14ac:dyDescent="0.3">
      <c r="AN5730">
        <v>5726</v>
      </c>
      <c r="AO5730" s="11">
        <v>31325.29</v>
      </c>
      <c r="AP5730" s="9">
        <v>3.3992452743950836</v>
      </c>
    </row>
    <row r="5731" spans="40:42" x14ac:dyDescent="0.3">
      <c r="AN5731">
        <v>5727</v>
      </c>
      <c r="AO5731" s="11">
        <v>15024.81</v>
      </c>
      <c r="AP5731" s="9">
        <v>2.7880283346452379</v>
      </c>
    </row>
    <row r="5732" spans="40:42" x14ac:dyDescent="0.3">
      <c r="AN5732">
        <v>5728</v>
      </c>
      <c r="AO5732" s="11">
        <v>37094.550000000003</v>
      </c>
      <c r="AP5732" s="9">
        <v>3.6192230072662661</v>
      </c>
    </row>
    <row r="5733" spans="40:42" x14ac:dyDescent="0.3">
      <c r="AN5733">
        <v>5729</v>
      </c>
      <c r="AO5733" s="11">
        <v>15648.19</v>
      </c>
      <c r="AP5733" s="9">
        <v>2.9981832182729509</v>
      </c>
    </row>
    <row r="5734" spans="40:42" x14ac:dyDescent="0.3">
      <c r="AN5734">
        <v>5730</v>
      </c>
      <c r="AO5734" s="11">
        <v>25605.119999999999</v>
      </c>
      <c r="AP5734" s="9">
        <v>2.6177775383227582</v>
      </c>
    </row>
    <row r="5735" spans="40:42" x14ac:dyDescent="0.3">
      <c r="AN5735">
        <v>5731</v>
      </c>
      <c r="AO5735" s="11">
        <v>34605.56</v>
      </c>
      <c r="AP5735" s="9">
        <v>3.6246836758194259</v>
      </c>
    </row>
    <row r="5736" spans="40:42" x14ac:dyDescent="0.3">
      <c r="AN5736">
        <v>5732</v>
      </c>
      <c r="AO5736" s="11">
        <v>19939.87</v>
      </c>
      <c r="AP5736" s="9">
        <v>3.3893135122022482</v>
      </c>
    </row>
    <row r="5737" spans="40:42" x14ac:dyDescent="0.3">
      <c r="AN5737">
        <v>5733</v>
      </c>
      <c r="AO5737" s="11">
        <v>40377.870000000003</v>
      </c>
      <c r="AP5737" s="9">
        <v>3.2928452933994135</v>
      </c>
    </row>
    <row r="5738" spans="40:42" x14ac:dyDescent="0.3">
      <c r="AN5738">
        <v>5734</v>
      </c>
      <c r="AO5738" s="11">
        <v>33323.08</v>
      </c>
      <c r="AP5738" s="9">
        <v>2.7668561037661132</v>
      </c>
    </row>
    <row r="5739" spans="40:42" x14ac:dyDescent="0.3">
      <c r="AN5739">
        <v>5735</v>
      </c>
      <c r="AO5739" s="11">
        <v>39579.26</v>
      </c>
      <c r="AP5739" s="9">
        <v>3.2566177673557593</v>
      </c>
    </row>
    <row r="5740" spans="40:42" x14ac:dyDescent="0.3">
      <c r="AN5740">
        <v>5736</v>
      </c>
      <c r="AO5740" s="11">
        <v>28852.63</v>
      </c>
      <c r="AP5740" s="9">
        <v>3.5308799539417972</v>
      </c>
    </row>
    <row r="5741" spans="40:42" x14ac:dyDescent="0.3">
      <c r="AN5741">
        <v>5737</v>
      </c>
      <c r="AO5741" s="11">
        <v>30250.83</v>
      </c>
      <c r="AP5741" s="9">
        <v>3.5075922555059247</v>
      </c>
    </row>
    <row r="5742" spans="40:42" x14ac:dyDescent="0.3">
      <c r="AN5742">
        <v>5738</v>
      </c>
      <c r="AO5742" s="11">
        <v>25436.09</v>
      </c>
      <c r="AP5742" s="9">
        <v>2.9732070671409812</v>
      </c>
    </row>
    <row r="5743" spans="40:42" x14ac:dyDescent="0.3">
      <c r="AN5743">
        <v>5739</v>
      </c>
      <c r="AO5743" s="11">
        <v>34970.199999999997</v>
      </c>
      <c r="AP5743" s="9">
        <v>3.7586264754821723</v>
      </c>
    </row>
    <row r="5744" spans="40:42" x14ac:dyDescent="0.3">
      <c r="AN5744">
        <v>5740</v>
      </c>
      <c r="AO5744" s="11">
        <v>20642.75</v>
      </c>
      <c r="AP5744" s="9">
        <v>3.7027663603249614</v>
      </c>
    </row>
    <row r="5745" spans="40:42" x14ac:dyDescent="0.3">
      <c r="AN5745">
        <v>5741</v>
      </c>
      <c r="AO5745" s="11">
        <v>24996</v>
      </c>
      <c r="AP5745" s="9">
        <v>3.0359305994724748</v>
      </c>
    </row>
    <row r="5746" spans="40:42" x14ac:dyDescent="0.3">
      <c r="AN5746">
        <v>5742</v>
      </c>
      <c r="AO5746" s="11">
        <v>18085.34</v>
      </c>
      <c r="AP5746" s="9">
        <v>3.1397055191614238</v>
      </c>
    </row>
    <row r="5747" spans="40:42" x14ac:dyDescent="0.3">
      <c r="AN5747">
        <v>5743</v>
      </c>
      <c r="AO5747" s="11">
        <v>28593.48</v>
      </c>
      <c r="AP5747" s="9">
        <v>3.5329370706093361</v>
      </c>
    </row>
    <row r="5748" spans="40:42" x14ac:dyDescent="0.3">
      <c r="AN5748">
        <v>5744</v>
      </c>
      <c r="AO5748" s="11">
        <v>13020.44</v>
      </c>
      <c r="AP5748" s="9">
        <v>2.6095552357284304</v>
      </c>
    </row>
    <row r="5749" spans="40:42" x14ac:dyDescent="0.3">
      <c r="AN5749">
        <v>5745</v>
      </c>
      <c r="AO5749" s="11">
        <v>35889.03</v>
      </c>
      <c r="AP5749" s="9">
        <v>4.0310030277388567</v>
      </c>
    </row>
    <row r="5750" spans="40:42" x14ac:dyDescent="0.3">
      <c r="AN5750">
        <v>5746</v>
      </c>
      <c r="AO5750" s="11">
        <v>30193.18</v>
      </c>
      <c r="AP5750" s="9">
        <v>3.0704092654908393</v>
      </c>
    </row>
    <row r="5751" spans="40:42" x14ac:dyDescent="0.3">
      <c r="AN5751">
        <v>5747</v>
      </c>
      <c r="AO5751" s="11">
        <v>40744.53</v>
      </c>
      <c r="AP5751" s="9">
        <v>3.7904812613816472</v>
      </c>
    </row>
    <row r="5752" spans="40:42" x14ac:dyDescent="0.3">
      <c r="AN5752">
        <v>5748</v>
      </c>
      <c r="AO5752" s="11">
        <v>34833.199999999997</v>
      </c>
      <c r="AP5752" s="9">
        <v>3.1912294440871261</v>
      </c>
    </row>
    <row r="5753" spans="40:42" x14ac:dyDescent="0.3">
      <c r="AN5753">
        <v>5749</v>
      </c>
      <c r="AO5753" s="11">
        <v>32212.9</v>
      </c>
      <c r="AP5753" s="9">
        <v>3.3022650240129905</v>
      </c>
    </row>
    <row r="5754" spans="40:42" x14ac:dyDescent="0.3">
      <c r="AN5754">
        <v>5750</v>
      </c>
      <c r="AO5754" s="11">
        <v>20309.36</v>
      </c>
      <c r="AP5754" s="9">
        <v>2.9344188149397996</v>
      </c>
    </row>
    <row r="5755" spans="40:42" x14ac:dyDescent="0.3">
      <c r="AN5755">
        <v>5751</v>
      </c>
      <c r="AO5755" s="11">
        <v>22963.81</v>
      </c>
      <c r="AP5755" s="9">
        <v>3.2275860047608225</v>
      </c>
    </row>
    <row r="5756" spans="40:42" x14ac:dyDescent="0.3">
      <c r="AN5756">
        <v>5752</v>
      </c>
      <c r="AO5756" s="11">
        <v>15171.09</v>
      </c>
      <c r="AP5756" s="9">
        <v>3.3996278657451651</v>
      </c>
    </row>
    <row r="5757" spans="40:42" x14ac:dyDescent="0.3">
      <c r="AN5757">
        <v>5753</v>
      </c>
      <c r="AO5757" s="11">
        <v>17153.86</v>
      </c>
      <c r="AP5757" s="9">
        <v>3.0795389277970666</v>
      </c>
    </row>
    <row r="5758" spans="40:42" x14ac:dyDescent="0.3">
      <c r="AN5758">
        <v>5754</v>
      </c>
      <c r="AO5758" s="11">
        <v>24235.96</v>
      </c>
      <c r="AP5758" s="9">
        <v>3.4955579737246008</v>
      </c>
    </row>
    <row r="5759" spans="40:42" x14ac:dyDescent="0.3">
      <c r="AN5759">
        <v>5755</v>
      </c>
      <c r="AO5759" s="11">
        <v>16634.22</v>
      </c>
      <c r="AP5759" s="9">
        <v>2.9986617802014015</v>
      </c>
    </row>
    <row r="5760" spans="40:42" x14ac:dyDescent="0.3">
      <c r="AN5760">
        <v>5756</v>
      </c>
      <c r="AO5760" s="11">
        <v>28126.09</v>
      </c>
      <c r="AP5760" s="9">
        <v>3.6682748978726454</v>
      </c>
    </row>
    <row r="5761" spans="40:42" x14ac:dyDescent="0.3">
      <c r="AN5761">
        <v>5757</v>
      </c>
      <c r="AO5761" s="11">
        <v>28194.75</v>
      </c>
      <c r="AP5761" s="9">
        <v>3.6318404147189329</v>
      </c>
    </row>
    <row r="5762" spans="40:42" x14ac:dyDescent="0.3">
      <c r="AN5762">
        <v>5758</v>
      </c>
      <c r="AO5762" s="11">
        <v>29879.46</v>
      </c>
      <c r="AP5762" s="9">
        <v>3.7608583748983753</v>
      </c>
    </row>
    <row r="5763" spans="40:42" x14ac:dyDescent="0.3">
      <c r="AN5763">
        <v>5759</v>
      </c>
      <c r="AO5763" s="11">
        <v>54567.59</v>
      </c>
      <c r="AP5763" s="9">
        <v>4.0994293810692906</v>
      </c>
    </row>
    <row r="5764" spans="40:42" x14ac:dyDescent="0.3">
      <c r="AN5764">
        <v>5760</v>
      </c>
      <c r="AO5764" s="11">
        <v>15577.92</v>
      </c>
      <c r="AP5764" s="9">
        <v>3.3084257003809254</v>
      </c>
    </row>
    <row r="5765" spans="40:42" x14ac:dyDescent="0.3">
      <c r="AN5765">
        <v>5761</v>
      </c>
      <c r="AO5765" s="11">
        <v>19545.96</v>
      </c>
      <c r="AP5765" s="9">
        <v>2.9856674187400274</v>
      </c>
    </row>
    <row r="5766" spans="40:42" x14ac:dyDescent="0.3">
      <c r="AN5766">
        <v>5762</v>
      </c>
      <c r="AO5766" s="11">
        <v>23289.77</v>
      </c>
      <c r="AP5766" s="9">
        <v>3.0496227717900335</v>
      </c>
    </row>
    <row r="5767" spans="40:42" x14ac:dyDescent="0.3">
      <c r="AN5767">
        <v>5763</v>
      </c>
      <c r="AO5767" s="11">
        <v>26543.119999999999</v>
      </c>
      <c r="AP5767" s="9">
        <v>3.8604735483830765</v>
      </c>
    </row>
    <row r="5768" spans="40:42" x14ac:dyDescent="0.3">
      <c r="AN5768">
        <v>5764</v>
      </c>
      <c r="AO5768" s="11">
        <v>24933.040000000001</v>
      </c>
      <c r="AP5768" s="9">
        <v>3.3721347383568316</v>
      </c>
    </row>
    <row r="5769" spans="40:42" x14ac:dyDescent="0.3">
      <c r="AN5769">
        <v>5765</v>
      </c>
      <c r="AO5769" s="11">
        <v>26193.58</v>
      </c>
      <c r="AP5769" s="9">
        <v>3.9300950876270844</v>
      </c>
    </row>
    <row r="5770" spans="40:42" x14ac:dyDescent="0.3">
      <c r="AN5770">
        <v>5766</v>
      </c>
      <c r="AO5770" s="11">
        <v>30598.47</v>
      </c>
      <c r="AP5770" s="9">
        <v>3.2393183902714098</v>
      </c>
    </row>
    <row r="5771" spans="40:42" x14ac:dyDescent="0.3">
      <c r="AN5771">
        <v>5767</v>
      </c>
      <c r="AO5771" s="11">
        <v>27827.599999999999</v>
      </c>
      <c r="AP5771" s="9">
        <v>3.232004821483859</v>
      </c>
    </row>
    <row r="5772" spans="40:42" x14ac:dyDescent="0.3">
      <c r="AN5772">
        <v>5768</v>
      </c>
      <c r="AO5772" s="11">
        <v>19071.78</v>
      </c>
      <c r="AP5772" s="9">
        <v>3.5729121123054948</v>
      </c>
    </row>
    <row r="5773" spans="40:42" x14ac:dyDescent="0.3">
      <c r="AN5773">
        <v>5769</v>
      </c>
      <c r="AO5773" s="11">
        <v>22680.54</v>
      </c>
      <c r="AP5773" s="9">
        <v>2.9013091118696699</v>
      </c>
    </row>
    <row r="5774" spans="40:42" x14ac:dyDescent="0.3">
      <c r="AN5774">
        <v>5770</v>
      </c>
      <c r="AO5774" s="11">
        <v>28592.97</v>
      </c>
      <c r="AP5774" s="9">
        <v>3.9372130189619416</v>
      </c>
    </row>
    <row r="5775" spans="40:42" x14ac:dyDescent="0.3">
      <c r="AN5775">
        <v>5771</v>
      </c>
      <c r="AO5775" s="11">
        <v>37015.06</v>
      </c>
      <c r="AP5775" s="9">
        <v>3.424083114378079</v>
      </c>
    </row>
    <row r="5776" spans="40:42" x14ac:dyDescent="0.3">
      <c r="AN5776">
        <v>5772</v>
      </c>
      <c r="AO5776" s="11">
        <v>29044.15</v>
      </c>
      <c r="AP5776" s="9">
        <v>3.1283631532345253</v>
      </c>
    </row>
    <row r="5777" spans="40:42" x14ac:dyDescent="0.3">
      <c r="AN5777">
        <v>5773</v>
      </c>
      <c r="AO5777" s="11">
        <v>41575.68</v>
      </c>
      <c r="AP5777" s="9">
        <v>4.2554821817953865</v>
      </c>
    </row>
    <row r="5778" spans="40:42" x14ac:dyDescent="0.3">
      <c r="AN5778">
        <v>5774</v>
      </c>
      <c r="AO5778" s="11">
        <v>15844.06</v>
      </c>
      <c r="AP5778" s="9">
        <v>3.408507969483646</v>
      </c>
    </row>
    <row r="5779" spans="40:42" x14ac:dyDescent="0.3">
      <c r="AN5779">
        <v>5775</v>
      </c>
      <c r="AO5779" s="11">
        <v>30669.45</v>
      </c>
      <c r="AP5779" s="9">
        <v>2.9707002740052157</v>
      </c>
    </row>
    <row r="5780" spans="40:42" x14ac:dyDescent="0.3">
      <c r="AN5780">
        <v>5776</v>
      </c>
      <c r="AO5780" s="11">
        <v>30759.31</v>
      </c>
      <c r="AP5780" s="9">
        <v>3.7373809917276128</v>
      </c>
    </row>
    <row r="5781" spans="40:42" x14ac:dyDescent="0.3">
      <c r="AN5781">
        <v>5777</v>
      </c>
      <c r="AO5781" s="11">
        <v>24079.11</v>
      </c>
      <c r="AP5781" s="9">
        <v>2.6353702499139366</v>
      </c>
    </row>
    <row r="5782" spans="40:42" x14ac:dyDescent="0.3">
      <c r="AN5782">
        <v>5778</v>
      </c>
      <c r="AO5782" s="11">
        <v>23980.71</v>
      </c>
      <c r="AP5782" s="9">
        <v>3.7538099378125107</v>
      </c>
    </row>
    <row r="5783" spans="40:42" x14ac:dyDescent="0.3">
      <c r="AN5783">
        <v>5779</v>
      </c>
      <c r="AO5783" s="11">
        <v>21682</v>
      </c>
      <c r="AP5783" s="9">
        <v>3.2511158722109683</v>
      </c>
    </row>
    <row r="5784" spans="40:42" x14ac:dyDescent="0.3">
      <c r="AN5784">
        <v>5780</v>
      </c>
      <c r="AO5784" s="11">
        <v>36519.75</v>
      </c>
      <c r="AP5784" s="9">
        <v>3.6248654094574571</v>
      </c>
    </row>
    <row r="5785" spans="40:42" x14ac:dyDescent="0.3">
      <c r="AN5785">
        <v>5781</v>
      </c>
      <c r="AO5785" s="11">
        <v>26613.56</v>
      </c>
      <c r="AP5785" s="9">
        <v>3.2178051864618791</v>
      </c>
    </row>
    <row r="5786" spans="40:42" x14ac:dyDescent="0.3">
      <c r="AN5786">
        <v>5782</v>
      </c>
      <c r="AO5786" s="11">
        <v>38307.86</v>
      </c>
      <c r="AP5786" s="9">
        <v>3.3307735517160859</v>
      </c>
    </row>
    <row r="5787" spans="40:42" x14ac:dyDescent="0.3">
      <c r="AN5787">
        <v>5783</v>
      </c>
      <c r="AO5787" s="11">
        <v>20639.45</v>
      </c>
      <c r="AP5787" s="9">
        <v>2.8231780250068534</v>
      </c>
    </row>
    <row r="5788" spans="40:42" x14ac:dyDescent="0.3">
      <c r="AN5788">
        <v>5784</v>
      </c>
      <c r="AO5788" s="11">
        <v>13579.69</v>
      </c>
      <c r="AP5788" s="9">
        <v>3.2262536787928093</v>
      </c>
    </row>
    <row r="5789" spans="40:42" x14ac:dyDescent="0.3">
      <c r="AN5789">
        <v>5785</v>
      </c>
      <c r="AO5789" s="11">
        <v>17612.599999999999</v>
      </c>
      <c r="AP5789" s="9">
        <v>3.0251802789433593</v>
      </c>
    </row>
    <row r="5790" spans="40:42" x14ac:dyDescent="0.3">
      <c r="AN5790">
        <v>5786</v>
      </c>
      <c r="AO5790" s="11">
        <v>27097.81</v>
      </c>
      <c r="AP5790" s="9">
        <v>3.5165675599818438</v>
      </c>
    </row>
    <row r="5791" spans="40:42" x14ac:dyDescent="0.3">
      <c r="AN5791">
        <v>5787</v>
      </c>
      <c r="AO5791" s="11">
        <v>39335.43</v>
      </c>
      <c r="AP5791" s="9">
        <v>3.7402276923048778</v>
      </c>
    </row>
    <row r="5792" spans="40:42" x14ac:dyDescent="0.3">
      <c r="AN5792">
        <v>5788</v>
      </c>
      <c r="AO5792" s="11">
        <v>34702.78</v>
      </c>
      <c r="AP5792" s="9">
        <v>3.6041438810513378</v>
      </c>
    </row>
    <row r="5793" spans="40:42" x14ac:dyDescent="0.3">
      <c r="AN5793">
        <v>5789</v>
      </c>
      <c r="AO5793" s="11">
        <v>30245.81</v>
      </c>
      <c r="AP5793" s="9">
        <v>3.0455299878893123</v>
      </c>
    </row>
    <row r="5794" spans="40:42" x14ac:dyDescent="0.3">
      <c r="AN5794">
        <v>5790</v>
      </c>
      <c r="AO5794" s="11">
        <v>36401.74</v>
      </c>
      <c r="AP5794" s="9">
        <v>3.5708121717864088</v>
      </c>
    </row>
    <row r="5795" spans="40:42" x14ac:dyDescent="0.3">
      <c r="AN5795">
        <v>5791</v>
      </c>
      <c r="AO5795" s="11">
        <v>24853.040000000001</v>
      </c>
      <c r="AP5795" s="9">
        <v>3.3656698522636219</v>
      </c>
    </row>
    <row r="5796" spans="40:42" x14ac:dyDescent="0.3">
      <c r="AN5796">
        <v>5792</v>
      </c>
      <c r="AO5796" s="11">
        <v>27053.33</v>
      </c>
      <c r="AP5796" s="9">
        <v>3.2058700009543704</v>
      </c>
    </row>
    <row r="5797" spans="40:42" x14ac:dyDescent="0.3">
      <c r="AN5797">
        <v>5793</v>
      </c>
      <c r="AO5797" s="11">
        <v>35879.42</v>
      </c>
      <c r="AP5797" s="9">
        <v>2.6923673349645121</v>
      </c>
    </row>
    <row r="5798" spans="40:42" x14ac:dyDescent="0.3">
      <c r="AN5798">
        <v>5794</v>
      </c>
      <c r="AO5798" s="11">
        <v>21626.57</v>
      </c>
      <c r="AP5798" s="9">
        <v>3.123239147904604</v>
      </c>
    </row>
    <row r="5799" spans="40:42" x14ac:dyDescent="0.3">
      <c r="AN5799">
        <v>5795</v>
      </c>
      <c r="AO5799" s="11">
        <v>33324.54</v>
      </c>
      <c r="AP5799" s="9">
        <v>2.9173101625004128</v>
      </c>
    </row>
    <row r="5800" spans="40:42" x14ac:dyDescent="0.3">
      <c r="AN5800">
        <v>5796</v>
      </c>
      <c r="AO5800" s="11">
        <v>18462.8</v>
      </c>
      <c r="AP5800" s="9">
        <v>2.9132478205616086</v>
      </c>
    </row>
    <row r="5801" spans="40:42" x14ac:dyDescent="0.3">
      <c r="AN5801">
        <v>5797</v>
      </c>
      <c r="AO5801" s="11">
        <v>21786.59</v>
      </c>
      <c r="AP5801" s="9">
        <v>3.0965783159106488</v>
      </c>
    </row>
    <row r="5802" spans="40:42" x14ac:dyDescent="0.3">
      <c r="AN5802">
        <v>5798</v>
      </c>
      <c r="AO5802" s="11">
        <v>22358.25</v>
      </c>
      <c r="AP5802" s="9">
        <v>3.0305705187281005</v>
      </c>
    </row>
    <row r="5803" spans="40:42" x14ac:dyDescent="0.3">
      <c r="AN5803">
        <v>5799</v>
      </c>
      <c r="AO5803" s="11">
        <v>36312.18</v>
      </c>
      <c r="AP5803" s="9">
        <v>3.4620500014227362</v>
      </c>
    </row>
    <row r="5804" spans="40:42" x14ac:dyDescent="0.3">
      <c r="AN5804">
        <v>5800</v>
      </c>
      <c r="AO5804" s="11">
        <v>21843.06</v>
      </c>
      <c r="AP5804" s="9">
        <v>3.2724082770639438</v>
      </c>
    </row>
    <row r="5805" spans="40:42" x14ac:dyDescent="0.3">
      <c r="AN5805">
        <v>5801</v>
      </c>
      <c r="AO5805" s="11">
        <v>19870.919999999998</v>
      </c>
      <c r="AP5805" s="9">
        <v>3.1192440439530857</v>
      </c>
    </row>
    <row r="5806" spans="40:42" x14ac:dyDescent="0.3">
      <c r="AN5806">
        <v>5802</v>
      </c>
      <c r="AO5806" s="11">
        <v>24505.29</v>
      </c>
      <c r="AP5806" s="9">
        <v>4.4730729132548097</v>
      </c>
    </row>
    <row r="5807" spans="40:42" x14ac:dyDescent="0.3">
      <c r="AN5807">
        <v>5803</v>
      </c>
      <c r="AO5807" s="11">
        <v>39169.4</v>
      </c>
      <c r="AP5807" s="9">
        <v>3.2530986370207011</v>
      </c>
    </row>
    <row r="5808" spans="40:42" x14ac:dyDescent="0.3">
      <c r="AN5808">
        <v>5804</v>
      </c>
      <c r="AO5808" s="11">
        <v>19163.75</v>
      </c>
      <c r="AP5808" s="9">
        <v>3.0760446747978643</v>
      </c>
    </row>
    <row r="5809" spans="40:42" x14ac:dyDescent="0.3">
      <c r="AN5809">
        <v>5805</v>
      </c>
      <c r="AO5809" s="11">
        <v>20885.150000000001</v>
      </c>
      <c r="AP5809" s="9">
        <v>3.3471891407955554</v>
      </c>
    </row>
    <row r="5810" spans="40:42" x14ac:dyDescent="0.3">
      <c r="AN5810">
        <v>5806</v>
      </c>
      <c r="AO5810" s="11">
        <v>44119.28</v>
      </c>
      <c r="AP5810" s="9">
        <v>4.2816952177830467</v>
      </c>
    </row>
    <row r="5811" spans="40:42" x14ac:dyDescent="0.3">
      <c r="AN5811">
        <v>5807</v>
      </c>
      <c r="AO5811" s="11">
        <v>39197.910000000003</v>
      </c>
      <c r="AP5811" s="9">
        <v>3.6936216337567926</v>
      </c>
    </row>
    <row r="5812" spans="40:42" x14ac:dyDescent="0.3">
      <c r="AN5812">
        <v>5808</v>
      </c>
      <c r="AO5812" s="11">
        <v>18997.95</v>
      </c>
      <c r="AP5812" s="9">
        <v>2.976487886472166</v>
      </c>
    </row>
    <row r="5813" spans="40:42" x14ac:dyDescent="0.3">
      <c r="AN5813">
        <v>5809</v>
      </c>
      <c r="AO5813" s="11">
        <v>23114.37</v>
      </c>
      <c r="AP5813" s="9">
        <v>3.2385565325620171</v>
      </c>
    </row>
    <row r="5814" spans="40:42" x14ac:dyDescent="0.3">
      <c r="AN5814">
        <v>5810</v>
      </c>
      <c r="AO5814" s="11">
        <v>27809.88</v>
      </c>
      <c r="AP5814" s="9">
        <v>3.3806921481675025</v>
      </c>
    </row>
    <row r="5815" spans="40:42" x14ac:dyDescent="0.3">
      <c r="AN5815">
        <v>5811</v>
      </c>
      <c r="AO5815" s="11">
        <v>15007.59</v>
      </c>
      <c r="AP5815" s="9">
        <v>3.3477551359011715</v>
      </c>
    </row>
    <row r="5816" spans="40:42" x14ac:dyDescent="0.3">
      <c r="AN5816">
        <v>5812</v>
      </c>
      <c r="AO5816" s="11">
        <v>26810.22</v>
      </c>
      <c r="AP5816" s="9">
        <v>3.4770964256721357</v>
      </c>
    </row>
    <row r="5817" spans="40:42" x14ac:dyDescent="0.3">
      <c r="AN5817">
        <v>5813</v>
      </c>
      <c r="AO5817" s="11">
        <v>37462.559999999998</v>
      </c>
      <c r="AP5817" s="9">
        <v>4.47891870184929</v>
      </c>
    </row>
    <row r="5818" spans="40:42" x14ac:dyDescent="0.3">
      <c r="AN5818">
        <v>5814</v>
      </c>
      <c r="AO5818" s="11">
        <v>35111.269999999997</v>
      </c>
      <c r="AP5818" s="9">
        <v>3.4376889926097838</v>
      </c>
    </row>
    <row r="5819" spans="40:42" x14ac:dyDescent="0.3">
      <c r="AN5819">
        <v>5815</v>
      </c>
      <c r="AO5819" s="11">
        <v>21944.99</v>
      </c>
      <c r="AP5819" s="9">
        <v>2.8343872697433734</v>
      </c>
    </row>
    <row r="5820" spans="40:42" x14ac:dyDescent="0.3">
      <c r="AN5820">
        <v>5816</v>
      </c>
      <c r="AO5820" s="11">
        <v>16470.45</v>
      </c>
      <c r="AP5820" s="9">
        <v>2.8702239370814495</v>
      </c>
    </row>
    <row r="5821" spans="40:42" x14ac:dyDescent="0.3">
      <c r="AN5821">
        <v>5817</v>
      </c>
      <c r="AO5821" s="11">
        <v>17602.189999999999</v>
      </c>
      <c r="AP5821" s="9">
        <v>2.9153978892871448</v>
      </c>
    </row>
    <row r="5822" spans="40:42" x14ac:dyDescent="0.3">
      <c r="AN5822">
        <v>5818</v>
      </c>
      <c r="AO5822" s="11">
        <v>18250.77</v>
      </c>
      <c r="AP5822" s="9">
        <v>2.6421860648980751</v>
      </c>
    </row>
    <row r="5823" spans="40:42" x14ac:dyDescent="0.3">
      <c r="AN5823">
        <v>5819</v>
      </c>
      <c r="AO5823" s="11">
        <v>27422.69</v>
      </c>
      <c r="AP5823" s="9">
        <v>3.3432271021738451</v>
      </c>
    </row>
    <row r="5824" spans="40:42" x14ac:dyDescent="0.3">
      <c r="AN5824">
        <v>5820</v>
      </c>
      <c r="AO5824" s="11">
        <v>18066.169999999998</v>
      </c>
      <c r="AP5824" s="9">
        <v>3.2830415183198118</v>
      </c>
    </row>
    <row r="5825" spans="40:42" x14ac:dyDescent="0.3">
      <c r="AN5825">
        <v>5821</v>
      </c>
      <c r="AO5825" s="11">
        <v>29032.26</v>
      </c>
      <c r="AP5825" s="9">
        <v>3.0737260189765259</v>
      </c>
    </row>
    <row r="5826" spans="40:42" x14ac:dyDescent="0.3">
      <c r="AN5826">
        <v>5822</v>
      </c>
      <c r="AO5826" s="11">
        <v>30427.68</v>
      </c>
      <c r="AP5826" s="9">
        <v>3.1053722282591463</v>
      </c>
    </row>
    <row r="5827" spans="40:42" x14ac:dyDescent="0.3">
      <c r="AN5827">
        <v>5823</v>
      </c>
      <c r="AO5827" s="11">
        <v>19142.18</v>
      </c>
      <c r="AP5827" s="9">
        <v>3.6903718840609163</v>
      </c>
    </row>
    <row r="5828" spans="40:42" x14ac:dyDescent="0.3">
      <c r="AN5828">
        <v>5824</v>
      </c>
      <c r="AO5828" s="11">
        <v>30564.45</v>
      </c>
      <c r="AP5828" s="9">
        <v>3.3254530048493964</v>
      </c>
    </row>
    <row r="5829" spans="40:42" x14ac:dyDescent="0.3">
      <c r="AN5829">
        <v>5825</v>
      </c>
      <c r="AO5829" s="11">
        <v>26363.5</v>
      </c>
      <c r="AP5829" s="9">
        <v>2.6690546247687768</v>
      </c>
    </row>
    <row r="5830" spans="40:42" x14ac:dyDescent="0.3">
      <c r="AN5830">
        <v>5826</v>
      </c>
      <c r="AO5830" s="11">
        <v>19687.669999999998</v>
      </c>
      <c r="AP5830" s="9">
        <v>3.4073051654452593</v>
      </c>
    </row>
    <row r="5831" spans="40:42" x14ac:dyDescent="0.3">
      <c r="AN5831">
        <v>5827</v>
      </c>
      <c r="AO5831" s="11">
        <v>26944.99</v>
      </c>
      <c r="AP5831" s="9">
        <v>2.9195228364015411</v>
      </c>
    </row>
    <row r="5832" spans="40:42" x14ac:dyDescent="0.3">
      <c r="AN5832">
        <v>5828</v>
      </c>
      <c r="AO5832" s="11">
        <v>41168.58</v>
      </c>
      <c r="AP5832" s="9">
        <v>3.792751224409594</v>
      </c>
    </row>
    <row r="5833" spans="40:42" x14ac:dyDescent="0.3">
      <c r="AN5833">
        <v>5829</v>
      </c>
      <c r="AO5833" s="11">
        <v>26689.95</v>
      </c>
      <c r="AP5833" s="9">
        <v>3.8262160343701503</v>
      </c>
    </row>
    <row r="5834" spans="40:42" x14ac:dyDescent="0.3">
      <c r="AN5834">
        <v>5830</v>
      </c>
      <c r="AO5834" s="11">
        <v>26228.55</v>
      </c>
      <c r="AP5834" s="9">
        <v>3.6722668230560842</v>
      </c>
    </row>
    <row r="5835" spans="40:42" x14ac:dyDescent="0.3">
      <c r="AN5835">
        <v>5831</v>
      </c>
      <c r="AO5835" s="11">
        <v>20934.47</v>
      </c>
      <c r="AP5835" s="9">
        <v>3.2347282313481225</v>
      </c>
    </row>
    <row r="5836" spans="40:42" x14ac:dyDescent="0.3">
      <c r="AN5836">
        <v>5832</v>
      </c>
      <c r="AO5836" s="11">
        <v>28395.68</v>
      </c>
      <c r="AP5836" s="9">
        <v>3.5461707790942607</v>
      </c>
    </row>
    <row r="5837" spans="40:42" x14ac:dyDescent="0.3">
      <c r="AN5837">
        <v>5833</v>
      </c>
      <c r="AO5837" s="11">
        <v>38742.06</v>
      </c>
      <c r="AP5837" s="9">
        <v>4.5283359349372976</v>
      </c>
    </row>
    <row r="5838" spans="40:42" x14ac:dyDescent="0.3">
      <c r="AN5838">
        <v>5834</v>
      </c>
      <c r="AO5838" s="11">
        <v>29667.18</v>
      </c>
      <c r="AP5838" s="9">
        <v>3.3795428315106286</v>
      </c>
    </row>
    <row r="5839" spans="40:42" x14ac:dyDescent="0.3">
      <c r="AN5839">
        <v>5835</v>
      </c>
      <c r="AO5839" s="11">
        <v>23370.03</v>
      </c>
      <c r="AP5839" s="9">
        <v>2.8295541845391199</v>
      </c>
    </row>
    <row r="5840" spans="40:42" x14ac:dyDescent="0.3">
      <c r="AN5840">
        <v>5836</v>
      </c>
      <c r="AO5840" s="11">
        <v>60805.99</v>
      </c>
      <c r="AP5840" s="9">
        <v>5.0221242097211762</v>
      </c>
    </row>
    <row r="5841" spans="40:42" x14ac:dyDescent="0.3">
      <c r="AN5841">
        <v>5837</v>
      </c>
      <c r="AO5841" s="11">
        <v>23724.65</v>
      </c>
      <c r="AP5841" s="9">
        <v>3.5741270248353203</v>
      </c>
    </row>
    <row r="5842" spans="40:42" x14ac:dyDescent="0.3">
      <c r="AN5842">
        <v>5838</v>
      </c>
      <c r="AO5842" s="11">
        <v>23327.91</v>
      </c>
      <c r="AP5842" s="9">
        <v>3.1203334081867609</v>
      </c>
    </row>
    <row r="5843" spans="40:42" x14ac:dyDescent="0.3">
      <c r="AN5843">
        <v>5839</v>
      </c>
      <c r="AO5843" s="11">
        <v>10953.85</v>
      </c>
      <c r="AP5843" s="9">
        <v>3.1983681721075281</v>
      </c>
    </row>
    <row r="5844" spans="40:42" x14ac:dyDescent="0.3">
      <c r="AN5844">
        <v>5840</v>
      </c>
      <c r="AO5844" s="11">
        <v>29320.98</v>
      </c>
      <c r="AP5844" s="9">
        <v>2.8464175465806987</v>
      </c>
    </row>
    <row r="5845" spans="40:42" x14ac:dyDescent="0.3">
      <c r="AN5845">
        <v>5841</v>
      </c>
      <c r="AO5845" s="11">
        <v>22216.38</v>
      </c>
      <c r="AP5845" s="9">
        <v>3.2500241054560268</v>
      </c>
    </row>
    <row r="5846" spans="40:42" x14ac:dyDescent="0.3">
      <c r="AN5846">
        <v>5842</v>
      </c>
      <c r="AO5846" s="11">
        <v>31952.98</v>
      </c>
      <c r="AP5846" s="9">
        <v>3.2663660366785638</v>
      </c>
    </row>
    <row r="5847" spans="40:42" x14ac:dyDescent="0.3">
      <c r="AN5847">
        <v>5843</v>
      </c>
      <c r="AO5847" s="11">
        <v>34375.26</v>
      </c>
      <c r="AP5847" s="9">
        <v>3.6538705307921324</v>
      </c>
    </row>
    <row r="5848" spans="40:42" x14ac:dyDescent="0.3">
      <c r="AN5848">
        <v>5844</v>
      </c>
      <c r="AO5848" s="11">
        <v>20565.37</v>
      </c>
      <c r="AP5848" s="9">
        <v>2.8346888432021928</v>
      </c>
    </row>
    <row r="5849" spans="40:42" x14ac:dyDescent="0.3">
      <c r="AN5849">
        <v>5845</v>
      </c>
      <c r="AO5849" s="11">
        <v>27890.25</v>
      </c>
      <c r="AP5849" s="9">
        <v>2.7837807855408259</v>
      </c>
    </row>
    <row r="5850" spans="40:42" x14ac:dyDescent="0.3">
      <c r="AN5850">
        <v>5846</v>
      </c>
      <c r="AO5850" s="11">
        <v>22490.99</v>
      </c>
      <c r="AP5850" s="9">
        <v>4.1100406299022252</v>
      </c>
    </row>
    <row r="5851" spans="40:42" x14ac:dyDescent="0.3">
      <c r="AN5851">
        <v>5847</v>
      </c>
      <c r="AO5851" s="11">
        <v>22577.65</v>
      </c>
      <c r="AP5851" s="9">
        <v>3.4770941754569415</v>
      </c>
    </row>
    <row r="5852" spans="40:42" x14ac:dyDescent="0.3">
      <c r="AN5852">
        <v>5848</v>
      </c>
      <c r="AO5852" s="11">
        <v>26410.44</v>
      </c>
      <c r="AP5852" s="9">
        <v>3.6648614230363235</v>
      </c>
    </row>
    <row r="5853" spans="40:42" x14ac:dyDescent="0.3">
      <c r="AN5853">
        <v>5849</v>
      </c>
      <c r="AO5853" s="11">
        <v>14785.26</v>
      </c>
      <c r="AP5853" s="9">
        <v>2.4678441864382021</v>
      </c>
    </row>
    <row r="5854" spans="40:42" x14ac:dyDescent="0.3">
      <c r="AN5854">
        <v>5850</v>
      </c>
      <c r="AO5854" s="11">
        <v>25770.59</v>
      </c>
      <c r="AP5854" s="9">
        <v>2.9186053759791726</v>
      </c>
    </row>
    <row r="5855" spans="40:42" x14ac:dyDescent="0.3">
      <c r="AN5855">
        <v>5851</v>
      </c>
      <c r="AO5855" s="11">
        <v>35432.449999999997</v>
      </c>
      <c r="AP5855" s="9">
        <v>3.4151499445104978</v>
      </c>
    </row>
    <row r="5856" spans="40:42" x14ac:dyDescent="0.3">
      <c r="AN5856">
        <v>5852</v>
      </c>
      <c r="AO5856" s="11">
        <v>28141.97</v>
      </c>
      <c r="AP5856" s="9">
        <v>3.4721698941192289</v>
      </c>
    </row>
    <row r="5857" spans="40:42" x14ac:dyDescent="0.3">
      <c r="AN5857">
        <v>5853</v>
      </c>
      <c r="AO5857" s="11">
        <v>38188.65</v>
      </c>
      <c r="AP5857" s="9">
        <v>3.506962401811645</v>
      </c>
    </row>
    <row r="5858" spans="40:42" x14ac:dyDescent="0.3">
      <c r="AN5858">
        <v>5854</v>
      </c>
      <c r="AO5858" s="11">
        <v>23069.919999999998</v>
      </c>
      <c r="AP5858" s="9">
        <v>3.3015540283116191</v>
      </c>
    </row>
    <row r="5859" spans="40:42" x14ac:dyDescent="0.3">
      <c r="AN5859">
        <v>5855</v>
      </c>
      <c r="AO5859" s="11">
        <v>40759.15</v>
      </c>
      <c r="AP5859" s="9">
        <v>3.5669454756422732</v>
      </c>
    </row>
    <row r="5860" spans="40:42" x14ac:dyDescent="0.3">
      <c r="AN5860">
        <v>5856</v>
      </c>
      <c r="AO5860" s="11">
        <v>26337.45</v>
      </c>
      <c r="AP5860" s="9">
        <v>3.46902961740828</v>
      </c>
    </row>
    <row r="5861" spans="40:42" x14ac:dyDescent="0.3">
      <c r="AN5861">
        <v>5857</v>
      </c>
      <c r="AO5861" s="11">
        <v>22216.93</v>
      </c>
      <c r="AP5861" s="9">
        <v>3.8509235367087542</v>
      </c>
    </row>
    <row r="5862" spans="40:42" x14ac:dyDescent="0.3">
      <c r="AN5862">
        <v>5858</v>
      </c>
      <c r="AO5862" s="11">
        <v>27912.720000000001</v>
      </c>
      <c r="AP5862" s="9">
        <v>3.138855352688148</v>
      </c>
    </row>
    <row r="5863" spans="40:42" x14ac:dyDescent="0.3">
      <c r="AN5863">
        <v>5859</v>
      </c>
      <c r="AO5863" s="11">
        <v>18257.900000000001</v>
      </c>
      <c r="AP5863" s="9">
        <v>3.0990891251544439</v>
      </c>
    </row>
    <row r="5864" spans="40:42" x14ac:dyDescent="0.3">
      <c r="AN5864">
        <v>5860</v>
      </c>
      <c r="AO5864" s="11">
        <v>32292.59</v>
      </c>
      <c r="AP5864" s="9">
        <v>3.4084959487886008</v>
      </c>
    </row>
    <row r="5865" spans="40:42" x14ac:dyDescent="0.3">
      <c r="AN5865">
        <v>5861</v>
      </c>
      <c r="AO5865" s="11">
        <v>30124.959999999999</v>
      </c>
      <c r="AP5865" s="9">
        <v>2.9742761246825475</v>
      </c>
    </row>
    <row r="5866" spans="40:42" x14ac:dyDescent="0.3">
      <c r="AN5866">
        <v>5862</v>
      </c>
      <c r="AO5866" s="11">
        <v>18219.8</v>
      </c>
      <c r="AP5866" s="9">
        <v>3.6370600412483807</v>
      </c>
    </row>
    <row r="5867" spans="40:42" x14ac:dyDescent="0.3">
      <c r="AN5867">
        <v>5863</v>
      </c>
      <c r="AO5867" s="11">
        <v>22899.54</v>
      </c>
      <c r="AP5867" s="9">
        <v>3.333153901686285</v>
      </c>
    </row>
    <row r="5868" spans="40:42" x14ac:dyDescent="0.3">
      <c r="AN5868">
        <v>5864</v>
      </c>
      <c r="AO5868" s="11">
        <v>24905.919999999998</v>
      </c>
      <c r="AP5868" s="9">
        <v>3.5405897512277043</v>
      </c>
    </row>
    <row r="5869" spans="40:42" x14ac:dyDescent="0.3">
      <c r="AN5869">
        <v>5865</v>
      </c>
      <c r="AO5869" s="11">
        <v>22960.35</v>
      </c>
      <c r="AP5869" s="9">
        <v>3.2897944682466393</v>
      </c>
    </row>
    <row r="5870" spans="40:42" x14ac:dyDescent="0.3">
      <c r="AN5870">
        <v>5866</v>
      </c>
      <c r="AO5870" s="11">
        <v>23640.97</v>
      </c>
      <c r="AP5870" s="9">
        <v>2.8222859756312024</v>
      </c>
    </row>
    <row r="5871" spans="40:42" x14ac:dyDescent="0.3">
      <c r="AN5871">
        <v>5867</v>
      </c>
      <c r="AO5871" s="11">
        <v>26934.18</v>
      </c>
      <c r="AP5871" s="9">
        <v>3.2871108779649929</v>
      </c>
    </row>
    <row r="5872" spans="40:42" x14ac:dyDescent="0.3">
      <c r="AN5872">
        <v>5868</v>
      </c>
      <c r="AO5872" s="11">
        <v>22208.94</v>
      </c>
      <c r="AP5872" s="9">
        <v>3.5003518680999242</v>
      </c>
    </row>
    <row r="5873" spans="40:42" x14ac:dyDescent="0.3">
      <c r="AN5873">
        <v>5869</v>
      </c>
      <c r="AO5873" s="11">
        <v>32409.37</v>
      </c>
      <c r="AP5873" s="9">
        <v>3.2428163239322485</v>
      </c>
    </row>
    <row r="5874" spans="40:42" x14ac:dyDescent="0.3">
      <c r="AN5874">
        <v>5870</v>
      </c>
      <c r="AO5874" s="11">
        <v>20973.62</v>
      </c>
      <c r="AP5874" s="9">
        <v>3.3922694613444313</v>
      </c>
    </row>
    <row r="5875" spans="40:42" x14ac:dyDescent="0.3">
      <c r="AN5875">
        <v>5871</v>
      </c>
      <c r="AO5875" s="11">
        <v>21072.37</v>
      </c>
      <c r="AP5875" s="9">
        <v>3.1993507798302199</v>
      </c>
    </row>
    <row r="5876" spans="40:42" x14ac:dyDescent="0.3">
      <c r="AN5876">
        <v>5872</v>
      </c>
      <c r="AO5876" s="11">
        <v>24091.119999999999</v>
      </c>
      <c r="AP5876" s="9">
        <v>2.992617914971142</v>
      </c>
    </row>
    <row r="5877" spans="40:42" x14ac:dyDescent="0.3">
      <c r="AN5877">
        <v>5873</v>
      </c>
      <c r="AO5877" s="11">
        <v>24609.75</v>
      </c>
      <c r="AP5877" s="9">
        <v>3.9867148155472978</v>
      </c>
    </row>
    <row r="5878" spans="40:42" x14ac:dyDescent="0.3">
      <c r="AN5878">
        <v>5874</v>
      </c>
      <c r="AO5878" s="11">
        <v>19166.54</v>
      </c>
      <c r="AP5878" s="9">
        <v>3.58719284847693</v>
      </c>
    </row>
    <row r="5879" spans="40:42" x14ac:dyDescent="0.3">
      <c r="AN5879">
        <v>5875</v>
      </c>
      <c r="AO5879" s="11">
        <v>24306.959999999999</v>
      </c>
      <c r="AP5879" s="9">
        <v>4.0112542258953887</v>
      </c>
    </row>
    <row r="5880" spans="40:42" x14ac:dyDescent="0.3">
      <c r="AN5880">
        <v>5876</v>
      </c>
      <c r="AO5880" s="11">
        <v>23453.86</v>
      </c>
      <c r="AP5880" s="9">
        <v>3.8217758994740407</v>
      </c>
    </row>
    <row r="5881" spans="40:42" x14ac:dyDescent="0.3">
      <c r="AN5881">
        <v>5877</v>
      </c>
      <c r="AO5881" s="11">
        <v>57291.96</v>
      </c>
      <c r="AP5881" s="9">
        <v>4.1149614185551799</v>
      </c>
    </row>
    <row r="5882" spans="40:42" x14ac:dyDescent="0.3">
      <c r="AN5882">
        <v>5878</v>
      </c>
      <c r="AO5882" s="11">
        <v>25797.48</v>
      </c>
      <c r="AP5882" s="9">
        <v>3.6590860286689542</v>
      </c>
    </row>
    <row r="5883" spans="40:42" x14ac:dyDescent="0.3">
      <c r="AN5883">
        <v>5879</v>
      </c>
      <c r="AO5883" s="11">
        <v>33562</v>
      </c>
      <c r="AP5883" s="9">
        <v>3.8380260181737276</v>
      </c>
    </row>
    <row r="5884" spans="40:42" x14ac:dyDescent="0.3">
      <c r="AN5884">
        <v>5880</v>
      </c>
      <c r="AO5884" s="11">
        <v>41626.160000000003</v>
      </c>
      <c r="AP5884" s="9">
        <v>3.6181412398831596</v>
      </c>
    </row>
    <row r="5885" spans="40:42" x14ac:dyDescent="0.3">
      <c r="AN5885">
        <v>5881</v>
      </c>
      <c r="AO5885" s="11">
        <v>31506.880000000001</v>
      </c>
      <c r="AP5885" s="9">
        <v>3.2481832113382727</v>
      </c>
    </row>
    <row r="5886" spans="40:42" x14ac:dyDescent="0.3">
      <c r="AN5886">
        <v>5882</v>
      </c>
      <c r="AO5886" s="11">
        <v>23765.62</v>
      </c>
      <c r="AP5886" s="9">
        <v>3.0063262446982035</v>
      </c>
    </row>
    <row r="5887" spans="40:42" x14ac:dyDescent="0.3">
      <c r="AN5887">
        <v>5883</v>
      </c>
      <c r="AO5887" s="11">
        <v>31482.09</v>
      </c>
      <c r="AP5887" s="9">
        <v>3.4571901844154387</v>
      </c>
    </row>
    <row r="5888" spans="40:42" x14ac:dyDescent="0.3">
      <c r="AN5888">
        <v>5884</v>
      </c>
      <c r="AO5888" s="11">
        <v>16878.87</v>
      </c>
      <c r="AP5888" s="9">
        <v>2.4777168622416768</v>
      </c>
    </row>
    <row r="5889" spans="40:42" x14ac:dyDescent="0.3">
      <c r="AN5889">
        <v>5885</v>
      </c>
      <c r="AO5889" s="11">
        <v>22021.35</v>
      </c>
      <c r="AP5889" s="9">
        <v>2.6486946817022763</v>
      </c>
    </row>
    <row r="5890" spans="40:42" x14ac:dyDescent="0.3">
      <c r="AN5890">
        <v>5886</v>
      </c>
      <c r="AO5890" s="11">
        <v>33516.730000000003</v>
      </c>
      <c r="AP5890" s="9">
        <v>3.3160442449891012</v>
      </c>
    </row>
    <row r="5891" spans="40:42" x14ac:dyDescent="0.3">
      <c r="AN5891">
        <v>5887</v>
      </c>
      <c r="AO5891" s="11">
        <v>27273.32</v>
      </c>
      <c r="AP5891" s="9">
        <v>3.3833939640753306</v>
      </c>
    </row>
    <row r="5892" spans="40:42" x14ac:dyDescent="0.3">
      <c r="AN5892">
        <v>5888</v>
      </c>
      <c r="AO5892" s="11">
        <v>34088.5</v>
      </c>
      <c r="AP5892" s="9">
        <v>3.3178699049578926</v>
      </c>
    </row>
    <row r="5893" spans="40:42" x14ac:dyDescent="0.3">
      <c r="AN5893">
        <v>5889</v>
      </c>
      <c r="AO5893" s="11">
        <v>32114.65</v>
      </c>
      <c r="AP5893" s="9">
        <v>3.8903218889638032</v>
      </c>
    </row>
    <row r="5894" spans="40:42" x14ac:dyDescent="0.3">
      <c r="AN5894">
        <v>5890</v>
      </c>
      <c r="AO5894" s="11">
        <v>20482.96</v>
      </c>
      <c r="AP5894" s="9">
        <v>2.7703992537617395</v>
      </c>
    </row>
    <row r="5895" spans="40:42" x14ac:dyDescent="0.3">
      <c r="AN5895">
        <v>5891</v>
      </c>
      <c r="AO5895" s="11">
        <v>28742.73</v>
      </c>
      <c r="AP5895" s="9">
        <v>4.041217709520021</v>
      </c>
    </row>
    <row r="5896" spans="40:42" x14ac:dyDescent="0.3">
      <c r="AN5896">
        <v>5892</v>
      </c>
      <c r="AO5896" s="11">
        <v>28639.439999999999</v>
      </c>
      <c r="AP5896" s="9">
        <v>3.5003810760327165</v>
      </c>
    </row>
    <row r="5897" spans="40:42" x14ac:dyDescent="0.3">
      <c r="AN5897">
        <v>5893</v>
      </c>
      <c r="AO5897" s="11">
        <v>19091.310000000001</v>
      </c>
      <c r="AP5897" s="9">
        <v>3.2143752127081826</v>
      </c>
    </row>
    <row r="5898" spans="40:42" x14ac:dyDescent="0.3">
      <c r="AN5898">
        <v>5894</v>
      </c>
      <c r="AO5898" s="11">
        <v>23225.99</v>
      </c>
      <c r="AP5898" s="9">
        <v>3.8082339916652925</v>
      </c>
    </row>
    <row r="5899" spans="40:42" x14ac:dyDescent="0.3">
      <c r="AN5899">
        <v>5895</v>
      </c>
      <c r="AO5899" s="11">
        <v>27671.97</v>
      </c>
      <c r="AP5899" s="9">
        <v>2.9158937137198877</v>
      </c>
    </row>
    <row r="5900" spans="40:42" x14ac:dyDescent="0.3">
      <c r="AN5900">
        <v>5896</v>
      </c>
      <c r="AO5900" s="11">
        <v>30529.040000000001</v>
      </c>
      <c r="AP5900" s="9">
        <v>3.4886121973219573</v>
      </c>
    </row>
    <row r="5901" spans="40:42" x14ac:dyDescent="0.3">
      <c r="AN5901">
        <v>5897</v>
      </c>
      <c r="AO5901" s="11">
        <v>34169.24</v>
      </c>
      <c r="AP5901" s="9">
        <v>3.8732779058596365</v>
      </c>
    </row>
    <row r="5902" spans="40:42" x14ac:dyDescent="0.3">
      <c r="AN5902">
        <v>5898</v>
      </c>
      <c r="AO5902" s="11">
        <v>30764</v>
      </c>
      <c r="AP5902" s="9">
        <v>3.651834130959061</v>
      </c>
    </row>
    <row r="5903" spans="40:42" x14ac:dyDescent="0.3">
      <c r="AN5903">
        <v>5899</v>
      </c>
      <c r="AO5903" s="11">
        <v>35288.910000000003</v>
      </c>
      <c r="AP5903" s="9">
        <v>3.876490620415288</v>
      </c>
    </row>
    <row r="5904" spans="40:42" x14ac:dyDescent="0.3">
      <c r="AN5904">
        <v>5900</v>
      </c>
      <c r="AO5904" s="11">
        <v>20734.77</v>
      </c>
      <c r="AP5904" s="9">
        <v>3.2064402379577177</v>
      </c>
    </row>
    <row r="5905" spans="40:42" x14ac:dyDescent="0.3">
      <c r="AN5905">
        <v>5901</v>
      </c>
      <c r="AO5905" s="11">
        <v>35130.230000000003</v>
      </c>
      <c r="AP5905" s="9">
        <v>3.0947076590378595</v>
      </c>
    </row>
    <row r="5906" spans="40:42" x14ac:dyDescent="0.3">
      <c r="AN5906">
        <v>5902</v>
      </c>
      <c r="AO5906" s="11">
        <v>42732.86</v>
      </c>
      <c r="AP5906" s="9">
        <v>3.5506766649876411</v>
      </c>
    </row>
    <row r="5907" spans="40:42" x14ac:dyDescent="0.3">
      <c r="AN5907">
        <v>5903</v>
      </c>
      <c r="AO5907" s="11">
        <v>32794.01</v>
      </c>
      <c r="AP5907" s="9">
        <v>2.9178365916198006</v>
      </c>
    </row>
    <row r="5908" spans="40:42" x14ac:dyDescent="0.3">
      <c r="AN5908">
        <v>5904</v>
      </c>
      <c r="AO5908" s="11">
        <v>15976</v>
      </c>
      <c r="AP5908" s="9">
        <v>2.954329766695154</v>
      </c>
    </row>
    <row r="5909" spans="40:42" x14ac:dyDescent="0.3">
      <c r="AN5909">
        <v>5905</v>
      </c>
      <c r="AO5909" s="11">
        <v>29779.22</v>
      </c>
      <c r="AP5909" s="9">
        <v>3.3248905134738478</v>
      </c>
    </row>
    <row r="5910" spans="40:42" x14ac:dyDescent="0.3">
      <c r="AN5910">
        <v>5906</v>
      </c>
      <c r="AO5910" s="11">
        <v>20288.669999999998</v>
      </c>
      <c r="AP5910" s="9">
        <v>2.8607840994870837</v>
      </c>
    </row>
    <row r="5911" spans="40:42" x14ac:dyDescent="0.3">
      <c r="AN5911">
        <v>5907</v>
      </c>
      <c r="AO5911" s="11">
        <v>39083.25</v>
      </c>
      <c r="AP5911" s="9">
        <v>2.9176760894005218</v>
      </c>
    </row>
    <row r="5912" spans="40:42" x14ac:dyDescent="0.3">
      <c r="AN5912">
        <v>5908</v>
      </c>
      <c r="AO5912" s="11">
        <v>14804.18</v>
      </c>
      <c r="AP5912" s="9">
        <v>3.1840806194537072</v>
      </c>
    </row>
    <row r="5913" spans="40:42" x14ac:dyDescent="0.3">
      <c r="AN5913">
        <v>5909</v>
      </c>
      <c r="AO5913" s="11">
        <v>31697.93</v>
      </c>
      <c r="AP5913" s="9">
        <v>3.7465621612577191</v>
      </c>
    </row>
    <row r="5914" spans="40:42" x14ac:dyDescent="0.3">
      <c r="AN5914">
        <v>5910</v>
      </c>
      <c r="AO5914" s="11">
        <v>24444.6</v>
      </c>
      <c r="AP5914" s="9">
        <v>4.116697927790967</v>
      </c>
    </row>
    <row r="5915" spans="40:42" x14ac:dyDescent="0.3">
      <c r="AN5915">
        <v>5911</v>
      </c>
      <c r="AO5915" s="11">
        <v>30574.05</v>
      </c>
      <c r="AP5915" s="9">
        <v>3.3419593305165929</v>
      </c>
    </row>
    <row r="5916" spans="40:42" x14ac:dyDescent="0.3">
      <c r="AN5916">
        <v>5912</v>
      </c>
      <c r="AO5916" s="11">
        <v>29160.25</v>
      </c>
      <c r="AP5916" s="9">
        <v>2.9049359407431412</v>
      </c>
    </row>
    <row r="5917" spans="40:42" x14ac:dyDescent="0.3">
      <c r="AN5917">
        <v>5913</v>
      </c>
      <c r="AO5917" s="11">
        <v>27458.45</v>
      </c>
      <c r="AP5917" s="9">
        <v>3.7312085233304684</v>
      </c>
    </row>
    <row r="5918" spans="40:42" x14ac:dyDescent="0.3">
      <c r="AN5918">
        <v>5914</v>
      </c>
      <c r="AO5918" s="11">
        <v>32239.45</v>
      </c>
      <c r="AP5918" s="9">
        <v>3.607644079597236</v>
      </c>
    </row>
    <row r="5919" spans="40:42" x14ac:dyDescent="0.3">
      <c r="AN5919">
        <v>5915</v>
      </c>
      <c r="AO5919" s="11">
        <v>35427.06</v>
      </c>
      <c r="AP5919" s="9">
        <v>2.968007234996163</v>
      </c>
    </row>
    <row r="5920" spans="40:42" x14ac:dyDescent="0.3">
      <c r="AN5920">
        <v>5916</v>
      </c>
      <c r="AO5920" s="11">
        <v>19989.37</v>
      </c>
      <c r="AP5920" s="9">
        <v>2.8874107248602905</v>
      </c>
    </row>
    <row r="5921" spans="40:42" x14ac:dyDescent="0.3">
      <c r="AN5921">
        <v>5917</v>
      </c>
      <c r="AO5921" s="11">
        <v>27276.92</v>
      </c>
      <c r="AP5921" s="9">
        <v>3.653251304822819</v>
      </c>
    </row>
    <row r="5922" spans="40:42" x14ac:dyDescent="0.3">
      <c r="AN5922">
        <v>5918</v>
      </c>
      <c r="AO5922" s="11">
        <v>24538.12</v>
      </c>
      <c r="AP5922" s="9">
        <v>2.8160889899616954</v>
      </c>
    </row>
    <row r="5923" spans="40:42" x14ac:dyDescent="0.3">
      <c r="AN5923">
        <v>5919</v>
      </c>
      <c r="AO5923" s="11">
        <v>23628.81</v>
      </c>
      <c r="AP5923" s="9">
        <v>2.9546789196162058</v>
      </c>
    </row>
    <row r="5924" spans="40:42" x14ac:dyDescent="0.3">
      <c r="AN5924">
        <v>5920</v>
      </c>
      <c r="AO5924" s="11">
        <v>23797.18</v>
      </c>
      <c r="AP5924" s="9">
        <v>2.9551814714556568</v>
      </c>
    </row>
    <row r="5925" spans="40:42" x14ac:dyDescent="0.3">
      <c r="AN5925">
        <v>5921</v>
      </c>
      <c r="AO5925" s="11">
        <v>23395.19</v>
      </c>
      <c r="AP5925" s="9">
        <v>2.9521452549561364</v>
      </c>
    </row>
    <row r="5926" spans="40:42" x14ac:dyDescent="0.3">
      <c r="AN5926">
        <v>5922</v>
      </c>
      <c r="AO5926" s="11">
        <v>25239.57</v>
      </c>
      <c r="AP5926" s="9">
        <v>3.3680365819520834</v>
      </c>
    </row>
    <row r="5927" spans="40:42" x14ac:dyDescent="0.3">
      <c r="AN5927">
        <v>5923</v>
      </c>
      <c r="AO5927" s="11">
        <v>28322.38</v>
      </c>
      <c r="AP5927" s="9">
        <v>2.8806088102023946</v>
      </c>
    </row>
    <row r="5928" spans="40:42" x14ac:dyDescent="0.3">
      <c r="AN5928">
        <v>5924</v>
      </c>
      <c r="AO5928" s="11">
        <v>43268.78</v>
      </c>
      <c r="AP5928" s="9">
        <v>3.8533027072982815</v>
      </c>
    </row>
    <row r="5929" spans="40:42" x14ac:dyDescent="0.3">
      <c r="AN5929">
        <v>5925</v>
      </c>
      <c r="AO5929" s="11">
        <v>24203.81</v>
      </c>
      <c r="AP5929" s="9">
        <v>3.316189874686581</v>
      </c>
    </row>
    <row r="5930" spans="40:42" x14ac:dyDescent="0.3">
      <c r="AN5930">
        <v>5926</v>
      </c>
      <c r="AO5930" s="11">
        <v>31914.62</v>
      </c>
      <c r="AP5930" s="9">
        <v>3.191796267107728</v>
      </c>
    </row>
    <row r="5931" spans="40:42" x14ac:dyDescent="0.3">
      <c r="AN5931">
        <v>5927</v>
      </c>
      <c r="AO5931" s="11">
        <v>27956.53</v>
      </c>
      <c r="AP5931" s="9">
        <v>4.0042560488200918</v>
      </c>
    </row>
    <row r="5932" spans="40:42" x14ac:dyDescent="0.3">
      <c r="AN5932">
        <v>5928</v>
      </c>
      <c r="AO5932" s="11">
        <v>21220.18</v>
      </c>
      <c r="AP5932" s="9">
        <v>3.2826388849557757</v>
      </c>
    </row>
    <row r="5933" spans="40:42" x14ac:dyDescent="0.3">
      <c r="AN5933">
        <v>5929</v>
      </c>
      <c r="AO5933" s="11">
        <v>28856.86</v>
      </c>
      <c r="AP5933" s="9">
        <v>3.8043994288534386</v>
      </c>
    </row>
    <row r="5934" spans="40:42" x14ac:dyDescent="0.3">
      <c r="AN5934">
        <v>5930</v>
      </c>
      <c r="AO5934" s="11">
        <v>27177.77</v>
      </c>
      <c r="AP5934" s="9">
        <v>3.4583390644895804</v>
      </c>
    </row>
    <row r="5935" spans="40:42" x14ac:dyDescent="0.3">
      <c r="AN5935">
        <v>5931</v>
      </c>
      <c r="AO5935" s="11">
        <v>34432.74</v>
      </c>
      <c r="AP5935" s="9">
        <v>3.2481807152701756</v>
      </c>
    </row>
    <row r="5936" spans="40:42" x14ac:dyDescent="0.3">
      <c r="AN5936">
        <v>5932</v>
      </c>
      <c r="AO5936" s="11">
        <v>28765.91</v>
      </c>
      <c r="AP5936" s="9">
        <v>3.5261648540813759</v>
      </c>
    </row>
    <row r="5937" spans="40:42" x14ac:dyDescent="0.3">
      <c r="AN5937">
        <v>5933</v>
      </c>
      <c r="AO5937" s="11">
        <v>27323.67</v>
      </c>
      <c r="AP5937" s="9">
        <v>3.8946279597176003</v>
      </c>
    </row>
    <row r="5938" spans="40:42" x14ac:dyDescent="0.3">
      <c r="AN5938">
        <v>5934</v>
      </c>
      <c r="AO5938" s="11">
        <v>22211.17</v>
      </c>
      <c r="AP5938" s="9">
        <v>3.342597118017681</v>
      </c>
    </row>
    <row r="5939" spans="40:42" x14ac:dyDescent="0.3">
      <c r="AN5939">
        <v>5935</v>
      </c>
      <c r="AO5939" s="11">
        <v>19427.52</v>
      </c>
      <c r="AP5939" s="9">
        <v>3.2111471465382779</v>
      </c>
    </row>
    <row r="5940" spans="40:42" x14ac:dyDescent="0.3">
      <c r="AN5940">
        <v>5936</v>
      </c>
      <c r="AO5940" s="11">
        <v>15355.02</v>
      </c>
      <c r="AP5940" s="9">
        <v>2.960382324058203</v>
      </c>
    </row>
    <row r="5941" spans="40:42" x14ac:dyDescent="0.3">
      <c r="AN5941">
        <v>5937</v>
      </c>
      <c r="AO5941" s="11">
        <v>37540.300000000003</v>
      </c>
      <c r="AP5941" s="9">
        <v>4.0415113932123434</v>
      </c>
    </row>
    <row r="5942" spans="40:42" x14ac:dyDescent="0.3">
      <c r="AN5942">
        <v>5938</v>
      </c>
      <c r="AO5942" s="11">
        <v>22996.57</v>
      </c>
      <c r="AP5942" s="9">
        <v>3.0427175911404847</v>
      </c>
    </row>
    <row r="5943" spans="40:42" x14ac:dyDescent="0.3">
      <c r="AN5943">
        <v>5939</v>
      </c>
      <c r="AO5943" s="11">
        <v>41676.660000000003</v>
      </c>
      <c r="AP5943" s="9">
        <v>4.0160351886824532</v>
      </c>
    </row>
    <row r="5944" spans="40:42" x14ac:dyDescent="0.3">
      <c r="AN5944">
        <v>5940</v>
      </c>
      <c r="AO5944" s="11">
        <v>28281.43</v>
      </c>
      <c r="AP5944" s="9">
        <v>3.5544829694981201</v>
      </c>
    </row>
    <row r="5945" spans="40:42" x14ac:dyDescent="0.3">
      <c r="AN5945">
        <v>5941</v>
      </c>
      <c r="AO5945" s="11">
        <v>27878.15</v>
      </c>
      <c r="AP5945" s="9">
        <v>3.6774563470450308</v>
      </c>
    </row>
    <row r="5946" spans="40:42" x14ac:dyDescent="0.3">
      <c r="AN5946">
        <v>5942</v>
      </c>
      <c r="AO5946" s="11">
        <v>30817.87</v>
      </c>
      <c r="AP5946" s="9">
        <v>3.0954289533634869</v>
      </c>
    </row>
    <row r="5947" spans="40:42" x14ac:dyDescent="0.3">
      <c r="AN5947">
        <v>5943</v>
      </c>
      <c r="AO5947" s="11">
        <v>14715.3</v>
      </c>
      <c r="AP5947" s="9">
        <v>3.0180456872253574</v>
      </c>
    </row>
    <row r="5948" spans="40:42" x14ac:dyDescent="0.3">
      <c r="AN5948">
        <v>5944</v>
      </c>
      <c r="AO5948" s="11">
        <v>34362.589999999997</v>
      </c>
      <c r="AP5948" s="9">
        <v>3.1974563857974858</v>
      </c>
    </row>
    <row r="5949" spans="40:42" x14ac:dyDescent="0.3">
      <c r="AN5949">
        <v>5945</v>
      </c>
      <c r="AO5949" s="11">
        <v>26984.2</v>
      </c>
      <c r="AP5949" s="9">
        <v>3.5598199812775397</v>
      </c>
    </row>
    <row r="5950" spans="40:42" x14ac:dyDescent="0.3">
      <c r="AN5950">
        <v>5946</v>
      </c>
      <c r="AO5950" s="11">
        <v>17997.8</v>
      </c>
      <c r="AP5950" s="9">
        <v>3.447855461523794</v>
      </c>
    </row>
    <row r="5951" spans="40:42" x14ac:dyDescent="0.3">
      <c r="AN5951">
        <v>5947</v>
      </c>
      <c r="AO5951" s="11">
        <v>17469.63</v>
      </c>
      <c r="AP5951" s="9">
        <v>2.8729765197953046</v>
      </c>
    </row>
    <row r="5952" spans="40:42" x14ac:dyDescent="0.3">
      <c r="AN5952">
        <v>5948</v>
      </c>
      <c r="AO5952" s="11">
        <v>21301.98</v>
      </c>
      <c r="AP5952" s="9">
        <v>3.0501955907779941</v>
      </c>
    </row>
    <row r="5953" spans="40:42" x14ac:dyDescent="0.3">
      <c r="AN5953">
        <v>5949</v>
      </c>
      <c r="AO5953" s="11">
        <v>26330.67</v>
      </c>
      <c r="AP5953" s="9">
        <v>3.1793709641871617</v>
      </c>
    </row>
    <row r="5954" spans="40:42" x14ac:dyDescent="0.3">
      <c r="AN5954">
        <v>5950</v>
      </c>
      <c r="AO5954" s="11">
        <v>32126.29</v>
      </c>
      <c r="AP5954" s="9">
        <v>4.1006787029059293</v>
      </c>
    </row>
    <row r="5955" spans="40:42" x14ac:dyDescent="0.3">
      <c r="AN5955">
        <v>5951</v>
      </c>
      <c r="AO5955" s="11">
        <v>43298.35</v>
      </c>
      <c r="AP5955" s="9">
        <v>3.3349473946930064</v>
      </c>
    </row>
    <row r="5956" spans="40:42" x14ac:dyDescent="0.3">
      <c r="AN5956">
        <v>5952</v>
      </c>
      <c r="AO5956" s="11">
        <v>49860.03</v>
      </c>
      <c r="AP5956" s="9">
        <v>3.654353936878322</v>
      </c>
    </row>
    <row r="5957" spans="40:42" x14ac:dyDescent="0.3">
      <c r="AN5957">
        <v>5953</v>
      </c>
      <c r="AO5957" s="11">
        <v>20421.5</v>
      </c>
      <c r="AP5957" s="9">
        <v>3.3556201978600981</v>
      </c>
    </row>
    <row r="5958" spans="40:42" x14ac:dyDescent="0.3">
      <c r="AN5958">
        <v>5954</v>
      </c>
      <c r="AO5958" s="11">
        <v>30584.95</v>
      </c>
      <c r="AP5958" s="9">
        <v>4.1957251527102688</v>
      </c>
    </row>
    <row r="5959" spans="40:42" x14ac:dyDescent="0.3">
      <c r="AN5959">
        <v>5955</v>
      </c>
      <c r="AO5959" s="11">
        <v>20863.43</v>
      </c>
      <c r="AP5959" s="9">
        <v>3.2126936768573908</v>
      </c>
    </row>
    <row r="5960" spans="40:42" x14ac:dyDescent="0.3">
      <c r="AN5960">
        <v>5956</v>
      </c>
      <c r="AO5960" s="11">
        <v>28961.84</v>
      </c>
      <c r="AP5960" s="9">
        <v>3.7800446150165241</v>
      </c>
    </row>
    <row r="5961" spans="40:42" x14ac:dyDescent="0.3">
      <c r="AN5961">
        <v>5957</v>
      </c>
      <c r="AO5961" s="11">
        <v>36126.660000000003</v>
      </c>
      <c r="AP5961" s="9">
        <v>3.2562105689730605</v>
      </c>
    </row>
    <row r="5962" spans="40:42" x14ac:dyDescent="0.3">
      <c r="AN5962">
        <v>5958</v>
      </c>
      <c r="AO5962" s="11">
        <v>32914.17</v>
      </c>
      <c r="AP5962" s="9">
        <v>3.2983341956062326</v>
      </c>
    </row>
    <row r="5963" spans="40:42" x14ac:dyDescent="0.3">
      <c r="AN5963">
        <v>5959</v>
      </c>
      <c r="AO5963" s="11">
        <v>19311.009999999998</v>
      </c>
      <c r="AP5963" s="9">
        <v>2.9910243004242751</v>
      </c>
    </row>
    <row r="5964" spans="40:42" x14ac:dyDescent="0.3">
      <c r="AN5964">
        <v>5960</v>
      </c>
      <c r="AO5964" s="11">
        <v>24285.38</v>
      </c>
      <c r="AP5964" s="9">
        <v>3.6440880750222187</v>
      </c>
    </row>
    <row r="5965" spans="40:42" x14ac:dyDescent="0.3">
      <c r="AN5965">
        <v>5961</v>
      </c>
      <c r="AO5965" s="11">
        <v>34642.559999999998</v>
      </c>
      <c r="AP5965" s="9">
        <v>3.2701435558107779</v>
      </c>
    </row>
    <row r="5966" spans="40:42" x14ac:dyDescent="0.3">
      <c r="AN5966">
        <v>5962</v>
      </c>
      <c r="AO5966" s="11">
        <v>24722.98</v>
      </c>
      <c r="AP5966" s="9">
        <v>3.4539332388741371</v>
      </c>
    </row>
    <row r="5967" spans="40:42" x14ac:dyDescent="0.3">
      <c r="AN5967">
        <v>5963</v>
      </c>
      <c r="AO5967" s="11">
        <v>25751.73</v>
      </c>
      <c r="AP5967" s="9">
        <v>3.3733914814655814</v>
      </c>
    </row>
    <row r="5968" spans="40:42" x14ac:dyDescent="0.3">
      <c r="AN5968">
        <v>5964</v>
      </c>
      <c r="AO5968" s="11">
        <v>17009.72</v>
      </c>
      <c r="AP5968" s="9">
        <v>3.8087025944695601</v>
      </c>
    </row>
    <row r="5969" spans="40:42" x14ac:dyDescent="0.3">
      <c r="AN5969">
        <v>5965</v>
      </c>
      <c r="AO5969" s="11">
        <v>18712.62</v>
      </c>
      <c r="AP5969" s="9">
        <v>2.5923858496169951</v>
      </c>
    </row>
    <row r="5970" spans="40:42" x14ac:dyDescent="0.3">
      <c r="AN5970">
        <v>5966</v>
      </c>
      <c r="AO5970" s="11">
        <v>31827.43</v>
      </c>
      <c r="AP5970" s="9">
        <v>4.0843171456000338</v>
      </c>
    </row>
    <row r="5971" spans="40:42" x14ac:dyDescent="0.3">
      <c r="AN5971">
        <v>5967</v>
      </c>
      <c r="AO5971" s="11">
        <v>17941.04</v>
      </c>
      <c r="AP5971" s="9">
        <v>3.2139790024074903</v>
      </c>
    </row>
    <row r="5972" spans="40:42" x14ac:dyDescent="0.3">
      <c r="AN5972">
        <v>5968</v>
      </c>
      <c r="AO5972" s="11">
        <v>26715.45</v>
      </c>
      <c r="AP5972" s="9">
        <v>3.4427083267463452</v>
      </c>
    </row>
    <row r="5973" spans="40:42" x14ac:dyDescent="0.3">
      <c r="AN5973">
        <v>5969</v>
      </c>
      <c r="AO5973" s="11">
        <v>28366.58</v>
      </c>
      <c r="AP5973" s="9">
        <v>3.2923278372812592</v>
      </c>
    </row>
    <row r="5974" spans="40:42" x14ac:dyDescent="0.3">
      <c r="AN5974">
        <v>5970</v>
      </c>
      <c r="AO5974" s="11">
        <v>27467.41</v>
      </c>
      <c r="AP5974" s="9">
        <v>4.0385964229651732</v>
      </c>
    </row>
    <row r="5975" spans="40:42" x14ac:dyDescent="0.3">
      <c r="AN5975">
        <v>5971</v>
      </c>
      <c r="AO5975" s="11">
        <v>31836.720000000001</v>
      </c>
      <c r="AP5975" s="9">
        <v>3.3984187922278299</v>
      </c>
    </row>
    <row r="5976" spans="40:42" x14ac:dyDescent="0.3">
      <c r="AN5976">
        <v>5972</v>
      </c>
      <c r="AO5976" s="11">
        <v>34995.11</v>
      </c>
      <c r="AP5976" s="9">
        <v>3.531576568453838</v>
      </c>
    </row>
    <row r="5977" spans="40:42" x14ac:dyDescent="0.3">
      <c r="AN5977">
        <v>5973</v>
      </c>
      <c r="AO5977" s="11">
        <v>24465.83</v>
      </c>
      <c r="AP5977" s="9">
        <v>3.6318075262848484</v>
      </c>
    </row>
    <row r="5978" spans="40:42" x14ac:dyDescent="0.3">
      <c r="AN5978">
        <v>5974</v>
      </c>
      <c r="AO5978" s="11">
        <v>21995.16</v>
      </c>
      <c r="AP5978" s="9">
        <v>3.5971896217539028</v>
      </c>
    </row>
    <row r="5979" spans="40:42" x14ac:dyDescent="0.3">
      <c r="AN5979">
        <v>5975</v>
      </c>
      <c r="AO5979" s="11">
        <v>17925.64</v>
      </c>
      <c r="AP5979" s="9">
        <v>3.1741388485137465</v>
      </c>
    </row>
    <row r="5980" spans="40:42" x14ac:dyDescent="0.3">
      <c r="AN5980">
        <v>5976</v>
      </c>
      <c r="AO5980" s="11">
        <v>36853.68</v>
      </c>
      <c r="AP5980" s="9">
        <v>4.0311479469663372</v>
      </c>
    </row>
    <row r="5981" spans="40:42" x14ac:dyDescent="0.3">
      <c r="AN5981">
        <v>5977</v>
      </c>
      <c r="AO5981" s="11">
        <v>23640.57</v>
      </c>
      <c r="AP5981" s="9">
        <v>3.3560727724562747</v>
      </c>
    </row>
    <row r="5982" spans="40:42" x14ac:dyDescent="0.3">
      <c r="AN5982">
        <v>5978</v>
      </c>
      <c r="AO5982" s="11">
        <v>23538.76</v>
      </c>
      <c r="AP5982" s="9">
        <v>2.6947962139698611</v>
      </c>
    </row>
    <row r="5983" spans="40:42" x14ac:dyDescent="0.3">
      <c r="AN5983">
        <v>5979</v>
      </c>
      <c r="AO5983" s="11">
        <v>21367.45</v>
      </c>
      <c r="AP5983" s="9">
        <v>3.4602540915033755</v>
      </c>
    </row>
    <row r="5984" spans="40:42" x14ac:dyDescent="0.3">
      <c r="AN5984">
        <v>5980</v>
      </c>
      <c r="AO5984" s="11">
        <v>23822.94</v>
      </c>
      <c r="AP5984" s="9">
        <v>3.3686583003177768</v>
      </c>
    </row>
    <row r="5985" spans="40:42" x14ac:dyDescent="0.3">
      <c r="AN5985">
        <v>5981</v>
      </c>
      <c r="AO5985" s="11">
        <v>25318.05</v>
      </c>
      <c r="AP5985" s="9">
        <v>3.3518981160118795</v>
      </c>
    </row>
    <row r="5986" spans="40:42" x14ac:dyDescent="0.3">
      <c r="AN5986">
        <v>5982</v>
      </c>
      <c r="AO5986" s="11">
        <v>25249.87</v>
      </c>
      <c r="AP5986" s="9">
        <v>3.3788924520239245</v>
      </c>
    </row>
    <row r="5987" spans="40:42" x14ac:dyDescent="0.3">
      <c r="AN5987">
        <v>5983</v>
      </c>
      <c r="AO5987" s="11">
        <v>30956.1</v>
      </c>
      <c r="AP5987" s="9">
        <v>3.1809011367210434</v>
      </c>
    </row>
    <row r="5988" spans="40:42" x14ac:dyDescent="0.3">
      <c r="AN5988">
        <v>5984</v>
      </c>
      <c r="AO5988" s="11">
        <v>34580.44</v>
      </c>
      <c r="AP5988" s="9">
        <v>3.2028051518426293</v>
      </c>
    </row>
    <row r="5989" spans="40:42" x14ac:dyDescent="0.3">
      <c r="AN5989">
        <v>5985</v>
      </c>
      <c r="AO5989" s="11">
        <v>25264.85</v>
      </c>
      <c r="AP5989" s="9">
        <v>3.1871816477939019</v>
      </c>
    </row>
    <row r="5990" spans="40:42" x14ac:dyDescent="0.3">
      <c r="AN5990">
        <v>5986</v>
      </c>
      <c r="AO5990" s="11">
        <v>28103.58</v>
      </c>
      <c r="AP5990" s="9">
        <v>3.7145868678396701</v>
      </c>
    </row>
    <row r="5991" spans="40:42" x14ac:dyDescent="0.3">
      <c r="AN5991">
        <v>5987</v>
      </c>
      <c r="AO5991" s="11">
        <v>26946.37</v>
      </c>
      <c r="AP5991" s="9">
        <v>3.3564147109970746</v>
      </c>
    </row>
    <row r="5992" spans="40:42" x14ac:dyDescent="0.3">
      <c r="AN5992">
        <v>5988</v>
      </c>
      <c r="AO5992" s="11">
        <v>55642.57</v>
      </c>
      <c r="AP5992" s="9">
        <v>4.0772284271935568</v>
      </c>
    </row>
    <row r="5993" spans="40:42" x14ac:dyDescent="0.3">
      <c r="AN5993">
        <v>5989</v>
      </c>
      <c r="AO5993" s="11">
        <v>26056.51</v>
      </c>
      <c r="AP5993" s="9">
        <v>3.5735142849639838</v>
      </c>
    </row>
    <row r="5994" spans="40:42" x14ac:dyDescent="0.3">
      <c r="AN5994">
        <v>5990</v>
      </c>
      <c r="AO5994" s="11">
        <v>20678.240000000002</v>
      </c>
      <c r="AP5994" s="9">
        <v>2.9757309909979126</v>
      </c>
    </row>
    <row r="5995" spans="40:42" x14ac:dyDescent="0.3">
      <c r="AN5995">
        <v>5991</v>
      </c>
      <c r="AO5995" s="11">
        <v>31493.49</v>
      </c>
      <c r="AP5995" s="9">
        <v>4.165460999801839</v>
      </c>
    </row>
    <row r="5996" spans="40:42" x14ac:dyDescent="0.3">
      <c r="AN5996">
        <v>5992</v>
      </c>
      <c r="AO5996" s="11">
        <v>26377.21</v>
      </c>
      <c r="AP5996" s="9">
        <v>3.1667220181326501</v>
      </c>
    </row>
    <row r="5997" spans="40:42" x14ac:dyDescent="0.3">
      <c r="AN5997">
        <v>5993</v>
      </c>
      <c r="AO5997" s="11">
        <v>15923.96</v>
      </c>
      <c r="AP5997" s="9">
        <v>2.9076785691480556</v>
      </c>
    </row>
    <row r="5998" spans="40:42" x14ac:dyDescent="0.3">
      <c r="AN5998">
        <v>5994</v>
      </c>
      <c r="AO5998" s="11">
        <v>25833.71</v>
      </c>
      <c r="AP5998" s="9">
        <v>2.9325647574710318</v>
      </c>
    </row>
    <row r="5999" spans="40:42" x14ac:dyDescent="0.3">
      <c r="AN5999">
        <v>5995</v>
      </c>
      <c r="AO5999" s="11">
        <v>34514.47</v>
      </c>
      <c r="AP5999" s="9">
        <v>3.2836208708901444</v>
      </c>
    </row>
    <row r="6000" spans="40:42" x14ac:dyDescent="0.3">
      <c r="AN6000">
        <v>5996</v>
      </c>
      <c r="AO6000" s="11">
        <v>18064.009999999998</v>
      </c>
      <c r="AP6000" s="9">
        <v>3.0744956205202234</v>
      </c>
    </row>
    <row r="6001" spans="40:42" x14ac:dyDescent="0.3">
      <c r="AN6001">
        <v>5997</v>
      </c>
      <c r="AO6001" s="11">
        <v>33275.660000000003</v>
      </c>
      <c r="AP6001" s="9">
        <v>3.1279140209467635</v>
      </c>
    </row>
    <row r="6002" spans="40:42" x14ac:dyDescent="0.3">
      <c r="AN6002">
        <v>5998</v>
      </c>
      <c r="AO6002" s="11">
        <v>31433.07</v>
      </c>
      <c r="AP6002" s="9">
        <v>3.7063372098965099</v>
      </c>
    </row>
    <row r="6003" spans="40:42" x14ac:dyDescent="0.3">
      <c r="AN6003">
        <v>5999</v>
      </c>
      <c r="AO6003" s="11">
        <v>20917.990000000002</v>
      </c>
      <c r="AP6003" s="9">
        <v>3.668942302596244</v>
      </c>
    </row>
    <row r="6004" spans="40:42" x14ac:dyDescent="0.3">
      <c r="AN6004">
        <v>6000</v>
      </c>
      <c r="AO6004" s="11">
        <v>17575.96</v>
      </c>
      <c r="AP6004" s="9">
        <v>2.8128166618803947</v>
      </c>
    </row>
    <row r="6005" spans="40:42" x14ac:dyDescent="0.3">
      <c r="AN6005">
        <v>6001</v>
      </c>
      <c r="AO6005" s="11">
        <v>16525.310000000001</v>
      </c>
      <c r="AP6005" s="9">
        <v>3.0429006808859862</v>
      </c>
    </row>
    <row r="6006" spans="40:42" x14ac:dyDescent="0.3">
      <c r="AN6006">
        <v>6002</v>
      </c>
      <c r="AO6006" s="11">
        <v>36014.44</v>
      </c>
      <c r="AP6006" s="9">
        <v>3.581759788448494</v>
      </c>
    </row>
    <row r="6007" spans="40:42" x14ac:dyDescent="0.3">
      <c r="AN6007">
        <v>6003</v>
      </c>
      <c r="AO6007" s="11">
        <v>24342.97</v>
      </c>
      <c r="AP6007" s="9">
        <v>2.9918527226776606</v>
      </c>
    </row>
    <row r="6008" spans="40:42" x14ac:dyDescent="0.3">
      <c r="AN6008">
        <v>6004</v>
      </c>
      <c r="AO6008" s="11">
        <v>22191.35</v>
      </c>
      <c r="AP6008" s="9">
        <v>3.2115158805579505</v>
      </c>
    </row>
    <row r="6009" spans="40:42" x14ac:dyDescent="0.3">
      <c r="AN6009">
        <v>6005</v>
      </c>
      <c r="AO6009" s="11">
        <v>21538.79</v>
      </c>
      <c r="AP6009" s="9">
        <v>3.3045764567126192</v>
      </c>
    </row>
    <row r="6010" spans="40:42" x14ac:dyDescent="0.3">
      <c r="AN6010">
        <v>6006</v>
      </c>
      <c r="AO6010" s="11">
        <v>28770.59</v>
      </c>
      <c r="AP6010" s="9">
        <v>4.4154023849845476</v>
      </c>
    </row>
    <row r="6011" spans="40:42" x14ac:dyDescent="0.3">
      <c r="AN6011">
        <v>6007</v>
      </c>
      <c r="AO6011" s="11">
        <v>28588.69</v>
      </c>
      <c r="AP6011" s="9">
        <v>3.3295657461927859</v>
      </c>
    </row>
    <row r="6012" spans="40:42" x14ac:dyDescent="0.3">
      <c r="AN6012">
        <v>6008</v>
      </c>
      <c r="AO6012" s="11">
        <v>18490.009999999998</v>
      </c>
      <c r="AP6012" s="9">
        <v>3.4266834107378714</v>
      </c>
    </row>
    <row r="6013" spans="40:42" x14ac:dyDescent="0.3">
      <c r="AN6013">
        <v>6009</v>
      </c>
      <c r="AO6013" s="11">
        <v>29534.65</v>
      </c>
      <c r="AP6013" s="9">
        <v>3.1649529300382557</v>
      </c>
    </row>
    <row r="6014" spans="40:42" x14ac:dyDescent="0.3">
      <c r="AN6014">
        <v>6010</v>
      </c>
      <c r="AO6014" s="11">
        <v>32780.300000000003</v>
      </c>
      <c r="AP6014" s="9">
        <v>3.8626873760016913</v>
      </c>
    </row>
    <row r="6015" spans="40:42" x14ac:dyDescent="0.3">
      <c r="AN6015">
        <v>6011</v>
      </c>
      <c r="AO6015" s="11">
        <v>41469.699999999997</v>
      </c>
      <c r="AP6015" s="9">
        <v>3.7363473591994714</v>
      </c>
    </row>
    <row r="6016" spans="40:42" x14ac:dyDescent="0.3">
      <c r="AN6016">
        <v>6012</v>
      </c>
      <c r="AO6016" s="11">
        <v>17884.37</v>
      </c>
      <c r="AP6016" s="9">
        <v>3.0156315869542358</v>
      </c>
    </row>
    <row r="6017" spans="40:42" x14ac:dyDescent="0.3">
      <c r="AN6017">
        <v>6013</v>
      </c>
      <c r="AO6017" s="11">
        <v>35869.82</v>
      </c>
      <c r="AP6017" s="9">
        <v>3.4800629615091432</v>
      </c>
    </row>
    <row r="6018" spans="40:42" x14ac:dyDescent="0.3">
      <c r="AN6018">
        <v>6014</v>
      </c>
      <c r="AO6018" s="11">
        <v>22022.49</v>
      </c>
      <c r="AP6018" s="9">
        <v>3.540483883047064</v>
      </c>
    </row>
    <row r="6019" spans="40:42" x14ac:dyDescent="0.3">
      <c r="AN6019">
        <v>6015</v>
      </c>
      <c r="AO6019" s="11">
        <v>28617.25</v>
      </c>
      <c r="AP6019" s="9">
        <v>2.7079112311582318</v>
      </c>
    </row>
    <row r="6020" spans="40:42" x14ac:dyDescent="0.3">
      <c r="AN6020">
        <v>6016</v>
      </c>
      <c r="AO6020" s="11">
        <v>32696.93</v>
      </c>
      <c r="AP6020" s="9">
        <v>3.5128747460354273</v>
      </c>
    </row>
    <row r="6021" spans="40:42" x14ac:dyDescent="0.3">
      <c r="AN6021">
        <v>6017</v>
      </c>
      <c r="AO6021" s="11">
        <v>32308.61</v>
      </c>
      <c r="AP6021" s="9">
        <v>3.4609567189645394</v>
      </c>
    </row>
    <row r="6022" spans="40:42" x14ac:dyDescent="0.3">
      <c r="AN6022">
        <v>6018</v>
      </c>
      <c r="AO6022" s="11">
        <v>27477.22</v>
      </c>
      <c r="AP6022" s="9">
        <v>2.9761148599571601</v>
      </c>
    </row>
    <row r="6023" spans="40:42" x14ac:dyDescent="0.3">
      <c r="AN6023">
        <v>6019</v>
      </c>
      <c r="AO6023" s="11">
        <v>22936.69</v>
      </c>
      <c r="AP6023" s="9">
        <v>3.450921811356618</v>
      </c>
    </row>
    <row r="6024" spans="40:42" x14ac:dyDescent="0.3">
      <c r="AN6024">
        <v>6020</v>
      </c>
      <c r="AO6024" s="11">
        <v>40697.67</v>
      </c>
      <c r="AP6024" s="9">
        <v>3.750004212471981</v>
      </c>
    </row>
    <row r="6025" spans="40:42" x14ac:dyDescent="0.3">
      <c r="AN6025">
        <v>6021</v>
      </c>
      <c r="AO6025" s="11">
        <v>33008.050000000003</v>
      </c>
      <c r="AP6025" s="9">
        <v>2.9194020145567028</v>
      </c>
    </row>
    <row r="6026" spans="40:42" x14ac:dyDescent="0.3">
      <c r="AN6026">
        <v>6022</v>
      </c>
      <c r="AO6026" s="11">
        <v>30626.79</v>
      </c>
      <c r="AP6026" s="9">
        <v>3.4575474062868055</v>
      </c>
    </row>
    <row r="6027" spans="40:42" x14ac:dyDescent="0.3">
      <c r="AN6027">
        <v>6023</v>
      </c>
      <c r="AO6027" s="11">
        <v>33005.83</v>
      </c>
      <c r="AP6027" s="9">
        <v>3.4692552455555856</v>
      </c>
    </row>
    <row r="6028" spans="40:42" x14ac:dyDescent="0.3">
      <c r="AN6028">
        <v>6024</v>
      </c>
      <c r="AO6028" s="11">
        <v>22703.43</v>
      </c>
      <c r="AP6028" s="9">
        <v>2.4761119897028512</v>
      </c>
    </row>
    <row r="6029" spans="40:42" x14ac:dyDescent="0.3">
      <c r="AN6029">
        <v>6025</v>
      </c>
      <c r="AO6029" s="11">
        <v>28521.01</v>
      </c>
      <c r="AP6029" s="9">
        <v>3.4534181394148047</v>
      </c>
    </row>
    <row r="6030" spans="40:42" x14ac:dyDescent="0.3">
      <c r="AN6030">
        <v>6026</v>
      </c>
      <c r="AO6030" s="11">
        <v>28108.09</v>
      </c>
      <c r="AP6030" s="9">
        <v>3.0603186830019284</v>
      </c>
    </row>
    <row r="6031" spans="40:42" x14ac:dyDescent="0.3">
      <c r="AN6031">
        <v>6027</v>
      </c>
      <c r="AO6031" s="11">
        <v>33608.44</v>
      </c>
      <c r="AP6031" s="9">
        <v>3.7596881913125735</v>
      </c>
    </row>
    <row r="6032" spans="40:42" x14ac:dyDescent="0.3">
      <c r="AN6032">
        <v>6028</v>
      </c>
      <c r="AO6032" s="11">
        <v>19649.04</v>
      </c>
      <c r="AP6032" s="9">
        <v>3.5531690759617631</v>
      </c>
    </row>
    <row r="6033" spans="40:42" x14ac:dyDescent="0.3">
      <c r="AN6033">
        <v>6029</v>
      </c>
      <c r="AO6033" s="11">
        <v>25165.35</v>
      </c>
      <c r="AP6033" s="9">
        <v>3.0551947795844052</v>
      </c>
    </row>
    <row r="6034" spans="40:42" x14ac:dyDescent="0.3">
      <c r="AN6034">
        <v>6030</v>
      </c>
      <c r="AO6034" s="11">
        <v>26161.35</v>
      </c>
      <c r="AP6034" s="9">
        <v>3.6941062428308493</v>
      </c>
    </row>
    <row r="6035" spans="40:42" x14ac:dyDescent="0.3">
      <c r="AN6035">
        <v>6031</v>
      </c>
      <c r="AO6035" s="11">
        <v>24088.57</v>
      </c>
      <c r="AP6035" s="9">
        <v>3.5375700453000904</v>
      </c>
    </row>
    <row r="6036" spans="40:42" x14ac:dyDescent="0.3">
      <c r="AN6036">
        <v>6032</v>
      </c>
      <c r="AO6036" s="11">
        <v>27819.95</v>
      </c>
      <c r="AP6036" s="9">
        <v>3.831632875268749</v>
      </c>
    </row>
    <row r="6037" spans="40:42" x14ac:dyDescent="0.3">
      <c r="AN6037">
        <v>6033</v>
      </c>
      <c r="AO6037" s="11">
        <v>30399.29</v>
      </c>
      <c r="AP6037" s="9">
        <v>3.8281903012268432</v>
      </c>
    </row>
    <row r="6038" spans="40:42" x14ac:dyDescent="0.3">
      <c r="AN6038">
        <v>6034</v>
      </c>
      <c r="AO6038" s="11">
        <v>22835.84</v>
      </c>
      <c r="AP6038" s="9">
        <v>2.7862125526406207</v>
      </c>
    </row>
    <row r="6039" spans="40:42" x14ac:dyDescent="0.3">
      <c r="AN6039">
        <v>6035</v>
      </c>
      <c r="AO6039" s="11">
        <v>43936.04</v>
      </c>
      <c r="AP6039" s="9">
        <v>4.1491797809147908</v>
      </c>
    </row>
    <row r="6040" spans="40:42" x14ac:dyDescent="0.3">
      <c r="AN6040">
        <v>6036</v>
      </c>
      <c r="AO6040" s="11">
        <v>28350.17</v>
      </c>
      <c r="AP6040" s="9">
        <v>3.7823364369362302</v>
      </c>
    </row>
    <row r="6041" spans="40:42" x14ac:dyDescent="0.3">
      <c r="AN6041">
        <v>6037</v>
      </c>
      <c r="AO6041" s="11">
        <v>32034.47</v>
      </c>
      <c r="AP6041" s="9">
        <v>3.4349499887749695</v>
      </c>
    </row>
    <row r="6042" spans="40:42" x14ac:dyDescent="0.3">
      <c r="AN6042">
        <v>6038</v>
      </c>
      <c r="AO6042" s="11">
        <v>24641.07</v>
      </c>
      <c r="AP6042" s="9">
        <v>4.1070493483096797</v>
      </c>
    </row>
    <row r="6043" spans="40:42" x14ac:dyDescent="0.3">
      <c r="AN6043">
        <v>6039</v>
      </c>
      <c r="AO6043" s="11">
        <v>20755.82</v>
      </c>
      <c r="AP6043" s="9">
        <v>3.789676857773153</v>
      </c>
    </row>
    <row r="6044" spans="40:42" x14ac:dyDescent="0.3">
      <c r="AN6044">
        <v>6040</v>
      </c>
      <c r="AO6044" s="11">
        <v>46116.3</v>
      </c>
      <c r="AP6044" s="9">
        <v>4.4117978844031231</v>
      </c>
    </row>
    <row r="6045" spans="40:42" x14ac:dyDescent="0.3">
      <c r="AN6045">
        <v>6041</v>
      </c>
      <c r="AO6045" s="11">
        <v>22205.439999999999</v>
      </c>
      <c r="AP6045" s="9">
        <v>3.066833134021433</v>
      </c>
    </row>
    <row r="6046" spans="40:42" x14ac:dyDescent="0.3">
      <c r="AN6046">
        <v>6042</v>
      </c>
      <c r="AO6046" s="11">
        <v>28394.21</v>
      </c>
      <c r="AP6046" s="9">
        <v>3.0893047272205894</v>
      </c>
    </row>
    <row r="6047" spans="40:42" x14ac:dyDescent="0.3">
      <c r="AN6047">
        <v>6043</v>
      </c>
      <c r="AO6047" s="11">
        <v>32994.14</v>
      </c>
      <c r="AP6047" s="9">
        <v>3.9897630847198191</v>
      </c>
    </row>
    <row r="6048" spans="40:42" x14ac:dyDescent="0.3">
      <c r="AN6048">
        <v>6044</v>
      </c>
      <c r="AO6048" s="11">
        <v>26926.23</v>
      </c>
      <c r="AP6048" s="9">
        <v>3.2682956215659287</v>
      </c>
    </row>
    <row r="6049" spans="40:42" x14ac:dyDescent="0.3">
      <c r="AN6049">
        <v>6045</v>
      </c>
      <c r="AO6049" s="11">
        <v>22013.11</v>
      </c>
      <c r="AP6049" s="9">
        <v>3.6813280636911276</v>
      </c>
    </row>
    <row r="6050" spans="40:42" x14ac:dyDescent="0.3">
      <c r="AN6050">
        <v>6046</v>
      </c>
      <c r="AO6050" s="11">
        <v>27792.93</v>
      </c>
      <c r="AP6050" s="9">
        <v>2.9902433899802894</v>
      </c>
    </row>
    <row r="6051" spans="40:42" x14ac:dyDescent="0.3">
      <c r="AN6051">
        <v>6047</v>
      </c>
      <c r="AO6051" s="11">
        <v>35098.74</v>
      </c>
      <c r="AP6051" s="9">
        <v>3.374050177997205</v>
      </c>
    </row>
    <row r="6052" spans="40:42" x14ac:dyDescent="0.3">
      <c r="AN6052">
        <v>6048</v>
      </c>
      <c r="AO6052" s="11">
        <v>24942.81</v>
      </c>
      <c r="AP6052" s="9">
        <v>3.3270832419726593</v>
      </c>
    </row>
    <row r="6053" spans="40:42" x14ac:dyDescent="0.3">
      <c r="AN6053">
        <v>6049</v>
      </c>
      <c r="AO6053" s="11">
        <v>17305.080000000002</v>
      </c>
      <c r="AP6053" s="9">
        <v>3.3016869741040895</v>
      </c>
    </row>
    <row r="6054" spans="40:42" x14ac:dyDescent="0.3">
      <c r="AN6054">
        <v>6050</v>
      </c>
      <c r="AO6054" s="11">
        <v>20988.01</v>
      </c>
      <c r="AP6054" s="9">
        <v>3.8936963055713205</v>
      </c>
    </row>
    <row r="6055" spans="40:42" x14ac:dyDescent="0.3">
      <c r="AN6055">
        <v>6051</v>
      </c>
      <c r="AO6055" s="11">
        <v>30684.52</v>
      </c>
      <c r="AP6055" s="9">
        <v>3.3284935881433366</v>
      </c>
    </row>
    <row r="6056" spans="40:42" x14ac:dyDescent="0.3">
      <c r="AN6056">
        <v>6052</v>
      </c>
      <c r="AO6056" s="11">
        <v>25098.61</v>
      </c>
      <c r="AP6056" s="9">
        <v>3.2599500868081908</v>
      </c>
    </row>
    <row r="6057" spans="40:42" x14ac:dyDescent="0.3">
      <c r="AN6057">
        <v>6053</v>
      </c>
      <c r="AO6057" s="11">
        <v>23801.599999999999</v>
      </c>
      <c r="AP6057" s="9">
        <v>3.5296731868228632</v>
      </c>
    </row>
    <row r="6058" spans="40:42" x14ac:dyDescent="0.3">
      <c r="AN6058">
        <v>6054</v>
      </c>
      <c r="AO6058" s="11">
        <v>27014.87</v>
      </c>
      <c r="AP6058" s="9">
        <v>2.3961769196174085</v>
      </c>
    </row>
    <row r="6059" spans="40:42" x14ac:dyDescent="0.3">
      <c r="AN6059">
        <v>6055</v>
      </c>
      <c r="AO6059" s="11">
        <v>38434.51</v>
      </c>
      <c r="AP6059" s="9">
        <v>3.5246737412570792</v>
      </c>
    </row>
    <row r="6060" spans="40:42" x14ac:dyDescent="0.3">
      <c r="AN6060">
        <v>6056</v>
      </c>
      <c r="AO6060" s="11">
        <v>30417.29</v>
      </c>
      <c r="AP6060" s="9">
        <v>3.6468982839745383</v>
      </c>
    </row>
    <row r="6061" spans="40:42" x14ac:dyDescent="0.3">
      <c r="AN6061">
        <v>6057</v>
      </c>
      <c r="AO6061" s="11">
        <v>28053.15</v>
      </c>
      <c r="AP6061" s="9">
        <v>3.154686795807736</v>
      </c>
    </row>
    <row r="6062" spans="40:42" x14ac:dyDescent="0.3">
      <c r="AN6062">
        <v>6058</v>
      </c>
      <c r="AO6062" s="11">
        <v>34348.57</v>
      </c>
      <c r="AP6062" s="9">
        <v>3.5640454541917346</v>
      </c>
    </row>
    <row r="6063" spans="40:42" x14ac:dyDescent="0.3">
      <c r="AN6063">
        <v>6059</v>
      </c>
      <c r="AO6063" s="11">
        <v>26566.68</v>
      </c>
      <c r="AP6063" s="9">
        <v>3.0118277016052377</v>
      </c>
    </row>
    <row r="6064" spans="40:42" x14ac:dyDescent="0.3">
      <c r="AN6064">
        <v>6060</v>
      </c>
      <c r="AO6064" s="11">
        <v>22456.77</v>
      </c>
      <c r="AP6064" s="9">
        <v>3.4142649289416207</v>
      </c>
    </row>
    <row r="6065" spans="40:42" x14ac:dyDescent="0.3">
      <c r="AN6065">
        <v>6061</v>
      </c>
      <c r="AO6065" s="11">
        <v>30143.5</v>
      </c>
      <c r="AP6065" s="9">
        <v>3.5833349236483576</v>
      </c>
    </row>
    <row r="6066" spans="40:42" x14ac:dyDescent="0.3">
      <c r="AN6066">
        <v>6062</v>
      </c>
      <c r="AO6066" s="11">
        <v>44388.76</v>
      </c>
      <c r="AP6066" s="9">
        <v>3.9597809285342711</v>
      </c>
    </row>
    <row r="6067" spans="40:42" x14ac:dyDescent="0.3">
      <c r="AN6067">
        <v>6063</v>
      </c>
      <c r="AO6067" s="11">
        <v>26130.12</v>
      </c>
      <c r="AP6067" s="9">
        <v>3.3942897622875963</v>
      </c>
    </row>
    <row r="6068" spans="40:42" x14ac:dyDescent="0.3">
      <c r="AN6068">
        <v>6064</v>
      </c>
      <c r="AO6068" s="11">
        <v>31547.66</v>
      </c>
      <c r="AP6068" s="9">
        <v>3.5780493794494057</v>
      </c>
    </row>
    <row r="6069" spans="40:42" x14ac:dyDescent="0.3">
      <c r="AN6069">
        <v>6065</v>
      </c>
      <c r="AO6069" s="11">
        <v>26185.4</v>
      </c>
      <c r="AP6069" s="9">
        <v>3.3412809719961309</v>
      </c>
    </row>
    <row r="6070" spans="40:42" x14ac:dyDescent="0.3">
      <c r="AN6070">
        <v>6066</v>
      </c>
      <c r="AO6070" s="11">
        <v>24034.23</v>
      </c>
      <c r="AP6070" s="9">
        <v>3.1759496665323677</v>
      </c>
    </row>
    <row r="6071" spans="40:42" x14ac:dyDescent="0.3">
      <c r="AN6071">
        <v>6067</v>
      </c>
      <c r="AO6071" s="11">
        <v>34713.82</v>
      </c>
      <c r="AP6071" s="9">
        <v>3.8428138557414981</v>
      </c>
    </row>
    <row r="6072" spans="40:42" x14ac:dyDescent="0.3">
      <c r="AN6072">
        <v>6068</v>
      </c>
      <c r="AO6072" s="11">
        <v>30944.54</v>
      </c>
      <c r="AP6072" s="9">
        <v>3.2941445613012474</v>
      </c>
    </row>
    <row r="6073" spans="40:42" x14ac:dyDescent="0.3">
      <c r="AN6073">
        <v>6069</v>
      </c>
      <c r="AO6073" s="11">
        <v>35401.96</v>
      </c>
      <c r="AP6073" s="9">
        <v>3.9015664276456294</v>
      </c>
    </row>
    <row r="6074" spans="40:42" x14ac:dyDescent="0.3">
      <c r="AN6074">
        <v>6070</v>
      </c>
      <c r="AO6074" s="11">
        <v>35029.94</v>
      </c>
      <c r="AP6074" s="9">
        <v>4.1503504818413575</v>
      </c>
    </row>
    <row r="6075" spans="40:42" x14ac:dyDescent="0.3">
      <c r="AN6075">
        <v>6071</v>
      </c>
      <c r="AO6075" s="11">
        <v>24394.43</v>
      </c>
      <c r="AP6075" s="9">
        <v>3.3156588425978741</v>
      </c>
    </row>
    <row r="6076" spans="40:42" x14ac:dyDescent="0.3">
      <c r="AN6076">
        <v>6072</v>
      </c>
      <c r="AO6076" s="11">
        <v>20773.189999999999</v>
      </c>
      <c r="AP6076" s="9">
        <v>3.5110729040421989</v>
      </c>
    </row>
    <row r="6077" spans="40:42" x14ac:dyDescent="0.3">
      <c r="AN6077">
        <v>6073</v>
      </c>
      <c r="AO6077" s="11">
        <v>20128.41</v>
      </c>
      <c r="AP6077" s="9">
        <v>3.1524342690434768</v>
      </c>
    </row>
    <row r="6078" spans="40:42" x14ac:dyDescent="0.3">
      <c r="AN6078">
        <v>6074</v>
      </c>
      <c r="AO6078" s="11">
        <v>25284.46</v>
      </c>
      <c r="AP6078" s="9">
        <v>3.1780844839840858</v>
      </c>
    </row>
    <row r="6079" spans="40:42" x14ac:dyDescent="0.3">
      <c r="AN6079">
        <v>6075</v>
      </c>
      <c r="AO6079" s="11">
        <v>30084.93</v>
      </c>
      <c r="AP6079" s="9">
        <v>3.6825702192503589</v>
      </c>
    </row>
    <row r="6080" spans="40:42" x14ac:dyDescent="0.3">
      <c r="AN6080">
        <v>6076</v>
      </c>
      <c r="AO6080" s="11">
        <v>22305.52</v>
      </c>
      <c r="AP6080" s="9">
        <v>3.4915111313213663</v>
      </c>
    </row>
    <row r="6081" spans="40:42" x14ac:dyDescent="0.3">
      <c r="AN6081">
        <v>6077</v>
      </c>
      <c r="AO6081" s="11">
        <v>17923.79</v>
      </c>
      <c r="AP6081" s="9">
        <v>3.190856968062981</v>
      </c>
    </row>
    <row r="6082" spans="40:42" x14ac:dyDescent="0.3">
      <c r="AN6082">
        <v>6078</v>
      </c>
      <c r="AO6082" s="11">
        <v>30375.89</v>
      </c>
      <c r="AP6082" s="9">
        <v>3.5843558586231929</v>
      </c>
    </row>
    <row r="6083" spans="40:42" x14ac:dyDescent="0.3">
      <c r="AN6083">
        <v>6079</v>
      </c>
      <c r="AO6083" s="11">
        <v>26540.639999999999</v>
      </c>
      <c r="AP6083" s="9">
        <v>2.8930495708222446</v>
      </c>
    </row>
    <row r="6084" spans="40:42" x14ac:dyDescent="0.3">
      <c r="AN6084">
        <v>6080</v>
      </c>
      <c r="AO6084" s="11">
        <v>36422.050000000003</v>
      </c>
      <c r="AP6084" s="9">
        <v>3.9160626087445736</v>
      </c>
    </row>
    <row r="6085" spans="40:42" x14ac:dyDescent="0.3">
      <c r="AN6085">
        <v>6081</v>
      </c>
      <c r="AO6085" s="11">
        <v>22723.439999999999</v>
      </c>
      <c r="AP6085" s="9">
        <v>3.4869531321124949</v>
      </c>
    </row>
    <row r="6086" spans="40:42" x14ac:dyDescent="0.3">
      <c r="AN6086">
        <v>6082</v>
      </c>
      <c r="AO6086" s="11">
        <v>25120.57</v>
      </c>
      <c r="AP6086" s="9">
        <v>3.6070226195314286</v>
      </c>
    </row>
    <row r="6087" spans="40:42" x14ac:dyDescent="0.3">
      <c r="AN6087">
        <v>6083</v>
      </c>
      <c r="AO6087" s="11">
        <v>45242.47</v>
      </c>
      <c r="AP6087" s="9">
        <v>4.1336799411696523</v>
      </c>
    </row>
    <row r="6088" spans="40:42" x14ac:dyDescent="0.3">
      <c r="AN6088">
        <v>6084</v>
      </c>
      <c r="AO6088" s="11">
        <v>31233.69</v>
      </c>
      <c r="AP6088" s="9">
        <v>3.329177895141203</v>
      </c>
    </row>
    <row r="6089" spans="40:42" x14ac:dyDescent="0.3">
      <c r="AN6089">
        <v>6085</v>
      </c>
      <c r="AO6089" s="11">
        <v>31817.29</v>
      </c>
      <c r="AP6089" s="9">
        <v>3.3963143734593984</v>
      </c>
    </row>
    <row r="6090" spans="40:42" x14ac:dyDescent="0.3">
      <c r="AN6090">
        <v>6086</v>
      </c>
      <c r="AO6090" s="11">
        <v>18421.32</v>
      </c>
      <c r="AP6090" s="9">
        <v>3.3731638773968804</v>
      </c>
    </row>
    <row r="6091" spans="40:42" x14ac:dyDescent="0.3">
      <c r="AN6091">
        <v>6087</v>
      </c>
      <c r="AO6091" s="11">
        <v>18332.3</v>
      </c>
      <c r="AP6091" s="9">
        <v>2.9275552866581074</v>
      </c>
    </row>
    <row r="6092" spans="40:42" x14ac:dyDescent="0.3">
      <c r="AN6092">
        <v>6088</v>
      </c>
      <c r="AO6092" s="11">
        <v>15461.55</v>
      </c>
      <c r="AP6092" s="9">
        <v>2.9122661024432204</v>
      </c>
    </row>
    <row r="6093" spans="40:42" x14ac:dyDescent="0.3">
      <c r="AN6093">
        <v>6089</v>
      </c>
      <c r="AO6093" s="11">
        <v>22902.47</v>
      </c>
      <c r="AP6093" s="9">
        <v>3.1353024302691552</v>
      </c>
    </row>
    <row r="6094" spans="40:42" x14ac:dyDescent="0.3">
      <c r="AN6094">
        <v>6090</v>
      </c>
      <c r="AO6094" s="11">
        <v>24885.9</v>
      </c>
      <c r="AP6094" s="9">
        <v>3.1932699350629865</v>
      </c>
    </row>
    <row r="6095" spans="40:42" x14ac:dyDescent="0.3">
      <c r="AN6095">
        <v>6091</v>
      </c>
      <c r="AO6095" s="11">
        <v>21248.94</v>
      </c>
      <c r="AP6095" s="9">
        <v>3.0320729952485865</v>
      </c>
    </row>
    <row r="6096" spans="40:42" x14ac:dyDescent="0.3">
      <c r="AN6096">
        <v>6092</v>
      </c>
      <c r="AO6096" s="11">
        <v>17849.29</v>
      </c>
      <c r="AP6096" s="9">
        <v>3.4969048633253821</v>
      </c>
    </row>
    <row r="6097" spans="40:42" x14ac:dyDescent="0.3">
      <c r="AN6097">
        <v>6093</v>
      </c>
      <c r="AO6097" s="11">
        <v>32768.51</v>
      </c>
      <c r="AP6097" s="9">
        <v>3.4700823988815048</v>
      </c>
    </row>
    <row r="6098" spans="40:42" x14ac:dyDescent="0.3">
      <c r="AN6098">
        <v>6094</v>
      </c>
      <c r="AO6098" s="11">
        <v>33196.29</v>
      </c>
      <c r="AP6098" s="9">
        <v>3.1765462945462581</v>
      </c>
    </row>
    <row r="6099" spans="40:42" x14ac:dyDescent="0.3">
      <c r="AN6099">
        <v>6095</v>
      </c>
      <c r="AO6099" s="11">
        <v>32123.82</v>
      </c>
      <c r="AP6099" s="9">
        <v>3.1949319794976345</v>
      </c>
    </row>
    <row r="6100" spans="40:42" x14ac:dyDescent="0.3">
      <c r="AN6100">
        <v>6096</v>
      </c>
      <c r="AO6100" s="11">
        <v>40695.64</v>
      </c>
      <c r="AP6100" s="9">
        <v>2.750961504270597</v>
      </c>
    </row>
    <row r="6101" spans="40:42" x14ac:dyDescent="0.3">
      <c r="AN6101">
        <v>6097</v>
      </c>
      <c r="AO6101" s="11">
        <v>45177.3</v>
      </c>
      <c r="AP6101" s="9">
        <v>3.773394274080899</v>
      </c>
    </row>
    <row r="6102" spans="40:42" x14ac:dyDescent="0.3">
      <c r="AN6102">
        <v>6098</v>
      </c>
      <c r="AO6102" s="11">
        <v>21260.3</v>
      </c>
      <c r="AP6102" s="9">
        <v>2.8600645331804939</v>
      </c>
    </row>
    <row r="6103" spans="40:42" x14ac:dyDescent="0.3">
      <c r="AN6103">
        <v>6099</v>
      </c>
      <c r="AO6103" s="11">
        <v>34063.07</v>
      </c>
      <c r="AP6103" s="9">
        <v>3.5165789739878472</v>
      </c>
    </row>
    <row r="6104" spans="40:42" x14ac:dyDescent="0.3">
      <c r="AN6104">
        <v>6100</v>
      </c>
      <c r="AO6104" s="11">
        <v>19615.099999999999</v>
      </c>
      <c r="AP6104" s="9">
        <v>3.6188322712774976</v>
      </c>
    </row>
    <row r="6105" spans="40:42" x14ac:dyDescent="0.3">
      <c r="AN6105">
        <v>6101</v>
      </c>
      <c r="AO6105" s="11">
        <v>14956.3</v>
      </c>
      <c r="AP6105" s="9">
        <v>3.4678234029008399</v>
      </c>
    </row>
    <row r="6106" spans="40:42" x14ac:dyDescent="0.3">
      <c r="AN6106">
        <v>6102</v>
      </c>
      <c r="AO6106" s="11">
        <v>18605.5</v>
      </c>
      <c r="AP6106" s="9">
        <v>2.7167305114185911</v>
      </c>
    </row>
    <row r="6107" spans="40:42" x14ac:dyDescent="0.3">
      <c r="AN6107">
        <v>6103</v>
      </c>
      <c r="AO6107" s="11">
        <v>17766.990000000002</v>
      </c>
      <c r="AP6107" s="9">
        <v>3.7168854225430268</v>
      </c>
    </row>
    <row r="6108" spans="40:42" x14ac:dyDescent="0.3">
      <c r="AN6108">
        <v>6104</v>
      </c>
      <c r="AO6108" s="11">
        <v>31822.39</v>
      </c>
      <c r="AP6108" s="9">
        <v>2.9911205979787154</v>
      </c>
    </row>
    <row r="6109" spans="40:42" x14ac:dyDescent="0.3">
      <c r="AN6109">
        <v>6105</v>
      </c>
      <c r="AO6109" s="11">
        <v>41649.050000000003</v>
      </c>
      <c r="AP6109" s="9">
        <v>3.6269952957738645</v>
      </c>
    </row>
    <row r="6110" spans="40:42" x14ac:dyDescent="0.3">
      <c r="AN6110">
        <v>6106</v>
      </c>
      <c r="AO6110" s="11">
        <v>31273.77</v>
      </c>
      <c r="AP6110" s="9">
        <v>3.7395390921388127</v>
      </c>
    </row>
    <row r="6111" spans="40:42" x14ac:dyDescent="0.3">
      <c r="AN6111">
        <v>6107</v>
      </c>
      <c r="AO6111" s="11">
        <v>14247.51</v>
      </c>
      <c r="AP6111" s="9">
        <v>3.2778253661950458</v>
      </c>
    </row>
    <row r="6112" spans="40:42" x14ac:dyDescent="0.3">
      <c r="AN6112">
        <v>6108</v>
      </c>
      <c r="AO6112" s="11">
        <v>35123.279999999999</v>
      </c>
      <c r="AP6112" s="9">
        <v>3.5529135860279371</v>
      </c>
    </row>
    <row r="6113" spans="40:42" x14ac:dyDescent="0.3">
      <c r="AN6113">
        <v>6109</v>
      </c>
      <c r="AO6113" s="11">
        <v>23287.89</v>
      </c>
      <c r="AP6113" s="9">
        <v>3.0626844477259332</v>
      </c>
    </row>
    <row r="6114" spans="40:42" x14ac:dyDescent="0.3">
      <c r="AN6114">
        <v>6110</v>
      </c>
      <c r="AO6114" s="11">
        <v>33507.06</v>
      </c>
      <c r="AP6114" s="9">
        <v>4.0821647907385294</v>
      </c>
    </row>
    <row r="6115" spans="40:42" x14ac:dyDescent="0.3">
      <c r="AN6115">
        <v>6111</v>
      </c>
      <c r="AO6115" s="11">
        <v>24304.52</v>
      </c>
      <c r="AP6115" s="9">
        <v>3.5473745278465598</v>
      </c>
    </row>
    <row r="6116" spans="40:42" x14ac:dyDescent="0.3">
      <c r="AN6116">
        <v>6112</v>
      </c>
      <c r="AO6116" s="11">
        <v>26002.880000000001</v>
      </c>
      <c r="AP6116" s="9">
        <v>3.7722403926449424</v>
      </c>
    </row>
    <row r="6117" spans="40:42" x14ac:dyDescent="0.3">
      <c r="AN6117">
        <v>6113</v>
      </c>
      <c r="AO6117" s="11">
        <v>32244.93</v>
      </c>
      <c r="AP6117" s="9">
        <v>3.9866588753206056</v>
      </c>
    </row>
    <row r="6118" spans="40:42" x14ac:dyDescent="0.3">
      <c r="AN6118">
        <v>6114</v>
      </c>
      <c r="AO6118" s="11">
        <v>31822.35</v>
      </c>
      <c r="AP6118" s="9">
        <v>3.9113528778071283</v>
      </c>
    </row>
    <row r="6119" spans="40:42" x14ac:dyDescent="0.3">
      <c r="AN6119">
        <v>6115</v>
      </c>
      <c r="AO6119" s="11">
        <v>20189.8</v>
      </c>
      <c r="AP6119" s="9">
        <v>3.5305707250559411</v>
      </c>
    </row>
    <row r="6120" spans="40:42" x14ac:dyDescent="0.3">
      <c r="AN6120">
        <v>6116</v>
      </c>
      <c r="AO6120" s="11">
        <v>39027.360000000001</v>
      </c>
      <c r="AP6120" s="9">
        <v>3.9347183936902224</v>
      </c>
    </row>
    <row r="6121" spans="40:42" x14ac:dyDescent="0.3">
      <c r="AN6121">
        <v>6117</v>
      </c>
      <c r="AO6121" s="11">
        <v>19830.66</v>
      </c>
      <c r="AP6121" s="9">
        <v>3.1548423216554289</v>
      </c>
    </row>
    <row r="6122" spans="40:42" x14ac:dyDescent="0.3">
      <c r="AN6122">
        <v>6118</v>
      </c>
      <c r="AO6122" s="11">
        <v>26352.93</v>
      </c>
      <c r="AP6122" s="9">
        <v>3.5550278715796062</v>
      </c>
    </row>
    <row r="6123" spans="40:42" x14ac:dyDescent="0.3">
      <c r="AN6123">
        <v>6119</v>
      </c>
      <c r="AO6123" s="11">
        <v>29151.33</v>
      </c>
      <c r="AP6123" s="9">
        <v>3.6715499971774075</v>
      </c>
    </row>
    <row r="6124" spans="40:42" x14ac:dyDescent="0.3">
      <c r="AN6124">
        <v>6120</v>
      </c>
      <c r="AO6124" s="11">
        <v>19012.7</v>
      </c>
      <c r="AP6124" s="9">
        <v>3.3461459609775162</v>
      </c>
    </row>
    <row r="6125" spans="40:42" x14ac:dyDescent="0.3">
      <c r="AN6125">
        <v>6121</v>
      </c>
      <c r="AO6125" s="11">
        <v>27897.59</v>
      </c>
      <c r="AP6125" s="9">
        <v>3.2915577925575703</v>
      </c>
    </row>
    <row r="6126" spans="40:42" x14ac:dyDescent="0.3">
      <c r="AN6126">
        <v>6122</v>
      </c>
      <c r="AO6126" s="11">
        <v>21464.93</v>
      </c>
      <c r="AP6126" s="9">
        <v>3.3279232051170284</v>
      </c>
    </row>
    <row r="6127" spans="40:42" x14ac:dyDescent="0.3">
      <c r="AN6127">
        <v>6123</v>
      </c>
      <c r="AO6127" s="11">
        <v>32494.84</v>
      </c>
      <c r="AP6127" s="9">
        <v>3.2558041609849888</v>
      </c>
    </row>
    <row r="6128" spans="40:42" x14ac:dyDescent="0.3">
      <c r="AN6128">
        <v>6124</v>
      </c>
      <c r="AO6128" s="11">
        <v>34486.559999999998</v>
      </c>
      <c r="AP6128" s="9">
        <v>3.7083409463354533</v>
      </c>
    </row>
    <row r="6129" spans="40:42" x14ac:dyDescent="0.3">
      <c r="AN6129">
        <v>6125</v>
      </c>
      <c r="AO6129" s="11">
        <v>29525.360000000001</v>
      </c>
      <c r="AP6129" s="9">
        <v>3.858819997597998</v>
      </c>
    </row>
    <row r="6130" spans="40:42" x14ac:dyDescent="0.3">
      <c r="AN6130">
        <v>6126</v>
      </c>
      <c r="AO6130" s="11">
        <v>21698.92</v>
      </c>
      <c r="AP6130" s="9">
        <v>2.9105981188744181</v>
      </c>
    </row>
    <row r="6131" spans="40:42" x14ac:dyDescent="0.3">
      <c r="AN6131">
        <v>6127</v>
      </c>
      <c r="AO6131" s="11">
        <v>31888.87</v>
      </c>
      <c r="AP6131" s="9">
        <v>3.6937249354323609</v>
      </c>
    </row>
    <row r="6132" spans="40:42" x14ac:dyDescent="0.3">
      <c r="AN6132">
        <v>6128</v>
      </c>
      <c r="AO6132" s="11">
        <v>25392.27</v>
      </c>
      <c r="AP6132" s="9">
        <v>3.4201044243408041</v>
      </c>
    </row>
    <row r="6133" spans="40:42" x14ac:dyDescent="0.3">
      <c r="AN6133">
        <v>6129</v>
      </c>
      <c r="AO6133" s="11">
        <v>23278.17</v>
      </c>
      <c r="AP6133" s="9">
        <v>3.4993984761074675</v>
      </c>
    </row>
    <row r="6134" spans="40:42" x14ac:dyDescent="0.3">
      <c r="AN6134">
        <v>6130</v>
      </c>
      <c r="AO6134" s="11">
        <v>35064.589999999997</v>
      </c>
      <c r="AP6134" s="9">
        <v>3.2292525242148531</v>
      </c>
    </row>
    <row r="6135" spans="40:42" x14ac:dyDescent="0.3">
      <c r="AN6135">
        <v>6131</v>
      </c>
      <c r="AO6135" s="11">
        <v>23550.15</v>
      </c>
      <c r="AP6135" s="9">
        <v>3.2160068461777858</v>
      </c>
    </row>
    <row r="6136" spans="40:42" x14ac:dyDescent="0.3">
      <c r="AN6136">
        <v>6132</v>
      </c>
      <c r="AO6136" s="11">
        <v>25063.29</v>
      </c>
      <c r="AP6136" s="9">
        <v>3.51291988716999</v>
      </c>
    </row>
    <row r="6137" spans="40:42" x14ac:dyDescent="0.3">
      <c r="AN6137">
        <v>6133</v>
      </c>
      <c r="AO6137" s="11">
        <v>30183.42</v>
      </c>
      <c r="AP6137" s="9">
        <v>3.91674854112971</v>
      </c>
    </row>
    <row r="6138" spans="40:42" x14ac:dyDescent="0.3">
      <c r="AN6138">
        <v>6134</v>
      </c>
      <c r="AO6138" s="11">
        <v>32043.67</v>
      </c>
      <c r="AP6138" s="9">
        <v>3.5442722748548507</v>
      </c>
    </row>
    <row r="6139" spans="40:42" x14ac:dyDescent="0.3">
      <c r="AN6139">
        <v>6135</v>
      </c>
      <c r="AO6139" s="11">
        <v>24653.16</v>
      </c>
      <c r="AP6139" s="9">
        <v>4.1869586047119185</v>
      </c>
    </row>
    <row r="6140" spans="40:42" x14ac:dyDescent="0.3">
      <c r="AN6140">
        <v>6136</v>
      </c>
      <c r="AO6140" s="11">
        <v>26208.39</v>
      </c>
      <c r="AP6140" s="9">
        <v>3.1210886354823462</v>
      </c>
    </row>
    <row r="6141" spans="40:42" x14ac:dyDescent="0.3">
      <c r="AN6141">
        <v>6137</v>
      </c>
      <c r="AO6141" s="11">
        <v>25528.89</v>
      </c>
      <c r="AP6141" s="9">
        <v>3.3300261739556922</v>
      </c>
    </row>
    <row r="6142" spans="40:42" x14ac:dyDescent="0.3">
      <c r="AN6142">
        <v>6138</v>
      </c>
      <c r="AO6142" s="11">
        <v>21687.79</v>
      </c>
      <c r="AP6142" s="9">
        <v>3.2971815361453811</v>
      </c>
    </row>
    <row r="6143" spans="40:42" x14ac:dyDescent="0.3">
      <c r="AN6143">
        <v>6139</v>
      </c>
      <c r="AO6143" s="11">
        <v>23898.15</v>
      </c>
      <c r="AP6143" s="9">
        <v>3.6349305117274646</v>
      </c>
    </row>
    <row r="6144" spans="40:42" x14ac:dyDescent="0.3">
      <c r="AN6144">
        <v>6140</v>
      </c>
      <c r="AO6144" s="11">
        <v>22922.15</v>
      </c>
      <c r="AP6144" s="9">
        <v>3.0740851362362354</v>
      </c>
    </row>
    <row r="6145" spans="40:42" x14ac:dyDescent="0.3">
      <c r="AN6145">
        <v>6141</v>
      </c>
      <c r="AO6145" s="11">
        <v>31161.53</v>
      </c>
      <c r="AP6145" s="9">
        <v>4.0611405166527188</v>
      </c>
    </row>
    <row r="6146" spans="40:42" x14ac:dyDescent="0.3">
      <c r="AN6146">
        <v>6142</v>
      </c>
      <c r="AO6146" s="11">
        <v>30647.47</v>
      </c>
      <c r="AP6146" s="9">
        <v>3.511345010536127</v>
      </c>
    </row>
    <row r="6147" spans="40:42" x14ac:dyDescent="0.3">
      <c r="AN6147">
        <v>6143</v>
      </c>
      <c r="AO6147" s="11">
        <v>27422.17</v>
      </c>
      <c r="AP6147" s="9">
        <v>3.0360653616969731</v>
      </c>
    </row>
    <row r="6148" spans="40:42" x14ac:dyDescent="0.3">
      <c r="AN6148">
        <v>6144</v>
      </c>
      <c r="AO6148" s="11">
        <v>28538.17</v>
      </c>
      <c r="AP6148" s="9">
        <v>3.6785780206574232</v>
      </c>
    </row>
    <row r="6149" spans="40:42" x14ac:dyDescent="0.3">
      <c r="AN6149">
        <v>6145</v>
      </c>
      <c r="AO6149" s="11">
        <v>24659.86</v>
      </c>
      <c r="AP6149" s="9">
        <v>2.827174375227592</v>
      </c>
    </row>
    <row r="6150" spans="40:42" x14ac:dyDescent="0.3">
      <c r="AN6150">
        <v>6146</v>
      </c>
      <c r="AO6150" s="11">
        <v>28559.16</v>
      </c>
      <c r="AP6150" s="9">
        <v>3.3569111199863837</v>
      </c>
    </row>
    <row r="6151" spans="40:42" x14ac:dyDescent="0.3">
      <c r="AN6151">
        <v>6147</v>
      </c>
      <c r="AO6151" s="11">
        <v>24281.94</v>
      </c>
      <c r="AP6151" s="9">
        <v>3.1299236601922198</v>
      </c>
    </row>
    <row r="6152" spans="40:42" x14ac:dyDescent="0.3">
      <c r="AN6152">
        <v>6148</v>
      </c>
      <c r="AO6152" s="11">
        <v>21122.33</v>
      </c>
      <c r="AP6152" s="9">
        <v>3.3641518965577375</v>
      </c>
    </row>
    <row r="6153" spans="40:42" x14ac:dyDescent="0.3">
      <c r="AN6153">
        <v>6149</v>
      </c>
      <c r="AO6153" s="11">
        <v>26060.49</v>
      </c>
      <c r="AP6153" s="9">
        <v>3.4283224411746627</v>
      </c>
    </row>
    <row r="6154" spans="40:42" x14ac:dyDescent="0.3">
      <c r="AN6154">
        <v>6150</v>
      </c>
      <c r="AO6154" s="11">
        <v>37568.129999999997</v>
      </c>
      <c r="AP6154" s="9">
        <v>3.4738204565477129</v>
      </c>
    </row>
    <row r="6155" spans="40:42" x14ac:dyDescent="0.3">
      <c r="AN6155">
        <v>6151</v>
      </c>
      <c r="AO6155" s="11">
        <v>25325.06</v>
      </c>
      <c r="AP6155" s="9">
        <v>3.2269103659858378</v>
      </c>
    </row>
    <row r="6156" spans="40:42" x14ac:dyDescent="0.3">
      <c r="AN6156">
        <v>6152</v>
      </c>
      <c r="AO6156" s="11">
        <v>16475.240000000002</v>
      </c>
      <c r="AP6156" s="9">
        <v>3.2440865239567818</v>
      </c>
    </row>
    <row r="6157" spans="40:42" x14ac:dyDescent="0.3">
      <c r="AN6157">
        <v>6153</v>
      </c>
      <c r="AO6157" s="11">
        <v>25746.19</v>
      </c>
      <c r="AP6157" s="9">
        <v>3.0322731238878631</v>
      </c>
    </row>
    <row r="6158" spans="40:42" x14ac:dyDescent="0.3">
      <c r="AN6158">
        <v>6154</v>
      </c>
      <c r="AO6158" s="11">
        <v>44182.02</v>
      </c>
      <c r="AP6158" s="9">
        <v>4.0255158034641223</v>
      </c>
    </row>
    <row r="6159" spans="40:42" x14ac:dyDescent="0.3">
      <c r="AN6159">
        <v>6155</v>
      </c>
      <c r="AO6159" s="11">
        <v>41926.93</v>
      </c>
      <c r="AP6159" s="9">
        <v>3.7995660393552333</v>
      </c>
    </row>
    <row r="6160" spans="40:42" x14ac:dyDescent="0.3">
      <c r="AN6160">
        <v>6156</v>
      </c>
      <c r="AO6160" s="11">
        <v>33311.96</v>
      </c>
      <c r="AP6160" s="9">
        <v>3.3655054679705829</v>
      </c>
    </row>
    <row r="6161" spans="40:42" x14ac:dyDescent="0.3">
      <c r="AN6161">
        <v>6157</v>
      </c>
      <c r="AO6161" s="11">
        <v>26993.31</v>
      </c>
      <c r="AP6161" s="9">
        <v>3.6071810634285737</v>
      </c>
    </row>
    <row r="6162" spans="40:42" x14ac:dyDescent="0.3">
      <c r="AN6162">
        <v>6158</v>
      </c>
      <c r="AO6162" s="11">
        <v>29687.08</v>
      </c>
      <c r="AP6162" s="9">
        <v>3.2524685133646281</v>
      </c>
    </row>
    <row r="6163" spans="40:42" x14ac:dyDescent="0.3">
      <c r="AN6163">
        <v>6159</v>
      </c>
      <c r="AO6163" s="11">
        <v>30795.64</v>
      </c>
      <c r="AP6163" s="9">
        <v>3.7387694597853711</v>
      </c>
    </row>
    <row r="6164" spans="40:42" x14ac:dyDescent="0.3">
      <c r="AN6164">
        <v>6160</v>
      </c>
      <c r="AO6164" s="11">
        <v>25176.25</v>
      </c>
      <c r="AP6164" s="9">
        <v>3.1768104810772426</v>
      </c>
    </row>
    <row r="6165" spans="40:42" x14ac:dyDescent="0.3">
      <c r="AN6165">
        <v>6161</v>
      </c>
      <c r="AO6165" s="11">
        <v>15934.32</v>
      </c>
      <c r="AP6165" s="9">
        <v>3.0560197184947588</v>
      </c>
    </row>
    <row r="6166" spans="40:42" x14ac:dyDescent="0.3">
      <c r="AN6166">
        <v>6162</v>
      </c>
      <c r="AO6166" s="11">
        <v>21289.13</v>
      </c>
      <c r="AP6166" s="9">
        <v>3.0215322022314486</v>
      </c>
    </row>
    <row r="6167" spans="40:42" x14ac:dyDescent="0.3">
      <c r="AN6167">
        <v>6163</v>
      </c>
      <c r="AO6167" s="11">
        <v>37243.550000000003</v>
      </c>
      <c r="AP6167" s="9">
        <v>3.0646305639285405</v>
      </c>
    </row>
    <row r="6168" spans="40:42" x14ac:dyDescent="0.3">
      <c r="AN6168">
        <v>6164</v>
      </c>
      <c r="AO6168" s="11">
        <v>16217.74</v>
      </c>
      <c r="AP6168" s="9">
        <v>2.8304512839099396</v>
      </c>
    </row>
    <row r="6169" spans="40:42" x14ac:dyDescent="0.3">
      <c r="AN6169">
        <v>6165</v>
      </c>
      <c r="AO6169" s="11">
        <v>31008.91</v>
      </c>
      <c r="AP6169" s="9">
        <v>4.0998787702553736</v>
      </c>
    </row>
    <row r="6170" spans="40:42" x14ac:dyDescent="0.3">
      <c r="AN6170">
        <v>6166</v>
      </c>
      <c r="AO6170" s="11">
        <v>26598.16</v>
      </c>
      <c r="AP6170" s="9">
        <v>3.0185578205798929</v>
      </c>
    </row>
    <row r="6171" spans="40:42" x14ac:dyDescent="0.3">
      <c r="AN6171">
        <v>6167</v>
      </c>
      <c r="AO6171" s="11">
        <v>24687.09</v>
      </c>
      <c r="AP6171" s="9">
        <v>3.727171990973003</v>
      </c>
    </row>
    <row r="6172" spans="40:42" x14ac:dyDescent="0.3">
      <c r="AN6172">
        <v>6168</v>
      </c>
      <c r="AO6172" s="11">
        <v>28834.42</v>
      </c>
      <c r="AP6172" s="9">
        <v>3.3017664246029241</v>
      </c>
    </row>
    <row r="6173" spans="40:42" x14ac:dyDescent="0.3">
      <c r="AN6173">
        <v>6169</v>
      </c>
      <c r="AO6173" s="11">
        <v>20655.89</v>
      </c>
      <c r="AP6173" s="9">
        <v>2.9252267863616837</v>
      </c>
    </row>
    <row r="6174" spans="40:42" x14ac:dyDescent="0.3">
      <c r="AN6174">
        <v>6170</v>
      </c>
      <c r="AO6174" s="11">
        <v>30160.1</v>
      </c>
      <c r="AP6174" s="9">
        <v>2.9696920466326091</v>
      </c>
    </row>
    <row r="6175" spans="40:42" x14ac:dyDescent="0.3">
      <c r="AN6175">
        <v>6171</v>
      </c>
      <c r="AO6175" s="11">
        <v>35259.47</v>
      </c>
      <c r="AP6175" s="9">
        <v>3.3116882073214993</v>
      </c>
    </row>
    <row r="6176" spans="40:42" x14ac:dyDescent="0.3">
      <c r="AN6176">
        <v>6172</v>
      </c>
      <c r="AO6176" s="11">
        <v>20261.34</v>
      </c>
      <c r="AP6176" s="9">
        <v>3.4456303058811502</v>
      </c>
    </row>
    <row r="6177" spans="40:42" x14ac:dyDescent="0.3">
      <c r="AN6177">
        <v>6173</v>
      </c>
      <c r="AO6177" s="11">
        <v>18926.57</v>
      </c>
      <c r="AP6177" s="9">
        <v>3.5650350629627758</v>
      </c>
    </row>
    <row r="6178" spans="40:42" x14ac:dyDescent="0.3">
      <c r="AN6178">
        <v>6174</v>
      </c>
      <c r="AO6178" s="11">
        <v>20876.509999999998</v>
      </c>
      <c r="AP6178" s="9">
        <v>3.60357847647093</v>
      </c>
    </row>
    <row r="6179" spans="40:42" x14ac:dyDescent="0.3">
      <c r="AN6179">
        <v>6175</v>
      </c>
      <c r="AO6179" s="11">
        <v>20881.66</v>
      </c>
      <c r="AP6179" s="9">
        <v>3.180485066211368</v>
      </c>
    </row>
    <row r="6180" spans="40:42" x14ac:dyDescent="0.3">
      <c r="AN6180">
        <v>6176</v>
      </c>
      <c r="AO6180" s="11">
        <v>23129.38</v>
      </c>
      <c r="AP6180" s="9">
        <v>3.1350831044606005</v>
      </c>
    </row>
    <row r="6181" spans="40:42" x14ac:dyDescent="0.3">
      <c r="AN6181">
        <v>6177</v>
      </c>
      <c r="AO6181" s="11">
        <v>34177.730000000003</v>
      </c>
      <c r="AP6181" s="9">
        <v>3.8909543152445996</v>
      </c>
    </row>
    <row r="6182" spans="40:42" x14ac:dyDescent="0.3">
      <c r="AN6182">
        <v>6178</v>
      </c>
      <c r="AO6182" s="11">
        <v>19582.89</v>
      </c>
      <c r="AP6182" s="9">
        <v>3.0717238167660272</v>
      </c>
    </row>
    <row r="6183" spans="40:42" x14ac:dyDescent="0.3">
      <c r="AN6183">
        <v>6179</v>
      </c>
      <c r="AO6183" s="11">
        <v>14803.51</v>
      </c>
      <c r="AP6183" s="9">
        <v>2.8458398085270979</v>
      </c>
    </row>
    <row r="6184" spans="40:42" x14ac:dyDescent="0.3">
      <c r="AN6184">
        <v>6180</v>
      </c>
      <c r="AO6184" s="11">
        <v>18426.89</v>
      </c>
      <c r="AP6184" s="9">
        <v>3.1646508912390265</v>
      </c>
    </row>
    <row r="6185" spans="40:42" x14ac:dyDescent="0.3">
      <c r="AN6185">
        <v>6181</v>
      </c>
      <c r="AO6185" s="11">
        <v>25047.040000000001</v>
      </c>
      <c r="AP6185" s="9">
        <v>3.0969669472603569</v>
      </c>
    </row>
    <row r="6186" spans="40:42" x14ac:dyDescent="0.3">
      <c r="AN6186">
        <v>6182</v>
      </c>
      <c r="AO6186" s="11">
        <v>25784.59</v>
      </c>
      <c r="AP6186" s="9">
        <v>3.635056467502483</v>
      </c>
    </row>
    <row r="6187" spans="40:42" x14ac:dyDescent="0.3">
      <c r="AN6187">
        <v>6183</v>
      </c>
      <c r="AO6187" s="11">
        <v>32754.42</v>
      </c>
      <c r="AP6187" s="9">
        <v>3.6546007443021442</v>
      </c>
    </row>
    <row r="6188" spans="40:42" x14ac:dyDescent="0.3">
      <c r="AN6188">
        <v>6184</v>
      </c>
      <c r="AO6188" s="11">
        <v>24771.09</v>
      </c>
      <c r="AP6188" s="9">
        <v>3.559888999142375</v>
      </c>
    </row>
    <row r="6189" spans="40:42" x14ac:dyDescent="0.3">
      <c r="AN6189">
        <v>6185</v>
      </c>
      <c r="AO6189" s="11">
        <v>39937.730000000003</v>
      </c>
      <c r="AP6189" s="9">
        <v>3.6854437269235936</v>
      </c>
    </row>
    <row r="6190" spans="40:42" x14ac:dyDescent="0.3">
      <c r="AN6190">
        <v>6186</v>
      </c>
      <c r="AO6190" s="11">
        <v>38571.03</v>
      </c>
      <c r="AP6190" s="9">
        <v>3.6504630393023412</v>
      </c>
    </row>
    <row r="6191" spans="40:42" x14ac:dyDescent="0.3">
      <c r="AN6191">
        <v>6187</v>
      </c>
      <c r="AO6191" s="11">
        <v>14178.23</v>
      </c>
      <c r="AP6191" s="9">
        <v>3.4013369855480287</v>
      </c>
    </row>
    <row r="6192" spans="40:42" x14ac:dyDescent="0.3">
      <c r="AN6192">
        <v>6188</v>
      </c>
      <c r="AO6192" s="11">
        <v>19054.009999999998</v>
      </c>
      <c r="AP6192" s="9">
        <v>3.0596701722383925</v>
      </c>
    </row>
    <row r="6193" spans="40:42" x14ac:dyDescent="0.3">
      <c r="AN6193">
        <v>6189</v>
      </c>
      <c r="AO6193" s="11">
        <v>34203.49</v>
      </c>
      <c r="AP6193" s="9">
        <v>4.5716455707886929</v>
      </c>
    </row>
    <row r="6194" spans="40:42" x14ac:dyDescent="0.3">
      <c r="AN6194">
        <v>6190</v>
      </c>
      <c r="AO6194" s="11">
        <v>28909.07</v>
      </c>
      <c r="AP6194" s="9">
        <v>3.4858956627323066</v>
      </c>
    </row>
    <row r="6195" spans="40:42" x14ac:dyDescent="0.3">
      <c r="AN6195">
        <v>6191</v>
      </c>
      <c r="AO6195" s="11">
        <v>46523.22</v>
      </c>
      <c r="AP6195" s="9">
        <v>3.8976339106820559</v>
      </c>
    </row>
    <row r="6196" spans="40:42" x14ac:dyDescent="0.3">
      <c r="AN6196">
        <v>6192</v>
      </c>
      <c r="AO6196" s="11">
        <v>17402.71</v>
      </c>
      <c r="AP6196" s="9">
        <v>2.8458810162861012</v>
      </c>
    </row>
    <row r="6197" spans="40:42" x14ac:dyDescent="0.3">
      <c r="AN6197">
        <v>6193</v>
      </c>
      <c r="AO6197" s="11">
        <v>38288.49</v>
      </c>
      <c r="AP6197" s="9">
        <v>3.5016053990297418</v>
      </c>
    </row>
    <row r="6198" spans="40:42" x14ac:dyDescent="0.3">
      <c r="AN6198">
        <v>6194</v>
      </c>
      <c r="AO6198" s="11">
        <v>17854.900000000001</v>
      </c>
      <c r="AP6198" s="9">
        <v>3.5634747361108614</v>
      </c>
    </row>
    <row r="6199" spans="40:42" x14ac:dyDescent="0.3">
      <c r="AN6199">
        <v>6195</v>
      </c>
      <c r="AO6199" s="11">
        <v>33152.370000000003</v>
      </c>
      <c r="AP6199" s="9">
        <v>3.6434082351534562</v>
      </c>
    </row>
    <row r="6200" spans="40:42" x14ac:dyDescent="0.3">
      <c r="AN6200">
        <v>6196</v>
      </c>
      <c r="AO6200" s="11">
        <v>33090.22</v>
      </c>
      <c r="AP6200" s="9">
        <v>3.1920655473970836</v>
      </c>
    </row>
    <row r="6201" spans="40:42" x14ac:dyDescent="0.3">
      <c r="AN6201">
        <v>6197</v>
      </c>
      <c r="AO6201" s="11">
        <v>29340.03</v>
      </c>
      <c r="AP6201" s="9">
        <v>3.1475739180270996</v>
      </c>
    </row>
    <row r="6202" spans="40:42" x14ac:dyDescent="0.3">
      <c r="AN6202">
        <v>6198</v>
      </c>
      <c r="AO6202" s="11">
        <v>30894.89</v>
      </c>
      <c r="AP6202" s="9">
        <v>3.2456706016611694</v>
      </c>
    </row>
    <row r="6203" spans="40:42" x14ac:dyDescent="0.3">
      <c r="AN6203">
        <v>6199</v>
      </c>
      <c r="AO6203" s="11">
        <v>25024.19</v>
      </c>
      <c r="AP6203" s="9">
        <v>3.6212891870629207</v>
      </c>
    </row>
    <row r="6204" spans="40:42" x14ac:dyDescent="0.3">
      <c r="AN6204">
        <v>6200</v>
      </c>
      <c r="AO6204" s="11">
        <v>25977</v>
      </c>
      <c r="AP6204" s="9">
        <v>3.6319171456460886</v>
      </c>
    </row>
    <row r="6205" spans="40:42" x14ac:dyDescent="0.3">
      <c r="AN6205">
        <v>6201</v>
      </c>
      <c r="AO6205" s="11">
        <v>21334.91</v>
      </c>
      <c r="AP6205" s="9">
        <v>3.0901984821187716</v>
      </c>
    </row>
    <row r="6206" spans="40:42" x14ac:dyDescent="0.3">
      <c r="AN6206">
        <v>6202</v>
      </c>
      <c r="AO6206" s="11">
        <v>15860.36</v>
      </c>
      <c r="AP6206" s="9">
        <v>3.2871915649145871</v>
      </c>
    </row>
    <row r="6207" spans="40:42" x14ac:dyDescent="0.3">
      <c r="AN6207">
        <v>6203</v>
      </c>
      <c r="AO6207" s="11">
        <v>23567.27</v>
      </c>
      <c r="AP6207" s="9">
        <v>3.4650452876235769</v>
      </c>
    </row>
    <row r="6208" spans="40:42" x14ac:dyDescent="0.3">
      <c r="AN6208">
        <v>6204</v>
      </c>
      <c r="AO6208" s="11">
        <v>26129.200000000001</v>
      </c>
      <c r="AP6208" s="9">
        <v>3.4207616846810267</v>
      </c>
    </row>
    <row r="6209" spans="40:42" x14ac:dyDescent="0.3">
      <c r="AN6209">
        <v>6205</v>
      </c>
      <c r="AO6209" s="11">
        <v>21160.3</v>
      </c>
      <c r="AP6209" s="9">
        <v>3.263315873575984</v>
      </c>
    </row>
    <row r="6210" spans="40:42" x14ac:dyDescent="0.3">
      <c r="AN6210">
        <v>6206</v>
      </c>
      <c r="AO6210" s="11">
        <v>35291.910000000003</v>
      </c>
      <c r="AP6210" s="9">
        <v>4.0913540235016352</v>
      </c>
    </row>
    <row r="6211" spans="40:42" x14ac:dyDescent="0.3">
      <c r="AN6211">
        <v>6207</v>
      </c>
      <c r="AO6211" s="11">
        <v>19294.66</v>
      </c>
      <c r="AP6211" s="9">
        <v>3.0922011057380674</v>
      </c>
    </row>
    <row r="6212" spans="40:42" x14ac:dyDescent="0.3">
      <c r="AN6212">
        <v>6208</v>
      </c>
      <c r="AO6212" s="11">
        <v>38299.74</v>
      </c>
      <c r="AP6212" s="9">
        <v>3.6262099433463457</v>
      </c>
    </row>
    <row r="6213" spans="40:42" x14ac:dyDescent="0.3">
      <c r="AN6213">
        <v>6209</v>
      </c>
      <c r="AO6213" s="11">
        <v>17133.05</v>
      </c>
      <c r="AP6213" s="9">
        <v>3.1123252646150812</v>
      </c>
    </row>
    <row r="6214" spans="40:42" x14ac:dyDescent="0.3">
      <c r="AN6214">
        <v>6210</v>
      </c>
      <c r="AO6214" s="11">
        <v>30288.79</v>
      </c>
      <c r="AP6214" s="9">
        <v>3.1298363684720325</v>
      </c>
    </row>
    <row r="6215" spans="40:42" x14ac:dyDescent="0.3">
      <c r="AN6215">
        <v>6211</v>
      </c>
      <c r="AO6215" s="11">
        <v>29242.86</v>
      </c>
      <c r="AP6215" s="9">
        <v>3.6518637511721281</v>
      </c>
    </row>
    <row r="6216" spans="40:42" x14ac:dyDescent="0.3">
      <c r="AN6216">
        <v>6212</v>
      </c>
      <c r="AO6216" s="11">
        <v>22270</v>
      </c>
      <c r="AP6216" s="9">
        <v>3.0198585734760583</v>
      </c>
    </row>
    <row r="6217" spans="40:42" x14ac:dyDescent="0.3">
      <c r="AN6217">
        <v>6213</v>
      </c>
      <c r="AO6217" s="11">
        <v>44474.84</v>
      </c>
      <c r="AP6217" s="9">
        <v>3.4224598527522425</v>
      </c>
    </row>
    <row r="6218" spans="40:42" x14ac:dyDescent="0.3">
      <c r="AN6218">
        <v>6214</v>
      </c>
      <c r="AO6218" s="11">
        <v>27925.9</v>
      </c>
      <c r="AP6218" s="9">
        <v>3.7594892202378918</v>
      </c>
    </row>
    <row r="6219" spans="40:42" x14ac:dyDescent="0.3">
      <c r="AN6219">
        <v>6215</v>
      </c>
      <c r="AO6219" s="11">
        <v>25632.61</v>
      </c>
      <c r="AP6219" s="9">
        <v>3.3521142428364827</v>
      </c>
    </row>
    <row r="6220" spans="40:42" x14ac:dyDescent="0.3">
      <c r="AN6220">
        <v>6216</v>
      </c>
      <c r="AO6220" s="11">
        <v>15386.14</v>
      </c>
      <c r="AP6220" s="9">
        <v>3.347425666449841</v>
      </c>
    </row>
    <row r="6221" spans="40:42" x14ac:dyDescent="0.3">
      <c r="AN6221">
        <v>6217</v>
      </c>
      <c r="AO6221" s="11">
        <v>16380.43</v>
      </c>
      <c r="AP6221" s="9">
        <v>2.7439588339078589</v>
      </c>
    </row>
    <row r="6222" spans="40:42" x14ac:dyDescent="0.3">
      <c r="AN6222">
        <v>6218</v>
      </c>
      <c r="AO6222" s="11">
        <v>27592.37</v>
      </c>
      <c r="AP6222" s="9">
        <v>3.7480312646321865</v>
      </c>
    </row>
    <row r="6223" spans="40:42" x14ac:dyDescent="0.3">
      <c r="AN6223">
        <v>6219</v>
      </c>
      <c r="AO6223" s="11">
        <v>33720.269999999997</v>
      </c>
      <c r="AP6223" s="9">
        <v>3.5674810466446001</v>
      </c>
    </row>
    <row r="6224" spans="40:42" x14ac:dyDescent="0.3">
      <c r="AN6224">
        <v>6220</v>
      </c>
      <c r="AO6224" s="11">
        <v>22073.040000000001</v>
      </c>
      <c r="AP6224" s="9">
        <v>2.6550018502976545</v>
      </c>
    </row>
    <row r="6225" spans="40:42" x14ac:dyDescent="0.3">
      <c r="AN6225">
        <v>6221</v>
      </c>
      <c r="AO6225" s="11">
        <v>22285.83</v>
      </c>
      <c r="AP6225" s="9">
        <v>3.1348162328680438</v>
      </c>
    </row>
    <row r="6226" spans="40:42" x14ac:dyDescent="0.3">
      <c r="AN6226">
        <v>6222</v>
      </c>
      <c r="AO6226" s="11">
        <v>23094.86</v>
      </c>
      <c r="AP6226" s="9">
        <v>3.4545714111117181</v>
      </c>
    </row>
    <row r="6227" spans="40:42" x14ac:dyDescent="0.3">
      <c r="AN6227">
        <v>6223</v>
      </c>
      <c r="AO6227" s="11">
        <v>42325.06</v>
      </c>
      <c r="AP6227" s="9">
        <v>3.3754843728882316</v>
      </c>
    </row>
    <row r="6228" spans="40:42" x14ac:dyDescent="0.3">
      <c r="AN6228">
        <v>6224</v>
      </c>
      <c r="AO6228" s="11">
        <v>32329.94</v>
      </c>
      <c r="AP6228" s="9">
        <v>3.4980890758003755</v>
      </c>
    </row>
    <row r="6229" spans="40:42" x14ac:dyDescent="0.3">
      <c r="AN6229">
        <v>6225</v>
      </c>
      <c r="AO6229" s="11">
        <v>26098.71</v>
      </c>
      <c r="AP6229" s="9">
        <v>3.0543213750118228</v>
      </c>
    </row>
    <row r="6230" spans="40:42" x14ac:dyDescent="0.3">
      <c r="AN6230">
        <v>6226</v>
      </c>
      <c r="AO6230" s="11">
        <v>42389.52</v>
      </c>
      <c r="AP6230" s="9">
        <v>4.1038387163384238</v>
      </c>
    </row>
    <row r="6231" spans="40:42" x14ac:dyDescent="0.3">
      <c r="AN6231">
        <v>6227</v>
      </c>
      <c r="AO6231" s="11">
        <v>24297.24</v>
      </c>
      <c r="AP6231" s="9">
        <v>3.5954767502482126</v>
      </c>
    </row>
    <row r="6232" spans="40:42" x14ac:dyDescent="0.3">
      <c r="AN6232">
        <v>6228</v>
      </c>
      <c r="AO6232" s="11">
        <v>38198.94</v>
      </c>
      <c r="AP6232" s="9">
        <v>4.3150096612028186</v>
      </c>
    </row>
    <row r="6233" spans="40:42" x14ac:dyDescent="0.3">
      <c r="AN6233">
        <v>6229</v>
      </c>
      <c r="AO6233" s="11">
        <v>18536.3</v>
      </c>
      <c r="AP6233" s="9">
        <v>2.9719033313275465</v>
      </c>
    </row>
    <row r="6234" spans="40:42" x14ac:dyDescent="0.3">
      <c r="AN6234">
        <v>6230</v>
      </c>
      <c r="AO6234" s="11">
        <v>19267.39</v>
      </c>
      <c r="AP6234" s="9">
        <v>3.4369181348624811</v>
      </c>
    </row>
    <row r="6235" spans="40:42" x14ac:dyDescent="0.3">
      <c r="AN6235">
        <v>6231</v>
      </c>
      <c r="AO6235" s="11">
        <v>29165.07</v>
      </c>
      <c r="AP6235" s="9">
        <v>3.8976023610718573</v>
      </c>
    </row>
    <row r="6236" spans="40:42" x14ac:dyDescent="0.3">
      <c r="AN6236">
        <v>6232</v>
      </c>
      <c r="AO6236" s="11">
        <v>23773.51</v>
      </c>
      <c r="AP6236" s="9">
        <v>2.8488848406745673</v>
      </c>
    </row>
    <row r="6237" spans="40:42" x14ac:dyDescent="0.3">
      <c r="AN6237">
        <v>6233</v>
      </c>
      <c r="AO6237" s="11">
        <v>34128.35</v>
      </c>
      <c r="AP6237" s="9">
        <v>3.9152255482931682</v>
      </c>
    </row>
    <row r="6238" spans="40:42" x14ac:dyDescent="0.3">
      <c r="AN6238">
        <v>6234</v>
      </c>
      <c r="AO6238" s="11">
        <v>47945.96</v>
      </c>
      <c r="AP6238" s="9">
        <v>3.8964166428395584</v>
      </c>
    </row>
    <row r="6239" spans="40:42" x14ac:dyDescent="0.3">
      <c r="AN6239">
        <v>6235</v>
      </c>
      <c r="AO6239" s="11">
        <v>23346.86</v>
      </c>
      <c r="AP6239" s="9">
        <v>3.0265274582541335</v>
      </c>
    </row>
    <row r="6240" spans="40:42" x14ac:dyDescent="0.3">
      <c r="AN6240">
        <v>6236</v>
      </c>
      <c r="AO6240" s="11">
        <v>20132.8</v>
      </c>
      <c r="AP6240" s="9">
        <v>3.0579719075547303</v>
      </c>
    </row>
    <row r="6241" spans="40:42" x14ac:dyDescent="0.3">
      <c r="AN6241">
        <v>6237</v>
      </c>
      <c r="AO6241" s="11">
        <v>17854.27</v>
      </c>
      <c r="AP6241" s="9">
        <v>2.7573108541314353</v>
      </c>
    </row>
    <row r="6242" spans="40:42" x14ac:dyDescent="0.3">
      <c r="AN6242">
        <v>6238</v>
      </c>
      <c r="AO6242" s="11">
        <v>31404.63</v>
      </c>
      <c r="AP6242" s="9">
        <v>3.8743417944673895</v>
      </c>
    </row>
    <row r="6243" spans="40:42" x14ac:dyDescent="0.3">
      <c r="AN6243">
        <v>6239</v>
      </c>
      <c r="AO6243" s="11">
        <v>30141.78</v>
      </c>
      <c r="AP6243" s="9">
        <v>3.3542021573973222</v>
      </c>
    </row>
    <row r="6244" spans="40:42" x14ac:dyDescent="0.3">
      <c r="AN6244">
        <v>6240</v>
      </c>
      <c r="AO6244" s="11">
        <v>25057.62</v>
      </c>
      <c r="AP6244" s="9">
        <v>3.3783203709771201</v>
      </c>
    </row>
    <row r="6245" spans="40:42" x14ac:dyDescent="0.3">
      <c r="AN6245">
        <v>6241</v>
      </c>
      <c r="AO6245" s="11">
        <v>18867.43</v>
      </c>
      <c r="AP6245" s="9">
        <v>2.9937310255968317</v>
      </c>
    </row>
    <row r="6246" spans="40:42" x14ac:dyDescent="0.3">
      <c r="AN6246">
        <v>6242</v>
      </c>
      <c r="AO6246" s="11">
        <v>25611.34</v>
      </c>
      <c r="AP6246" s="9">
        <v>3.3617856839729052</v>
      </c>
    </row>
    <row r="6247" spans="40:42" x14ac:dyDescent="0.3">
      <c r="AN6247">
        <v>6243</v>
      </c>
      <c r="AO6247" s="11">
        <v>14652.06</v>
      </c>
      <c r="AP6247" s="9">
        <v>2.7928669578662069</v>
      </c>
    </row>
    <row r="6248" spans="40:42" x14ac:dyDescent="0.3">
      <c r="AN6248">
        <v>6244</v>
      </c>
      <c r="AO6248" s="11">
        <v>28970.65</v>
      </c>
      <c r="AP6248" s="9">
        <v>4.0509170069343066</v>
      </c>
    </row>
    <row r="6249" spans="40:42" x14ac:dyDescent="0.3">
      <c r="AN6249">
        <v>6245</v>
      </c>
      <c r="AO6249" s="11">
        <v>23372.7</v>
      </c>
      <c r="AP6249" s="9">
        <v>3.3426265624273959</v>
      </c>
    </row>
    <row r="6250" spans="40:42" x14ac:dyDescent="0.3">
      <c r="AN6250">
        <v>6246</v>
      </c>
      <c r="AO6250" s="11">
        <v>26593.85</v>
      </c>
      <c r="AP6250" s="9">
        <v>3.3937908077418562</v>
      </c>
    </row>
    <row r="6251" spans="40:42" x14ac:dyDescent="0.3">
      <c r="AN6251">
        <v>6247</v>
      </c>
      <c r="AO6251" s="11">
        <v>24260.53</v>
      </c>
      <c r="AP6251" s="9">
        <v>2.8886821353677528</v>
      </c>
    </row>
    <row r="6252" spans="40:42" x14ac:dyDescent="0.3">
      <c r="AN6252">
        <v>6248</v>
      </c>
      <c r="AO6252" s="11">
        <v>17690.22</v>
      </c>
      <c r="AP6252" s="9">
        <v>3.4773411399968377</v>
      </c>
    </row>
    <row r="6253" spans="40:42" x14ac:dyDescent="0.3">
      <c r="AN6253">
        <v>6249</v>
      </c>
      <c r="AO6253" s="11">
        <v>21072.03</v>
      </c>
      <c r="AP6253" s="9">
        <v>3.6523513321092262</v>
      </c>
    </row>
    <row r="6254" spans="40:42" x14ac:dyDescent="0.3">
      <c r="AN6254">
        <v>6250</v>
      </c>
      <c r="AO6254" s="11">
        <v>19399.419999999998</v>
      </c>
      <c r="AP6254" s="9">
        <v>3.2658157975164195</v>
      </c>
    </row>
    <row r="6255" spans="40:42" x14ac:dyDescent="0.3">
      <c r="AN6255">
        <v>6251</v>
      </c>
      <c r="AO6255" s="11">
        <v>28714.51</v>
      </c>
      <c r="AP6255" s="9">
        <v>2.8083834100284868</v>
      </c>
    </row>
    <row r="6256" spans="40:42" x14ac:dyDescent="0.3">
      <c r="AN6256">
        <v>6252</v>
      </c>
      <c r="AO6256" s="11">
        <v>18282.330000000002</v>
      </c>
      <c r="AP6256" s="9">
        <v>3.1144802416261346</v>
      </c>
    </row>
    <row r="6257" spans="40:42" x14ac:dyDescent="0.3">
      <c r="AN6257">
        <v>6253</v>
      </c>
      <c r="AO6257" s="11">
        <v>31013.72</v>
      </c>
      <c r="AP6257" s="9">
        <v>3.5566119283223085</v>
      </c>
    </row>
    <row r="6258" spans="40:42" x14ac:dyDescent="0.3">
      <c r="AN6258">
        <v>6254</v>
      </c>
      <c r="AO6258" s="11">
        <v>19965.099999999999</v>
      </c>
      <c r="AP6258" s="9">
        <v>3.1870117333503387</v>
      </c>
    </row>
    <row r="6259" spans="40:42" x14ac:dyDescent="0.3">
      <c r="AN6259">
        <v>6255</v>
      </c>
      <c r="AO6259" s="11">
        <v>31180.14</v>
      </c>
      <c r="AP6259" s="9">
        <v>3.4309846725719177</v>
      </c>
    </row>
    <row r="6260" spans="40:42" x14ac:dyDescent="0.3">
      <c r="AN6260">
        <v>6256</v>
      </c>
      <c r="AO6260" s="11">
        <v>22698.12</v>
      </c>
      <c r="AP6260" s="9">
        <v>2.9022952336755621</v>
      </c>
    </row>
    <row r="6261" spans="40:42" x14ac:dyDescent="0.3">
      <c r="AN6261">
        <v>6257</v>
      </c>
      <c r="AO6261" s="11">
        <v>30874.51</v>
      </c>
      <c r="AP6261" s="9">
        <v>3.083885065972451</v>
      </c>
    </row>
    <row r="6262" spans="40:42" x14ac:dyDescent="0.3">
      <c r="AN6262">
        <v>6258</v>
      </c>
      <c r="AO6262" s="11">
        <v>38879.33</v>
      </c>
      <c r="AP6262" s="9">
        <v>4.1486294593336011</v>
      </c>
    </row>
    <row r="6263" spans="40:42" x14ac:dyDescent="0.3">
      <c r="AN6263">
        <v>6259</v>
      </c>
      <c r="AO6263" s="11">
        <v>32057.29</v>
      </c>
      <c r="AP6263" s="9">
        <v>3.5616912146313595</v>
      </c>
    </row>
    <row r="6264" spans="40:42" x14ac:dyDescent="0.3">
      <c r="AN6264">
        <v>6260</v>
      </c>
      <c r="AO6264" s="11">
        <v>21802.31</v>
      </c>
      <c r="AP6264" s="9">
        <v>3.3811602381969696</v>
      </c>
    </row>
    <row r="6265" spans="40:42" x14ac:dyDescent="0.3">
      <c r="AN6265">
        <v>6261</v>
      </c>
      <c r="AO6265" s="11">
        <v>38284.15</v>
      </c>
      <c r="AP6265" s="9">
        <v>4.1780936195496583</v>
      </c>
    </row>
    <row r="6266" spans="40:42" x14ac:dyDescent="0.3">
      <c r="AN6266">
        <v>6262</v>
      </c>
      <c r="AO6266" s="11">
        <v>17955.490000000002</v>
      </c>
      <c r="AP6266" s="9">
        <v>2.7142012595724423</v>
      </c>
    </row>
    <row r="6267" spans="40:42" x14ac:dyDescent="0.3">
      <c r="AN6267">
        <v>6263</v>
      </c>
      <c r="AO6267" s="11">
        <v>32722.36</v>
      </c>
      <c r="AP6267" s="9">
        <v>4.0578379024263169</v>
      </c>
    </row>
    <row r="6268" spans="40:42" x14ac:dyDescent="0.3">
      <c r="AN6268">
        <v>6264</v>
      </c>
      <c r="AO6268" s="11">
        <v>19979.12</v>
      </c>
      <c r="AP6268" s="9">
        <v>3.25652405785815</v>
      </c>
    </row>
    <row r="6269" spans="40:42" x14ac:dyDescent="0.3">
      <c r="AN6269">
        <v>6265</v>
      </c>
      <c r="AO6269" s="11">
        <v>28103.08</v>
      </c>
      <c r="AP6269" s="9">
        <v>2.9292031030698897</v>
      </c>
    </row>
    <row r="6270" spans="40:42" x14ac:dyDescent="0.3">
      <c r="AN6270">
        <v>6266</v>
      </c>
      <c r="AO6270" s="11">
        <v>25658.18</v>
      </c>
      <c r="AP6270" s="9">
        <v>3.4480156247041376</v>
      </c>
    </row>
    <row r="6271" spans="40:42" x14ac:dyDescent="0.3">
      <c r="AN6271">
        <v>6267</v>
      </c>
      <c r="AO6271" s="11">
        <v>27497.86</v>
      </c>
      <c r="AP6271" s="9">
        <v>3.6658303520516777</v>
      </c>
    </row>
    <row r="6272" spans="40:42" x14ac:dyDescent="0.3">
      <c r="AN6272">
        <v>6268</v>
      </c>
      <c r="AO6272" s="11">
        <v>29088.76</v>
      </c>
      <c r="AP6272" s="9">
        <v>3.4784061799169153</v>
      </c>
    </row>
    <row r="6273" spans="40:42" x14ac:dyDescent="0.3">
      <c r="AN6273">
        <v>6269</v>
      </c>
      <c r="AO6273" s="11">
        <v>24394.79</v>
      </c>
      <c r="AP6273" s="9">
        <v>3.3569360041579106</v>
      </c>
    </row>
    <row r="6274" spans="40:42" x14ac:dyDescent="0.3">
      <c r="AN6274">
        <v>6270</v>
      </c>
      <c r="AO6274" s="11">
        <v>26334.63</v>
      </c>
      <c r="AP6274" s="9">
        <v>3.4177215519533335</v>
      </c>
    </row>
    <row r="6275" spans="40:42" x14ac:dyDescent="0.3">
      <c r="AN6275">
        <v>6271</v>
      </c>
      <c r="AO6275" s="11">
        <v>25759.81</v>
      </c>
      <c r="AP6275" s="9">
        <v>2.9687003089214956</v>
      </c>
    </row>
    <row r="6276" spans="40:42" x14ac:dyDescent="0.3">
      <c r="AN6276">
        <v>6272</v>
      </c>
      <c r="AO6276" s="11">
        <v>12784.55</v>
      </c>
      <c r="AP6276" s="9">
        <v>2.7534736462024503</v>
      </c>
    </row>
    <row r="6277" spans="40:42" x14ac:dyDescent="0.3">
      <c r="AN6277">
        <v>6273</v>
      </c>
      <c r="AO6277" s="11">
        <v>46346.84</v>
      </c>
      <c r="AP6277" s="9">
        <v>4.0725604222854708</v>
      </c>
    </row>
    <row r="6278" spans="40:42" x14ac:dyDescent="0.3">
      <c r="AN6278">
        <v>6274</v>
      </c>
      <c r="AO6278" s="11">
        <v>28931.17</v>
      </c>
      <c r="AP6278" s="9">
        <v>4.0191485056798015</v>
      </c>
    </row>
    <row r="6279" spans="40:42" x14ac:dyDescent="0.3">
      <c r="AN6279">
        <v>6275</v>
      </c>
      <c r="AO6279" s="11">
        <v>16187.92</v>
      </c>
      <c r="AP6279" s="9">
        <v>4.1882295832255965</v>
      </c>
    </row>
    <row r="6280" spans="40:42" x14ac:dyDescent="0.3">
      <c r="AN6280">
        <v>6276</v>
      </c>
      <c r="AO6280" s="11">
        <v>34466.39</v>
      </c>
      <c r="AP6280" s="9">
        <v>3.2387935871465956</v>
      </c>
    </row>
    <row r="6281" spans="40:42" x14ac:dyDescent="0.3">
      <c r="AN6281">
        <v>6277</v>
      </c>
      <c r="AO6281" s="11">
        <v>22981.11</v>
      </c>
      <c r="AP6281" s="9">
        <v>3.0745332211550949</v>
      </c>
    </row>
    <row r="6282" spans="40:42" x14ac:dyDescent="0.3">
      <c r="AN6282">
        <v>6278</v>
      </c>
      <c r="AO6282" s="11">
        <v>32030.05</v>
      </c>
      <c r="AP6282" s="9">
        <v>3.095025884145878</v>
      </c>
    </row>
    <row r="6283" spans="40:42" x14ac:dyDescent="0.3">
      <c r="AN6283">
        <v>6279</v>
      </c>
      <c r="AO6283" s="11">
        <v>28441.77</v>
      </c>
      <c r="AP6283" s="9">
        <v>3.0957518347686479</v>
      </c>
    </row>
    <row r="6284" spans="40:42" x14ac:dyDescent="0.3">
      <c r="AN6284">
        <v>6280</v>
      </c>
      <c r="AO6284" s="11">
        <v>19340.95</v>
      </c>
      <c r="AP6284" s="9">
        <v>3.2917713533378392</v>
      </c>
    </row>
    <row r="6285" spans="40:42" x14ac:dyDescent="0.3">
      <c r="AN6285">
        <v>6281</v>
      </c>
      <c r="AO6285" s="11">
        <v>32268.65</v>
      </c>
      <c r="AP6285" s="9">
        <v>3.2920947193394623</v>
      </c>
    </row>
    <row r="6286" spans="40:42" x14ac:dyDescent="0.3">
      <c r="AN6286">
        <v>6282</v>
      </c>
      <c r="AO6286" s="11">
        <v>15865.33</v>
      </c>
      <c r="AP6286" s="9">
        <v>2.775616690771078</v>
      </c>
    </row>
    <row r="6287" spans="40:42" x14ac:dyDescent="0.3">
      <c r="AN6287">
        <v>6283</v>
      </c>
      <c r="AO6287" s="11">
        <v>22952.21</v>
      </c>
      <c r="AP6287" s="9">
        <v>3.256342014925913</v>
      </c>
    </row>
    <row r="6288" spans="40:42" x14ac:dyDescent="0.3">
      <c r="AN6288">
        <v>6284</v>
      </c>
      <c r="AO6288" s="11">
        <v>26602.65</v>
      </c>
      <c r="AP6288" s="9">
        <v>3.4546152749809385</v>
      </c>
    </row>
    <row r="6289" spans="40:42" x14ac:dyDescent="0.3">
      <c r="AN6289">
        <v>6285</v>
      </c>
      <c r="AO6289" s="11">
        <v>24904.04</v>
      </c>
      <c r="AP6289" s="9">
        <v>2.9252019409355134</v>
      </c>
    </row>
    <row r="6290" spans="40:42" x14ac:dyDescent="0.3">
      <c r="AN6290">
        <v>6286</v>
      </c>
      <c r="AO6290" s="11">
        <v>25734.22</v>
      </c>
      <c r="AP6290" s="9">
        <v>3.9873152074098375</v>
      </c>
    </row>
    <row r="6291" spans="40:42" x14ac:dyDescent="0.3">
      <c r="AN6291">
        <v>6287</v>
      </c>
      <c r="AO6291" s="11">
        <v>22017.34</v>
      </c>
      <c r="AP6291" s="9">
        <v>3.0974854547046773</v>
      </c>
    </row>
    <row r="6292" spans="40:42" x14ac:dyDescent="0.3">
      <c r="AN6292">
        <v>6288</v>
      </c>
      <c r="AO6292" s="11">
        <v>17689.86</v>
      </c>
      <c r="AP6292" s="9">
        <v>3.0901146659460621</v>
      </c>
    </row>
    <row r="6293" spans="40:42" x14ac:dyDescent="0.3">
      <c r="AN6293">
        <v>6289</v>
      </c>
      <c r="AO6293" s="11">
        <v>28832.21</v>
      </c>
      <c r="AP6293" s="9">
        <v>3.1269252836399839</v>
      </c>
    </row>
    <row r="6294" spans="40:42" x14ac:dyDescent="0.3">
      <c r="AN6294">
        <v>6290</v>
      </c>
      <c r="AO6294" s="11">
        <v>21885.91</v>
      </c>
      <c r="AP6294" s="9">
        <v>3.1068777558612766</v>
      </c>
    </row>
    <row r="6295" spans="40:42" x14ac:dyDescent="0.3">
      <c r="AN6295">
        <v>6291</v>
      </c>
      <c r="AO6295" s="11">
        <v>15030.29</v>
      </c>
      <c r="AP6295" s="9">
        <v>3.2037535186610673</v>
      </c>
    </row>
    <row r="6296" spans="40:42" x14ac:dyDescent="0.3">
      <c r="AN6296">
        <v>6292</v>
      </c>
      <c r="AO6296" s="11">
        <v>25655.37</v>
      </c>
      <c r="AP6296" s="9">
        <v>2.7383848182153963</v>
      </c>
    </row>
    <row r="6297" spans="40:42" x14ac:dyDescent="0.3">
      <c r="AN6297">
        <v>6293</v>
      </c>
      <c r="AO6297" s="11">
        <v>32207.65</v>
      </c>
      <c r="AP6297" s="9">
        <v>3.2779798458288578</v>
      </c>
    </row>
    <row r="6298" spans="40:42" x14ac:dyDescent="0.3">
      <c r="AN6298">
        <v>6294</v>
      </c>
      <c r="AO6298" s="11">
        <v>33851.120000000003</v>
      </c>
      <c r="AP6298" s="9">
        <v>3.0015668523031169</v>
      </c>
    </row>
    <row r="6299" spans="40:42" x14ac:dyDescent="0.3">
      <c r="AN6299">
        <v>6295</v>
      </c>
      <c r="AO6299" s="11">
        <v>24590.13</v>
      </c>
      <c r="AP6299" s="9">
        <v>3.4784170860340953</v>
      </c>
    </row>
    <row r="6300" spans="40:42" x14ac:dyDescent="0.3">
      <c r="AN6300">
        <v>6296</v>
      </c>
      <c r="AO6300" s="11">
        <v>11597.38</v>
      </c>
      <c r="AP6300" s="9">
        <v>3.090604860461482</v>
      </c>
    </row>
    <row r="6301" spans="40:42" x14ac:dyDescent="0.3">
      <c r="AN6301">
        <v>6297</v>
      </c>
      <c r="AO6301" s="11">
        <v>19936.900000000001</v>
      </c>
      <c r="AP6301" s="9">
        <v>3.4340774730821657</v>
      </c>
    </row>
    <row r="6302" spans="40:42" x14ac:dyDescent="0.3">
      <c r="AN6302">
        <v>6298</v>
      </c>
      <c r="AO6302" s="11">
        <v>32122.48</v>
      </c>
      <c r="AP6302" s="9">
        <v>3.4357360411035769</v>
      </c>
    </row>
    <row r="6303" spans="40:42" x14ac:dyDescent="0.3">
      <c r="AN6303">
        <v>6299</v>
      </c>
      <c r="AO6303" s="11">
        <v>51434.43</v>
      </c>
      <c r="AP6303" s="9">
        <v>4.2561707401220499</v>
      </c>
    </row>
    <row r="6304" spans="40:42" x14ac:dyDescent="0.3">
      <c r="AN6304">
        <v>6300</v>
      </c>
      <c r="AO6304" s="11">
        <v>36730.910000000003</v>
      </c>
      <c r="AP6304" s="9">
        <v>4.7936090751777902</v>
      </c>
    </row>
    <row r="6305" spans="40:42" x14ac:dyDescent="0.3">
      <c r="AN6305">
        <v>6301</v>
      </c>
      <c r="AO6305" s="11">
        <v>37185.269999999997</v>
      </c>
      <c r="AP6305" s="9">
        <v>3.2805950672429232</v>
      </c>
    </row>
    <row r="6306" spans="40:42" x14ac:dyDescent="0.3">
      <c r="AN6306">
        <v>6302</v>
      </c>
      <c r="AO6306" s="11">
        <v>29333.84</v>
      </c>
      <c r="AP6306" s="9">
        <v>3.3559983868764935</v>
      </c>
    </row>
    <row r="6307" spans="40:42" x14ac:dyDescent="0.3">
      <c r="AN6307">
        <v>6303</v>
      </c>
      <c r="AO6307" s="11">
        <v>29023.71</v>
      </c>
      <c r="AP6307" s="9">
        <v>3.0767531653749924</v>
      </c>
    </row>
    <row r="6308" spans="40:42" x14ac:dyDescent="0.3">
      <c r="AN6308">
        <v>6304</v>
      </c>
      <c r="AO6308" s="11">
        <v>17663.68</v>
      </c>
      <c r="AP6308" s="9">
        <v>3.1193558065605287</v>
      </c>
    </row>
    <row r="6309" spans="40:42" x14ac:dyDescent="0.3">
      <c r="AN6309">
        <v>6305</v>
      </c>
      <c r="AO6309" s="11">
        <v>32910.18</v>
      </c>
      <c r="AP6309" s="9">
        <v>4.5305293131114226</v>
      </c>
    </row>
    <row r="6310" spans="40:42" x14ac:dyDescent="0.3">
      <c r="AN6310">
        <v>6306</v>
      </c>
      <c r="AO6310" s="11">
        <v>37245.760000000002</v>
      </c>
      <c r="AP6310" s="9">
        <v>3.8462304012006459</v>
      </c>
    </row>
    <row r="6311" spans="40:42" x14ac:dyDescent="0.3">
      <c r="AN6311">
        <v>6307</v>
      </c>
      <c r="AO6311" s="11">
        <v>25427.03</v>
      </c>
      <c r="AP6311" s="9">
        <v>2.9592544767096602</v>
      </c>
    </row>
    <row r="6312" spans="40:42" x14ac:dyDescent="0.3">
      <c r="AN6312">
        <v>6308</v>
      </c>
      <c r="AO6312" s="11">
        <v>21885.98</v>
      </c>
      <c r="AP6312" s="9">
        <v>2.6460913003519058</v>
      </c>
    </row>
    <row r="6313" spans="40:42" x14ac:dyDescent="0.3">
      <c r="AN6313">
        <v>6309</v>
      </c>
      <c r="AO6313" s="11">
        <v>41615.040000000001</v>
      </c>
      <c r="AP6313" s="9">
        <v>3.7567042960205113</v>
      </c>
    </row>
    <row r="6314" spans="40:42" x14ac:dyDescent="0.3">
      <c r="AN6314">
        <v>6310</v>
      </c>
      <c r="AO6314" s="11">
        <v>30502.68</v>
      </c>
      <c r="AP6314" s="9">
        <v>3.7952770851198432</v>
      </c>
    </row>
    <row r="6315" spans="40:42" x14ac:dyDescent="0.3">
      <c r="AN6315">
        <v>6311</v>
      </c>
      <c r="AO6315" s="11">
        <v>29064.07</v>
      </c>
      <c r="AP6315" s="9">
        <v>3.2712647038856755</v>
      </c>
    </row>
    <row r="6316" spans="40:42" x14ac:dyDescent="0.3">
      <c r="AN6316">
        <v>6312</v>
      </c>
      <c r="AO6316" s="11">
        <v>26822.65</v>
      </c>
      <c r="AP6316" s="9">
        <v>3.7204329475293587</v>
      </c>
    </row>
    <row r="6317" spans="40:42" x14ac:dyDescent="0.3">
      <c r="AN6317">
        <v>6313</v>
      </c>
      <c r="AO6317" s="11">
        <v>34671.64</v>
      </c>
      <c r="AP6317" s="9">
        <v>3.3451140436607631</v>
      </c>
    </row>
    <row r="6318" spans="40:42" x14ac:dyDescent="0.3">
      <c r="AN6318">
        <v>6314</v>
      </c>
      <c r="AO6318" s="11">
        <v>18867.439999999999</v>
      </c>
      <c r="AP6318" s="9">
        <v>2.8398900481063034</v>
      </c>
    </row>
    <row r="6319" spans="40:42" x14ac:dyDescent="0.3">
      <c r="AN6319">
        <v>6315</v>
      </c>
      <c r="AO6319" s="11">
        <v>24156.1</v>
      </c>
      <c r="AP6319" s="9">
        <v>2.8887326675590286</v>
      </c>
    </row>
    <row r="6320" spans="40:42" x14ac:dyDescent="0.3">
      <c r="AN6320">
        <v>6316</v>
      </c>
      <c r="AO6320" s="11">
        <v>29705.29</v>
      </c>
      <c r="AP6320" s="9">
        <v>3.0397195515958311</v>
      </c>
    </row>
    <row r="6321" spans="40:42" x14ac:dyDescent="0.3">
      <c r="AN6321">
        <v>6317</v>
      </c>
      <c r="AO6321" s="11">
        <v>18996.439999999999</v>
      </c>
      <c r="AP6321" s="9">
        <v>3.1507431629990115</v>
      </c>
    </row>
    <row r="6322" spans="40:42" x14ac:dyDescent="0.3">
      <c r="AN6322">
        <v>6318</v>
      </c>
      <c r="AO6322" s="11">
        <v>30482.29</v>
      </c>
      <c r="AP6322" s="9">
        <v>3.4322956724191496</v>
      </c>
    </row>
    <row r="6323" spans="40:42" x14ac:dyDescent="0.3">
      <c r="AN6323">
        <v>6319</v>
      </c>
      <c r="AO6323" s="11">
        <v>30732.73</v>
      </c>
      <c r="AP6323" s="9">
        <v>3.0031467013159108</v>
      </c>
    </row>
    <row r="6324" spans="40:42" x14ac:dyDescent="0.3">
      <c r="AN6324">
        <v>6320</v>
      </c>
      <c r="AO6324" s="11">
        <v>18859.580000000002</v>
      </c>
      <c r="AP6324" s="9">
        <v>3.1323965685296975</v>
      </c>
    </row>
    <row r="6325" spans="40:42" x14ac:dyDescent="0.3">
      <c r="AN6325">
        <v>6321</v>
      </c>
      <c r="AO6325" s="11">
        <v>26387.96</v>
      </c>
      <c r="AP6325" s="9">
        <v>2.9919052033361417</v>
      </c>
    </row>
    <row r="6326" spans="40:42" x14ac:dyDescent="0.3">
      <c r="AN6326">
        <v>6322</v>
      </c>
      <c r="AO6326" s="11">
        <v>35427.57</v>
      </c>
      <c r="AP6326" s="9">
        <v>4.0268769786868326</v>
      </c>
    </row>
    <row r="6327" spans="40:42" x14ac:dyDescent="0.3">
      <c r="AN6327">
        <v>6323</v>
      </c>
      <c r="AO6327" s="11">
        <v>26226.9</v>
      </c>
      <c r="AP6327" s="9">
        <v>3.4302982340602761</v>
      </c>
    </row>
    <row r="6328" spans="40:42" x14ac:dyDescent="0.3">
      <c r="AN6328">
        <v>6324</v>
      </c>
      <c r="AO6328" s="11">
        <v>40868.06</v>
      </c>
      <c r="AP6328" s="9">
        <v>3.8039787328384338</v>
      </c>
    </row>
    <row r="6329" spans="40:42" x14ac:dyDescent="0.3">
      <c r="AN6329">
        <v>6325</v>
      </c>
      <c r="AO6329" s="11">
        <v>19327.349999999999</v>
      </c>
      <c r="AP6329" s="9">
        <v>2.9728553222808523</v>
      </c>
    </row>
    <row r="6330" spans="40:42" x14ac:dyDescent="0.3">
      <c r="AN6330">
        <v>6326</v>
      </c>
      <c r="AO6330" s="11">
        <v>27607.25</v>
      </c>
      <c r="AP6330" s="9">
        <v>3.4109993626138486</v>
      </c>
    </row>
    <row r="6331" spans="40:42" x14ac:dyDescent="0.3">
      <c r="AN6331">
        <v>6327</v>
      </c>
      <c r="AO6331" s="11">
        <v>38581.870000000003</v>
      </c>
      <c r="AP6331" s="9">
        <v>3.3562462449116248</v>
      </c>
    </row>
    <row r="6332" spans="40:42" x14ac:dyDescent="0.3">
      <c r="AN6332">
        <v>6328</v>
      </c>
      <c r="AO6332" s="11">
        <v>21550.880000000001</v>
      </c>
      <c r="AP6332" s="9">
        <v>3.3746109034130725</v>
      </c>
    </row>
    <row r="6333" spans="40:42" x14ac:dyDescent="0.3">
      <c r="AN6333">
        <v>6329</v>
      </c>
      <c r="AO6333" s="11">
        <v>38055.370000000003</v>
      </c>
      <c r="AP6333" s="9">
        <v>3.5040828677274587</v>
      </c>
    </row>
    <row r="6334" spans="40:42" x14ac:dyDescent="0.3">
      <c r="AN6334">
        <v>6330</v>
      </c>
      <c r="AO6334" s="11">
        <v>23335.07</v>
      </c>
      <c r="AP6334" s="9">
        <v>3.8618968578494135</v>
      </c>
    </row>
    <row r="6335" spans="40:42" x14ac:dyDescent="0.3">
      <c r="AN6335">
        <v>6331</v>
      </c>
      <c r="AO6335" s="11">
        <v>20922.79</v>
      </c>
      <c r="AP6335" s="9">
        <v>3.2192368364926005</v>
      </c>
    </row>
    <row r="6336" spans="40:42" x14ac:dyDescent="0.3">
      <c r="AN6336">
        <v>6332</v>
      </c>
      <c r="AO6336" s="11">
        <v>28354.25</v>
      </c>
      <c r="AP6336" s="9">
        <v>3.9473324305543649</v>
      </c>
    </row>
    <row r="6337" spans="40:42" x14ac:dyDescent="0.3">
      <c r="AN6337">
        <v>6333</v>
      </c>
      <c r="AO6337" s="11">
        <v>27319.32</v>
      </c>
      <c r="AP6337" s="9">
        <v>3.2590661632093161</v>
      </c>
    </row>
    <row r="6338" spans="40:42" x14ac:dyDescent="0.3">
      <c r="AN6338">
        <v>6334</v>
      </c>
      <c r="AO6338" s="11">
        <v>22717.96</v>
      </c>
      <c r="AP6338" s="9">
        <v>3.5952522244393736</v>
      </c>
    </row>
    <row r="6339" spans="40:42" x14ac:dyDescent="0.3">
      <c r="AN6339">
        <v>6335</v>
      </c>
      <c r="AO6339" s="11">
        <v>35016.269999999997</v>
      </c>
      <c r="AP6339" s="9">
        <v>2.9948001167699445</v>
      </c>
    </row>
    <row r="6340" spans="40:42" x14ac:dyDescent="0.3">
      <c r="AN6340">
        <v>6336</v>
      </c>
      <c r="AO6340" s="11">
        <v>31868.26</v>
      </c>
      <c r="AP6340" s="9">
        <v>3.4467007623052774</v>
      </c>
    </row>
    <row r="6341" spans="40:42" x14ac:dyDescent="0.3">
      <c r="AN6341">
        <v>6337</v>
      </c>
      <c r="AO6341" s="11">
        <v>34455.15</v>
      </c>
      <c r="AP6341" s="9">
        <v>3.6395687196834285</v>
      </c>
    </row>
    <row r="6342" spans="40:42" x14ac:dyDescent="0.3">
      <c r="AN6342">
        <v>6338</v>
      </c>
      <c r="AO6342" s="11">
        <v>27529.61</v>
      </c>
      <c r="AP6342" s="9">
        <v>2.9134377094502302</v>
      </c>
    </row>
    <row r="6343" spans="40:42" x14ac:dyDescent="0.3">
      <c r="AN6343">
        <v>6339</v>
      </c>
      <c r="AO6343" s="11">
        <v>34840.980000000003</v>
      </c>
      <c r="AP6343" s="9">
        <v>3.7821507853185952</v>
      </c>
    </row>
    <row r="6344" spans="40:42" x14ac:dyDescent="0.3">
      <c r="AN6344">
        <v>6340</v>
      </c>
      <c r="AO6344" s="11">
        <v>26315.51</v>
      </c>
      <c r="AP6344" s="9">
        <v>3.3181318743903341</v>
      </c>
    </row>
    <row r="6345" spans="40:42" x14ac:dyDescent="0.3">
      <c r="AN6345">
        <v>6341</v>
      </c>
      <c r="AO6345" s="11">
        <v>19782.560000000001</v>
      </c>
      <c r="AP6345" s="9">
        <v>3.0572034560627501</v>
      </c>
    </row>
    <row r="6346" spans="40:42" x14ac:dyDescent="0.3">
      <c r="AN6346">
        <v>6342</v>
      </c>
      <c r="AO6346" s="11">
        <v>15367.38</v>
      </c>
      <c r="AP6346" s="9">
        <v>2.8641848784402462</v>
      </c>
    </row>
    <row r="6347" spans="40:42" x14ac:dyDescent="0.3">
      <c r="AN6347">
        <v>6343</v>
      </c>
      <c r="AO6347" s="11">
        <v>20522.46</v>
      </c>
      <c r="AP6347" s="9">
        <v>3.2192853597828082</v>
      </c>
    </row>
    <row r="6348" spans="40:42" x14ac:dyDescent="0.3">
      <c r="AN6348">
        <v>6344</v>
      </c>
      <c r="AO6348" s="11">
        <v>30613.43</v>
      </c>
      <c r="AP6348" s="9">
        <v>4.1690896317412323</v>
      </c>
    </row>
    <row r="6349" spans="40:42" x14ac:dyDescent="0.3">
      <c r="AN6349">
        <v>6345</v>
      </c>
      <c r="AO6349" s="11">
        <v>18004.189999999999</v>
      </c>
      <c r="AP6349" s="9">
        <v>3.4512993592718462</v>
      </c>
    </row>
    <row r="6350" spans="40:42" x14ac:dyDescent="0.3">
      <c r="AN6350">
        <v>6346</v>
      </c>
      <c r="AO6350" s="11">
        <v>29536.95</v>
      </c>
      <c r="AP6350" s="9">
        <v>3.6943980203137619</v>
      </c>
    </row>
    <row r="6351" spans="40:42" x14ac:dyDescent="0.3">
      <c r="AN6351">
        <v>6347</v>
      </c>
      <c r="AO6351" s="11">
        <v>26435.83</v>
      </c>
      <c r="AP6351" s="9">
        <v>3.2086501902662343</v>
      </c>
    </row>
    <row r="6352" spans="40:42" x14ac:dyDescent="0.3">
      <c r="AN6352">
        <v>6348</v>
      </c>
      <c r="AO6352" s="11">
        <v>42305.2</v>
      </c>
      <c r="AP6352" s="9">
        <v>3.1519834992061502</v>
      </c>
    </row>
    <row r="6353" spans="40:42" x14ac:dyDescent="0.3">
      <c r="AN6353">
        <v>6349</v>
      </c>
      <c r="AO6353" s="11">
        <v>33033.67</v>
      </c>
      <c r="AP6353" s="9">
        <v>3.6955883262017903</v>
      </c>
    </row>
    <row r="6354" spans="40:42" x14ac:dyDescent="0.3">
      <c r="AN6354">
        <v>6350</v>
      </c>
      <c r="AO6354" s="11">
        <v>16243.16</v>
      </c>
      <c r="AP6354" s="9">
        <v>2.6661193936953</v>
      </c>
    </row>
    <row r="6355" spans="40:42" x14ac:dyDescent="0.3">
      <c r="AN6355">
        <v>6351</v>
      </c>
      <c r="AO6355" s="11">
        <v>44966.99</v>
      </c>
      <c r="AP6355" s="9">
        <v>3.7674398337686048</v>
      </c>
    </row>
    <row r="6356" spans="40:42" x14ac:dyDescent="0.3">
      <c r="AN6356">
        <v>6352</v>
      </c>
      <c r="AO6356" s="11">
        <v>22324.26</v>
      </c>
      <c r="AP6356" s="9">
        <v>3.1844035302185452</v>
      </c>
    </row>
    <row r="6357" spans="40:42" x14ac:dyDescent="0.3">
      <c r="AN6357">
        <v>6353</v>
      </c>
      <c r="AO6357" s="11">
        <v>26317.54</v>
      </c>
      <c r="AP6357" s="9">
        <v>4.3357386156692863</v>
      </c>
    </row>
    <row r="6358" spans="40:42" x14ac:dyDescent="0.3">
      <c r="AN6358">
        <v>6354</v>
      </c>
      <c r="AO6358" s="11">
        <v>15917.04</v>
      </c>
      <c r="AP6358" s="9">
        <v>3.4168728943636921</v>
      </c>
    </row>
    <row r="6359" spans="40:42" x14ac:dyDescent="0.3">
      <c r="AN6359">
        <v>6355</v>
      </c>
      <c r="AO6359" s="11">
        <v>33407.94</v>
      </c>
      <c r="AP6359" s="9">
        <v>3.1694933324872969</v>
      </c>
    </row>
    <row r="6360" spans="40:42" x14ac:dyDescent="0.3">
      <c r="AN6360">
        <v>6356</v>
      </c>
      <c r="AO6360" s="11">
        <v>29438.37</v>
      </c>
      <c r="AP6360" s="9">
        <v>3.6158185960915192</v>
      </c>
    </row>
    <row r="6361" spans="40:42" x14ac:dyDescent="0.3">
      <c r="AN6361">
        <v>6357</v>
      </c>
      <c r="AO6361" s="11">
        <v>18850.32</v>
      </c>
      <c r="AP6361" s="9">
        <v>2.864986570075287</v>
      </c>
    </row>
    <row r="6362" spans="40:42" x14ac:dyDescent="0.3">
      <c r="AN6362">
        <v>6358</v>
      </c>
      <c r="AO6362" s="11">
        <v>30684.17</v>
      </c>
      <c r="AP6362" s="9">
        <v>3.4319127449472608</v>
      </c>
    </row>
    <row r="6363" spans="40:42" x14ac:dyDescent="0.3">
      <c r="AN6363">
        <v>6359</v>
      </c>
      <c r="AO6363" s="11">
        <v>14523.27</v>
      </c>
      <c r="AP6363" s="9">
        <v>3.0329753608972441</v>
      </c>
    </row>
    <row r="6364" spans="40:42" x14ac:dyDescent="0.3">
      <c r="AN6364">
        <v>6360</v>
      </c>
      <c r="AO6364" s="11">
        <v>26079.48</v>
      </c>
      <c r="AP6364" s="9">
        <v>3.3149143002438501</v>
      </c>
    </row>
    <row r="6365" spans="40:42" x14ac:dyDescent="0.3">
      <c r="AN6365">
        <v>6361</v>
      </c>
      <c r="AO6365" s="11">
        <v>25410.27</v>
      </c>
      <c r="AP6365" s="9">
        <v>2.9799459940539439</v>
      </c>
    </row>
    <row r="6366" spans="40:42" x14ac:dyDescent="0.3">
      <c r="AN6366">
        <v>6362</v>
      </c>
      <c r="AO6366" s="11">
        <v>15712.34</v>
      </c>
      <c r="AP6366" s="9">
        <v>3.3826716168893913</v>
      </c>
    </row>
    <row r="6367" spans="40:42" x14ac:dyDescent="0.3">
      <c r="AN6367">
        <v>6363</v>
      </c>
      <c r="AO6367" s="11">
        <v>35581.629999999997</v>
      </c>
      <c r="AP6367" s="9">
        <v>3.7910889683801763</v>
      </c>
    </row>
    <row r="6368" spans="40:42" x14ac:dyDescent="0.3">
      <c r="AN6368">
        <v>6364</v>
      </c>
      <c r="AO6368" s="11">
        <v>45332.1</v>
      </c>
      <c r="AP6368" s="9">
        <v>3.8766405603740406</v>
      </c>
    </row>
    <row r="6369" spans="40:42" x14ac:dyDescent="0.3">
      <c r="AN6369">
        <v>6365</v>
      </c>
      <c r="AO6369" s="11">
        <v>31239.55</v>
      </c>
      <c r="AP6369" s="9">
        <v>3.3835647257369379</v>
      </c>
    </row>
    <row r="6370" spans="40:42" x14ac:dyDescent="0.3">
      <c r="AN6370">
        <v>6366</v>
      </c>
      <c r="AO6370" s="11">
        <v>36051.879999999997</v>
      </c>
      <c r="AP6370" s="9">
        <v>3.2868021577436233</v>
      </c>
    </row>
    <row r="6371" spans="40:42" x14ac:dyDescent="0.3">
      <c r="AN6371">
        <v>6367</v>
      </c>
      <c r="AO6371" s="11">
        <v>32160.18</v>
      </c>
      <c r="AP6371" s="9">
        <v>3.0390259756419442</v>
      </c>
    </row>
    <row r="6372" spans="40:42" x14ac:dyDescent="0.3">
      <c r="AN6372">
        <v>6368</v>
      </c>
      <c r="AO6372" s="11">
        <v>32793.629999999997</v>
      </c>
      <c r="AP6372" s="9">
        <v>3.6894969334463594</v>
      </c>
    </row>
    <row r="6373" spans="40:42" x14ac:dyDescent="0.3">
      <c r="AN6373">
        <v>6369</v>
      </c>
      <c r="AO6373" s="11">
        <v>32189.17</v>
      </c>
      <c r="AP6373" s="9">
        <v>3.6056908768329428</v>
      </c>
    </row>
    <row r="6374" spans="40:42" x14ac:dyDescent="0.3">
      <c r="AN6374">
        <v>6370</v>
      </c>
      <c r="AO6374" s="11">
        <v>17746.349999999999</v>
      </c>
      <c r="AP6374" s="9">
        <v>2.864400072871466</v>
      </c>
    </row>
    <row r="6375" spans="40:42" x14ac:dyDescent="0.3">
      <c r="AN6375">
        <v>6371</v>
      </c>
      <c r="AO6375" s="11">
        <v>28918.05</v>
      </c>
      <c r="AP6375" s="9">
        <v>3.4862616083600773</v>
      </c>
    </row>
    <row r="6376" spans="40:42" x14ac:dyDescent="0.3">
      <c r="AN6376">
        <v>6372</v>
      </c>
      <c r="AO6376" s="11">
        <v>21449.64</v>
      </c>
      <c r="AP6376" s="9">
        <v>3.6185571345764171</v>
      </c>
    </row>
    <row r="6377" spans="40:42" x14ac:dyDescent="0.3">
      <c r="AN6377">
        <v>6373</v>
      </c>
      <c r="AO6377" s="11">
        <v>21271.02</v>
      </c>
      <c r="AP6377" s="9">
        <v>3.0448744160541286</v>
      </c>
    </row>
    <row r="6378" spans="40:42" x14ac:dyDescent="0.3">
      <c r="AN6378">
        <v>6374</v>
      </c>
      <c r="AO6378" s="11">
        <v>31741.55</v>
      </c>
      <c r="AP6378" s="9">
        <v>3.4400611513218511</v>
      </c>
    </row>
    <row r="6379" spans="40:42" x14ac:dyDescent="0.3">
      <c r="AN6379">
        <v>6375</v>
      </c>
      <c r="AO6379" s="11">
        <v>30509.27</v>
      </c>
      <c r="AP6379" s="9">
        <v>3.2426252878780937</v>
      </c>
    </row>
    <row r="6380" spans="40:42" x14ac:dyDescent="0.3">
      <c r="AN6380">
        <v>6376</v>
      </c>
      <c r="AO6380" s="11">
        <v>39103.32</v>
      </c>
      <c r="AP6380" s="9">
        <v>4.2056682893360406</v>
      </c>
    </row>
    <row r="6381" spans="40:42" x14ac:dyDescent="0.3">
      <c r="AN6381">
        <v>6377</v>
      </c>
      <c r="AO6381" s="11">
        <v>24104.52</v>
      </c>
      <c r="AP6381" s="9">
        <v>3.6627861331207674</v>
      </c>
    </row>
    <row r="6382" spans="40:42" x14ac:dyDescent="0.3">
      <c r="AN6382">
        <v>6378</v>
      </c>
      <c r="AO6382" s="11">
        <v>31382</v>
      </c>
      <c r="AP6382" s="9">
        <v>3.6652538975379034</v>
      </c>
    </row>
    <row r="6383" spans="40:42" x14ac:dyDescent="0.3">
      <c r="AN6383">
        <v>6379</v>
      </c>
      <c r="AO6383" s="11">
        <v>23816.59</v>
      </c>
      <c r="AP6383" s="9">
        <v>4.0948424040069895</v>
      </c>
    </row>
    <row r="6384" spans="40:42" x14ac:dyDescent="0.3">
      <c r="AN6384">
        <v>6380</v>
      </c>
      <c r="AO6384" s="11">
        <v>25761.96</v>
      </c>
      <c r="AP6384" s="9">
        <v>3.0656115671967044</v>
      </c>
    </row>
    <row r="6385" spans="40:42" x14ac:dyDescent="0.3">
      <c r="AN6385">
        <v>6381</v>
      </c>
      <c r="AO6385" s="11">
        <v>40418.22</v>
      </c>
      <c r="AP6385" s="9">
        <v>4.2551513928376572</v>
      </c>
    </row>
    <row r="6386" spans="40:42" x14ac:dyDescent="0.3">
      <c r="AN6386">
        <v>6382</v>
      </c>
      <c r="AO6386" s="11">
        <v>24427.37</v>
      </c>
      <c r="AP6386" s="9">
        <v>2.9574729596882383</v>
      </c>
    </row>
    <row r="6387" spans="40:42" x14ac:dyDescent="0.3">
      <c r="AN6387">
        <v>6383</v>
      </c>
      <c r="AO6387" s="11">
        <v>34160.35</v>
      </c>
      <c r="AP6387" s="9">
        <v>3.4135801762164393</v>
      </c>
    </row>
    <row r="6388" spans="40:42" x14ac:dyDescent="0.3">
      <c r="AN6388">
        <v>6384</v>
      </c>
      <c r="AO6388" s="11">
        <v>28774.46</v>
      </c>
      <c r="AP6388" s="9">
        <v>3.7274942376098568</v>
      </c>
    </row>
    <row r="6389" spans="40:42" x14ac:dyDescent="0.3">
      <c r="AN6389">
        <v>6385</v>
      </c>
      <c r="AO6389" s="11">
        <v>25167.119999999999</v>
      </c>
      <c r="AP6389" s="9">
        <v>3.1309284687276948</v>
      </c>
    </row>
    <row r="6390" spans="40:42" x14ac:dyDescent="0.3">
      <c r="AN6390">
        <v>6386</v>
      </c>
      <c r="AO6390" s="11">
        <v>27193.56</v>
      </c>
      <c r="AP6390" s="9">
        <v>3.6421912436524009</v>
      </c>
    </row>
    <row r="6391" spans="40:42" x14ac:dyDescent="0.3">
      <c r="AN6391">
        <v>6387</v>
      </c>
      <c r="AO6391" s="11">
        <v>25673.41</v>
      </c>
      <c r="AP6391" s="9">
        <v>3.6616606438916688</v>
      </c>
    </row>
    <row r="6392" spans="40:42" x14ac:dyDescent="0.3">
      <c r="AN6392">
        <v>6388</v>
      </c>
      <c r="AO6392" s="11">
        <v>16661.689999999999</v>
      </c>
      <c r="AP6392" s="9">
        <v>3.0990689381032639</v>
      </c>
    </row>
    <row r="6393" spans="40:42" x14ac:dyDescent="0.3">
      <c r="AN6393">
        <v>6389</v>
      </c>
      <c r="AO6393" s="11">
        <v>23469.02</v>
      </c>
      <c r="AP6393" s="9">
        <v>3.61696450617467</v>
      </c>
    </row>
    <row r="6394" spans="40:42" x14ac:dyDescent="0.3">
      <c r="AN6394">
        <v>6390</v>
      </c>
      <c r="AO6394" s="11">
        <v>32053.1</v>
      </c>
      <c r="AP6394" s="9">
        <v>3.2234362413133195</v>
      </c>
    </row>
    <row r="6395" spans="40:42" x14ac:dyDescent="0.3">
      <c r="AN6395">
        <v>6391</v>
      </c>
      <c r="AO6395" s="11">
        <v>22373.24</v>
      </c>
      <c r="AP6395" s="9">
        <v>2.8150351716320774</v>
      </c>
    </row>
    <row r="6396" spans="40:42" x14ac:dyDescent="0.3">
      <c r="AN6396">
        <v>6392</v>
      </c>
      <c r="AO6396" s="11">
        <v>25546.97</v>
      </c>
      <c r="AP6396" s="9">
        <v>3.0021966679487573</v>
      </c>
    </row>
    <row r="6397" spans="40:42" x14ac:dyDescent="0.3">
      <c r="AN6397">
        <v>6393</v>
      </c>
      <c r="AO6397" s="11">
        <v>30673.119999999999</v>
      </c>
      <c r="AP6397" s="9">
        <v>3.1967681113448196</v>
      </c>
    </row>
    <row r="6398" spans="40:42" x14ac:dyDescent="0.3">
      <c r="AN6398">
        <v>6394</v>
      </c>
      <c r="AO6398" s="11">
        <v>26777.1</v>
      </c>
      <c r="AP6398" s="9">
        <v>3.3957559094459762</v>
      </c>
    </row>
    <row r="6399" spans="40:42" x14ac:dyDescent="0.3">
      <c r="AN6399">
        <v>6395</v>
      </c>
      <c r="AO6399" s="11">
        <v>23529.13</v>
      </c>
      <c r="AP6399" s="9">
        <v>3.4494615531764112</v>
      </c>
    </row>
    <row r="6400" spans="40:42" x14ac:dyDescent="0.3">
      <c r="AN6400">
        <v>6396</v>
      </c>
      <c r="AO6400" s="11">
        <v>18034.240000000002</v>
      </c>
      <c r="AP6400" s="9">
        <v>2.9231142343463148</v>
      </c>
    </row>
    <row r="6401" spans="40:42" x14ac:dyDescent="0.3">
      <c r="AN6401">
        <v>6397</v>
      </c>
      <c r="AO6401" s="11">
        <v>21384.28</v>
      </c>
      <c r="AP6401" s="9">
        <v>3.5392464747339529</v>
      </c>
    </row>
    <row r="6402" spans="40:42" x14ac:dyDescent="0.3">
      <c r="AN6402">
        <v>6398</v>
      </c>
      <c r="AO6402" s="11">
        <v>37065.75</v>
      </c>
      <c r="AP6402" s="9">
        <v>4.0336022657102717</v>
      </c>
    </row>
    <row r="6403" spans="40:42" x14ac:dyDescent="0.3">
      <c r="AN6403">
        <v>6399</v>
      </c>
      <c r="AO6403" s="11">
        <v>44569.02</v>
      </c>
      <c r="AP6403" s="9">
        <v>3.7919079153414517</v>
      </c>
    </row>
    <row r="6404" spans="40:42" x14ac:dyDescent="0.3">
      <c r="AN6404">
        <v>6400</v>
      </c>
      <c r="AO6404" s="11">
        <v>34159.99</v>
      </c>
      <c r="AP6404" s="9">
        <v>3.6866570874324336</v>
      </c>
    </row>
    <row r="6405" spans="40:42" x14ac:dyDescent="0.3">
      <c r="AN6405">
        <v>6401</v>
      </c>
      <c r="AO6405" s="11">
        <v>18239.05</v>
      </c>
      <c r="AP6405" s="9">
        <v>3.3100395562274221</v>
      </c>
    </row>
    <row r="6406" spans="40:42" x14ac:dyDescent="0.3">
      <c r="AN6406">
        <v>6402</v>
      </c>
      <c r="AO6406" s="11">
        <v>17473.66</v>
      </c>
      <c r="AP6406" s="9">
        <v>2.8288217588491436</v>
      </c>
    </row>
    <row r="6407" spans="40:42" x14ac:dyDescent="0.3">
      <c r="AN6407">
        <v>6403</v>
      </c>
      <c r="AO6407" s="11">
        <v>21751.33</v>
      </c>
      <c r="AP6407" s="9">
        <v>3.8896733227244131</v>
      </c>
    </row>
    <row r="6408" spans="40:42" x14ac:dyDescent="0.3">
      <c r="AN6408">
        <v>6404</v>
      </c>
      <c r="AO6408" s="11">
        <v>23939.9</v>
      </c>
      <c r="AP6408" s="9">
        <v>3.0233396606795933</v>
      </c>
    </row>
    <row r="6409" spans="40:42" x14ac:dyDescent="0.3">
      <c r="AN6409">
        <v>6405</v>
      </c>
      <c r="AO6409" s="11">
        <v>27459.200000000001</v>
      </c>
      <c r="AP6409" s="9">
        <v>3.6385125699832841</v>
      </c>
    </row>
    <row r="6410" spans="40:42" x14ac:dyDescent="0.3">
      <c r="AN6410">
        <v>6406</v>
      </c>
      <c r="AO6410" s="11">
        <v>23451.5</v>
      </c>
      <c r="AP6410" s="9">
        <v>3.3456444682243913</v>
      </c>
    </row>
    <row r="6411" spans="40:42" x14ac:dyDescent="0.3">
      <c r="AN6411">
        <v>6407</v>
      </c>
      <c r="AO6411" s="11">
        <v>27251.08</v>
      </c>
      <c r="AP6411" s="9">
        <v>3.4714942512819764</v>
      </c>
    </row>
    <row r="6412" spans="40:42" x14ac:dyDescent="0.3">
      <c r="AN6412">
        <v>6408</v>
      </c>
      <c r="AO6412" s="11">
        <v>24105.13</v>
      </c>
      <c r="AP6412" s="9">
        <v>2.9213105600677292</v>
      </c>
    </row>
    <row r="6413" spans="40:42" x14ac:dyDescent="0.3">
      <c r="AN6413">
        <v>6409</v>
      </c>
      <c r="AO6413" s="11">
        <v>34468.97</v>
      </c>
      <c r="AP6413" s="9">
        <v>3.1632820627601741</v>
      </c>
    </row>
    <row r="6414" spans="40:42" x14ac:dyDescent="0.3">
      <c r="AN6414">
        <v>6410</v>
      </c>
      <c r="AO6414" s="11">
        <v>21005.08</v>
      </c>
      <c r="AP6414" s="9">
        <v>3.8180644594409379</v>
      </c>
    </row>
    <row r="6415" spans="40:42" x14ac:dyDescent="0.3">
      <c r="AN6415">
        <v>6411</v>
      </c>
      <c r="AO6415" s="11">
        <v>30113.759999999998</v>
      </c>
      <c r="AP6415" s="9">
        <v>3.0241643921389683</v>
      </c>
    </row>
    <row r="6416" spans="40:42" x14ac:dyDescent="0.3">
      <c r="AN6416">
        <v>6412</v>
      </c>
      <c r="AO6416" s="11">
        <v>26575.94</v>
      </c>
      <c r="AP6416" s="9">
        <v>3.3319025267217262</v>
      </c>
    </row>
    <row r="6417" spans="40:42" x14ac:dyDescent="0.3">
      <c r="AN6417">
        <v>6413</v>
      </c>
      <c r="AO6417" s="11">
        <v>34122.46</v>
      </c>
      <c r="AP6417" s="9">
        <v>3.8385900975258549</v>
      </c>
    </row>
    <row r="6418" spans="40:42" x14ac:dyDescent="0.3">
      <c r="AN6418">
        <v>6414</v>
      </c>
      <c r="AO6418" s="11">
        <v>49329.57</v>
      </c>
      <c r="AP6418" s="9">
        <v>4.2616446247585866</v>
      </c>
    </row>
    <row r="6419" spans="40:42" x14ac:dyDescent="0.3">
      <c r="AN6419">
        <v>6415</v>
      </c>
      <c r="AO6419" s="11">
        <v>61657.94</v>
      </c>
      <c r="AP6419" s="9">
        <v>5.1478625119972126</v>
      </c>
    </row>
    <row r="6420" spans="40:42" x14ac:dyDescent="0.3">
      <c r="AN6420">
        <v>6416</v>
      </c>
      <c r="AO6420" s="11">
        <v>24339.33</v>
      </c>
      <c r="AP6420" s="9">
        <v>2.8624218799263463</v>
      </c>
    </row>
    <row r="6421" spans="40:42" x14ac:dyDescent="0.3">
      <c r="AN6421">
        <v>6417</v>
      </c>
      <c r="AO6421" s="11">
        <v>26427.49</v>
      </c>
      <c r="AP6421" s="9">
        <v>3.8224008048187996</v>
      </c>
    </row>
    <row r="6422" spans="40:42" x14ac:dyDescent="0.3">
      <c r="AN6422">
        <v>6418</v>
      </c>
      <c r="AO6422" s="11">
        <v>20992.959999999999</v>
      </c>
      <c r="AP6422" s="9">
        <v>3.1715577895310103</v>
      </c>
    </row>
    <row r="6423" spans="40:42" x14ac:dyDescent="0.3">
      <c r="AN6423">
        <v>6419</v>
      </c>
      <c r="AO6423" s="11">
        <v>25619.7</v>
      </c>
      <c r="AP6423" s="9">
        <v>3.2588792507988602</v>
      </c>
    </row>
    <row r="6424" spans="40:42" x14ac:dyDescent="0.3">
      <c r="AN6424">
        <v>6420</v>
      </c>
      <c r="AO6424" s="11">
        <v>30324.79</v>
      </c>
      <c r="AP6424" s="9">
        <v>2.9938786359109897</v>
      </c>
    </row>
    <row r="6425" spans="40:42" x14ac:dyDescent="0.3">
      <c r="AN6425">
        <v>6421</v>
      </c>
      <c r="AO6425" s="11">
        <v>24374.93</v>
      </c>
      <c r="AP6425" s="9">
        <v>2.8276065389954392</v>
      </c>
    </row>
    <row r="6426" spans="40:42" x14ac:dyDescent="0.3">
      <c r="AN6426">
        <v>6422</v>
      </c>
      <c r="AO6426" s="11">
        <v>21666.959999999999</v>
      </c>
      <c r="AP6426" s="9">
        <v>3.442642816668406</v>
      </c>
    </row>
    <row r="6427" spans="40:42" x14ac:dyDescent="0.3">
      <c r="AN6427">
        <v>6423</v>
      </c>
      <c r="AO6427" s="11">
        <v>16591.78</v>
      </c>
      <c r="AP6427" s="9">
        <v>3.0478228108968213</v>
      </c>
    </row>
    <row r="6428" spans="40:42" x14ac:dyDescent="0.3">
      <c r="AN6428">
        <v>6424</v>
      </c>
      <c r="AO6428" s="11">
        <v>27421.14</v>
      </c>
      <c r="AP6428" s="9">
        <v>3.3101163763788097</v>
      </c>
    </row>
    <row r="6429" spans="40:42" x14ac:dyDescent="0.3">
      <c r="AN6429">
        <v>6425</v>
      </c>
      <c r="AO6429" s="11">
        <v>36736.720000000001</v>
      </c>
      <c r="AP6429" s="9">
        <v>3.1179806245733745</v>
      </c>
    </row>
    <row r="6430" spans="40:42" x14ac:dyDescent="0.3">
      <c r="AN6430">
        <v>6426</v>
      </c>
      <c r="AO6430" s="11">
        <v>21729.86</v>
      </c>
      <c r="AP6430" s="9">
        <v>3.0399339038789974</v>
      </c>
    </row>
    <row r="6431" spans="40:42" x14ac:dyDescent="0.3">
      <c r="AN6431">
        <v>6427</v>
      </c>
      <c r="AO6431" s="11">
        <v>34250.58</v>
      </c>
      <c r="AP6431" s="9">
        <v>3.9038231164196127</v>
      </c>
    </row>
    <row r="6432" spans="40:42" x14ac:dyDescent="0.3">
      <c r="AN6432">
        <v>6428</v>
      </c>
      <c r="AO6432" s="11">
        <v>37960.79</v>
      </c>
      <c r="AP6432" s="9">
        <v>3.5847822035772965</v>
      </c>
    </row>
    <row r="6433" spans="40:42" x14ac:dyDescent="0.3">
      <c r="AN6433">
        <v>6429</v>
      </c>
      <c r="AO6433" s="11">
        <v>23164.240000000002</v>
      </c>
      <c r="AP6433" s="9">
        <v>3.3065653140777349</v>
      </c>
    </row>
    <row r="6434" spans="40:42" x14ac:dyDescent="0.3">
      <c r="AN6434">
        <v>6430</v>
      </c>
      <c r="AO6434" s="11">
        <v>22236.31</v>
      </c>
      <c r="AP6434" s="9">
        <v>2.9202071671750334</v>
      </c>
    </row>
    <row r="6435" spans="40:42" x14ac:dyDescent="0.3">
      <c r="AN6435">
        <v>6431</v>
      </c>
      <c r="AO6435" s="11">
        <v>29686.55</v>
      </c>
      <c r="AP6435" s="9">
        <v>2.79472760590044</v>
      </c>
    </row>
    <row r="6436" spans="40:42" x14ac:dyDescent="0.3">
      <c r="AN6436">
        <v>6432</v>
      </c>
      <c r="AO6436" s="11">
        <v>23783.439999999999</v>
      </c>
      <c r="AP6436" s="9">
        <v>3.0697959084813666</v>
      </c>
    </row>
    <row r="6437" spans="40:42" x14ac:dyDescent="0.3">
      <c r="AN6437">
        <v>6433</v>
      </c>
      <c r="AO6437" s="11">
        <v>35322.07</v>
      </c>
      <c r="AP6437" s="9">
        <v>4.1716942116543656</v>
      </c>
    </row>
    <row r="6438" spans="40:42" x14ac:dyDescent="0.3">
      <c r="AN6438">
        <v>6434</v>
      </c>
      <c r="AO6438" s="11">
        <v>23335.93</v>
      </c>
      <c r="AP6438" s="9">
        <v>3.5289395406845259</v>
      </c>
    </row>
    <row r="6439" spans="40:42" x14ac:dyDescent="0.3">
      <c r="AN6439">
        <v>6435</v>
      </c>
      <c r="AO6439" s="11">
        <v>15398.41</v>
      </c>
      <c r="AP6439" s="9">
        <v>2.7237284046771082</v>
      </c>
    </row>
    <row r="6440" spans="40:42" x14ac:dyDescent="0.3">
      <c r="AN6440">
        <v>6436</v>
      </c>
      <c r="AO6440" s="11">
        <v>26752.55</v>
      </c>
      <c r="AP6440" s="9">
        <v>3.1193024297619436</v>
      </c>
    </row>
    <row r="6441" spans="40:42" x14ac:dyDescent="0.3">
      <c r="AN6441">
        <v>6437</v>
      </c>
      <c r="AO6441" s="11">
        <v>35032.14</v>
      </c>
      <c r="AP6441" s="9">
        <v>3.7865190708254688</v>
      </c>
    </row>
    <row r="6442" spans="40:42" x14ac:dyDescent="0.3">
      <c r="AN6442">
        <v>6438</v>
      </c>
      <c r="AO6442" s="11">
        <v>22278.21</v>
      </c>
      <c r="AP6442" s="9">
        <v>3.6482334418432485</v>
      </c>
    </row>
    <row r="6443" spans="40:42" x14ac:dyDescent="0.3">
      <c r="AN6443">
        <v>6439</v>
      </c>
      <c r="AO6443" s="11">
        <v>21506.080000000002</v>
      </c>
      <c r="AP6443" s="9">
        <v>3.4291770703722126</v>
      </c>
    </row>
    <row r="6444" spans="40:42" x14ac:dyDescent="0.3">
      <c r="AN6444">
        <v>6440</v>
      </c>
      <c r="AO6444" s="11">
        <v>25050.74</v>
      </c>
      <c r="AP6444" s="9">
        <v>3.9967614613466083</v>
      </c>
    </row>
    <row r="6445" spans="40:42" x14ac:dyDescent="0.3">
      <c r="AN6445">
        <v>6441</v>
      </c>
      <c r="AO6445" s="11">
        <v>45235.4</v>
      </c>
      <c r="AP6445" s="9">
        <v>3.5513580828086613</v>
      </c>
    </row>
    <row r="6446" spans="40:42" x14ac:dyDescent="0.3">
      <c r="AN6446">
        <v>6442</v>
      </c>
      <c r="AO6446" s="11">
        <v>22666.46</v>
      </c>
      <c r="AP6446" s="9">
        <v>2.6563321892228191</v>
      </c>
    </row>
    <row r="6447" spans="40:42" x14ac:dyDescent="0.3">
      <c r="AN6447">
        <v>6443</v>
      </c>
      <c r="AO6447" s="11">
        <v>30158.17</v>
      </c>
      <c r="AP6447" s="9">
        <v>3.1883323764661382</v>
      </c>
    </row>
    <row r="6448" spans="40:42" x14ac:dyDescent="0.3">
      <c r="AN6448">
        <v>6444</v>
      </c>
      <c r="AO6448" s="11">
        <v>23856.2</v>
      </c>
      <c r="AP6448" s="9">
        <v>3.0561836616214895</v>
      </c>
    </row>
    <row r="6449" spans="40:42" x14ac:dyDescent="0.3">
      <c r="AN6449">
        <v>6445</v>
      </c>
      <c r="AO6449" s="11">
        <v>22941.23</v>
      </c>
      <c r="AP6449" s="9">
        <v>2.8953949528805532</v>
      </c>
    </row>
    <row r="6450" spans="40:42" x14ac:dyDescent="0.3">
      <c r="AN6450">
        <v>6446</v>
      </c>
      <c r="AO6450" s="11">
        <v>32975.99</v>
      </c>
      <c r="AP6450" s="9">
        <v>3.0235988091051818</v>
      </c>
    </row>
    <row r="6451" spans="40:42" x14ac:dyDescent="0.3">
      <c r="AN6451">
        <v>6447</v>
      </c>
      <c r="AO6451" s="11">
        <v>37110.160000000003</v>
      </c>
      <c r="AP6451" s="9">
        <v>3.7246866706433583</v>
      </c>
    </row>
    <row r="6452" spans="40:42" x14ac:dyDescent="0.3">
      <c r="AN6452">
        <v>6448</v>
      </c>
      <c r="AO6452" s="11">
        <v>27542.28</v>
      </c>
      <c r="AP6452" s="9">
        <v>4.0866116116637121</v>
      </c>
    </row>
    <row r="6453" spans="40:42" x14ac:dyDescent="0.3">
      <c r="AN6453">
        <v>6449</v>
      </c>
      <c r="AO6453" s="11">
        <v>31948.09</v>
      </c>
      <c r="AP6453" s="9">
        <v>3.5848493555773961</v>
      </c>
    </row>
    <row r="6454" spans="40:42" x14ac:dyDescent="0.3">
      <c r="AN6454">
        <v>6450</v>
      </c>
      <c r="AO6454" s="11">
        <v>29994.639999999999</v>
      </c>
      <c r="AP6454" s="9">
        <v>3.2662569343065257</v>
      </c>
    </row>
    <row r="6455" spans="40:42" x14ac:dyDescent="0.3">
      <c r="AN6455">
        <v>6451</v>
      </c>
      <c r="AO6455" s="11">
        <v>24718.36</v>
      </c>
      <c r="AP6455" s="9">
        <v>3.7336636467525168</v>
      </c>
    </row>
    <row r="6456" spans="40:42" x14ac:dyDescent="0.3">
      <c r="AN6456">
        <v>6452</v>
      </c>
      <c r="AO6456" s="11">
        <v>23360.33</v>
      </c>
      <c r="AP6456" s="9">
        <v>3.4403397360060048</v>
      </c>
    </row>
    <row r="6457" spans="40:42" x14ac:dyDescent="0.3">
      <c r="AN6457">
        <v>6453</v>
      </c>
      <c r="AO6457" s="11">
        <v>15410.31</v>
      </c>
      <c r="AP6457" s="9">
        <v>2.3157791713326765</v>
      </c>
    </row>
    <row r="6458" spans="40:42" x14ac:dyDescent="0.3">
      <c r="AN6458">
        <v>6454</v>
      </c>
      <c r="AO6458" s="11">
        <v>27402.560000000001</v>
      </c>
      <c r="AP6458" s="9">
        <v>3.1674678415947901</v>
      </c>
    </row>
    <row r="6459" spans="40:42" x14ac:dyDescent="0.3">
      <c r="AN6459">
        <v>6455</v>
      </c>
      <c r="AO6459" s="11">
        <v>43810.52</v>
      </c>
      <c r="AP6459" s="9">
        <v>4.3353025098796172</v>
      </c>
    </row>
    <row r="6460" spans="40:42" x14ac:dyDescent="0.3">
      <c r="AN6460">
        <v>6456</v>
      </c>
      <c r="AO6460" s="11">
        <v>23789.62</v>
      </c>
      <c r="AP6460" s="9">
        <v>3.606264923051175</v>
      </c>
    </row>
    <row r="6461" spans="40:42" x14ac:dyDescent="0.3">
      <c r="AN6461">
        <v>6457</v>
      </c>
      <c r="AO6461" s="11">
        <v>29212.959999999999</v>
      </c>
      <c r="AP6461" s="9">
        <v>2.7425772488523097</v>
      </c>
    </row>
    <row r="6462" spans="40:42" x14ac:dyDescent="0.3">
      <c r="AN6462">
        <v>6458</v>
      </c>
      <c r="AO6462" s="11">
        <v>30657.88</v>
      </c>
      <c r="AP6462" s="9">
        <v>3.8235308187064247</v>
      </c>
    </row>
    <row r="6463" spans="40:42" x14ac:dyDescent="0.3">
      <c r="AN6463">
        <v>6459</v>
      </c>
      <c r="AO6463" s="11">
        <v>21449.200000000001</v>
      </c>
      <c r="AP6463" s="9">
        <v>3.7076175046448152</v>
      </c>
    </row>
    <row r="6464" spans="40:42" x14ac:dyDescent="0.3">
      <c r="AN6464">
        <v>6460</v>
      </c>
      <c r="AO6464" s="11">
        <v>33672.6</v>
      </c>
      <c r="AP6464" s="9">
        <v>3.6523154128285471</v>
      </c>
    </row>
    <row r="6465" spans="40:42" x14ac:dyDescent="0.3">
      <c r="AN6465">
        <v>6461</v>
      </c>
      <c r="AO6465" s="11">
        <v>27885.88</v>
      </c>
      <c r="AP6465" s="9">
        <v>3.1302326474211521</v>
      </c>
    </row>
    <row r="6466" spans="40:42" x14ac:dyDescent="0.3">
      <c r="AN6466">
        <v>6462</v>
      </c>
      <c r="AO6466" s="11">
        <v>31547.03</v>
      </c>
      <c r="AP6466" s="9">
        <v>3.2625877800654375</v>
      </c>
    </row>
    <row r="6467" spans="40:42" x14ac:dyDescent="0.3">
      <c r="AN6467">
        <v>6463</v>
      </c>
      <c r="AO6467" s="11">
        <v>30766.53</v>
      </c>
      <c r="AP6467" s="9">
        <v>3.2579952895286746</v>
      </c>
    </row>
    <row r="6468" spans="40:42" x14ac:dyDescent="0.3">
      <c r="AN6468">
        <v>6464</v>
      </c>
      <c r="AO6468" s="11">
        <v>17363.12</v>
      </c>
      <c r="AP6468" s="9">
        <v>3.4731777762540323</v>
      </c>
    </row>
    <row r="6469" spans="40:42" x14ac:dyDescent="0.3">
      <c r="AN6469">
        <v>6465</v>
      </c>
      <c r="AO6469" s="11">
        <v>18739.21</v>
      </c>
      <c r="AP6469" s="9">
        <v>3.054830377508063</v>
      </c>
    </row>
    <row r="6470" spans="40:42" x14ac:dyDescent="0.3">
      <c r="AN6470">
        <v>6466</v>
      </c>
      <c r="AO6470" s="11">
        <v>26799.86</v>
      </c>
      <c r="AP6470" s="9">
        <v>3.5819016761774645</v>
      </c>
    </row>
    <row r="6471" spans="40:42" x14ac:dyDescent="0.3">
      <c r="AN6471">
        <v>6467</v>
      </c>
      <c r="AO6471" s="11">
        <v>21322.17</v>
      </c>
      <c r="AP6471" s="9">
        <v>3.3907684697963556</v>
      </c>
    </row>
    <row r="6472" spans="40:42" x14ac:dyDescent="0.3">
      <c r="AN6472">
        <v>6468</v>
      </c>
      <c r="AO6472" s="11">
        <v>39141.480000000003</v>
      </c>
      <c r="AP6472" s="9">
        <v>3.6498023356922698</v>
      </c>
    </row>
    <row r="6473" spans="40:42" x14ac:dyDescent="0.3">
      <c r="AN6473">
        <v>6469</v>
      </c>
      <c r="AO6473" s="11">
        <v>48274.07</v>
      </c>
      <c r="AP6473" s="9">
        <v>3.8908684023521136</v>
      </c>
    </row>
    <row r="6474" spans="40:42" x14ac:dyDescent="0.3">
      <c r="AN6474">
        <v>6470</v>
      </c>
      <c r="AO6474" s="11">
        <v>21162.18</v>
      </c>
      <c r="AP6474" s="9">
        <v>3.5834731470715924</v>
      </c>
    </row>
    <row r="6475" spans="40:42" x14ac:dyDescent="0.3">
      <c r="AN6475">
        <v>6471</v>
      </c>
      <c r="AO6475" s="11">
        <v>37427.269999999997</v>
      </c>
      <c r="AP6475" s="9">
        <v>3.1738952392645228</v>
      </c>
    </row>
    <row r="6476" spans="40:42" x14ac:dyDescent="0.3">
      <c r="AN6476">
        <v>6472</v>
      </c>
      <c r="AO6476" s="11">
        <v>31461.43</v>
      </c>
      <c r="AP6476" s="9">
        <v>3.1562821083877068</v>
      </c>
    </row>
    <row r="6477" spans="40:42" x14ac:dyDescent="0.3">
      <c r="AN6477">
        <v>6473</v>
      </c>
      <c r="AO6477" s="11">
        <v>40253.800000000003</v>
      </c>
      <c r="AP6477" s="9">
        <v>3.6167695977262815</v>
      </c>
    </row>
    <row r="6478" spans="40:42" x14ac:dyDescent="0.3">
      <c r="AN6478">
        <v>6474</v>
      </c>
      <c r="AO6478" s="11">
        <v>28513.83</v>
      </c>
      <c r="AP6478" s="9">
        <v>3.5858079515392016</v>
      </c>
    </row>
    <row r="6479" spans="40:42" x14ac:dyDescent="0.3">
      <c r="AN6479">
        <v>6475</v>
      </c>
      <c r="AO6479" s="11">
        <v>15406.84</v>
      </c>
      <c r="AP6479" s="9">
        <v>3.3641658334160436</v>
      </c>
    </row>
    <row r="6480" spans="40:42" x14ac:dyDescent="0.3">
      <c r="AN6480">
        <v>6476</v>
      </c>
      <c r="AO6480" s="11">
        <v>27665.5</v>
      </c>
      <c r="AP6480" s="9">
        <v>3.1687188914961073</v>
      </c>
    </row>
    <row r="6481" spans="40:42" x14ac:dyDescent="0.3">
      <c r="AN6481">
        <v>6477</v>
      </c>
      <c r="AO6481" s="11">
        <v>29570</v>
      </c>
      <c r="AP6481" s="9">
        <v>3.161822397939964</v>
      </c>
    </row>
    <row r="6482" spans="40:42" x14ac:dyDescent="0.3">
      <c r="AN6482">
        <v>6478</v>
      </c>
      <c r="AO6482" s="11">
        <v>19880.990000000002</v>
      </c>
      <c r="AP6482" s="9">
        <v>2.8915473412619108</v>
      </c>
    </row>
    <row r="6483" spans="40:42" x14ac:dyDescent="0.3">
      <c r="AN6483">
        <v>6479</v>
      </c>
      <c r="AO6483" s="11">
        <v>27051.88</v>
      </c>
      <c r="AP6483" s="9">
        <v>3.6268347637465168</v>
      </c>
    </row>
    <row r="6484" spans="40:42" x14ac:dyDescent="0.3">
      <c r="AN6484">
        <v>6480</v>
      </c>
      <c r="AO6484" s="11">
        <v>25585.83</v>
      </c>
      <c r="AP6484" s="9">
        <v>3.8527472175224786</v>
      </c>
    </row>
    <row r="6485" spans="40:42" x14ac:dyDescent="0.3">
      <c r="AN6485">
        <v>6481</v>
      </c>
      <c r="AO6485" s="11">
        <v>20654.13</v>
      </c>
      <c r="AP6485" s="9">
        <v>3.134220103815279</v>
      </c>
    </row>
    <row r="6486" spans="40:42" x14ac:dyDescent="0.3">
      <c r="AN6486">
        <v>6482</v>
      </c>
      <c r="AO6486" s="11">
        <v>20604.650000000001</v>
      </c>
      <c r="AP6486" s="9">
        <v>3.0004006171345754</v>
      </c>
    </row>
    <row r="6487" spans="40:42" x14ac:dyDescent="0.3">
      <c r="AN6487">
        <v>6483</v>
      </c>
      <c r="AO6487" s="11">
        <v>27528.79</v>
      </c>
      <c r="AP6487" s="9">
        <v>3.2291683641790789</v>
      </c>
    </row>
    <row r="6488" spans="40:42" x14ac:dyDescent="0.3">
      <c r="AN6488">
        <v>6484</v>
      </c>
      <c r="AO6488" s="11">
        <v>40085.199999999997</v>
      </c>
      <c r="AP6488" s="9">
        <v>3.531000855158025</v>
      </c>
    </row>
    <row r="6489" spans="40:42" x14ac:dyDescent="0.3">
      <c r="AN6489">
        <v>6485</v>
      </c>
      <c r="AO6489" s="11">
        <v>30869.14</v>
      </c>
      <c r="AP6489" s="9">
        <v>3.4311662030335146</v>
      </c>
    </row>
    <row r="6490" spans="40:42" x14ac:dyDescent="0.3">
      <c r="AN6490">
        <v>6486</v>
      </c>
      <c r="AO6490" s="11">
        <v>13587.74</v>
      </c>
      <c r="AP6490" s="9">
        <v>2.8157187628898628</v>
      </c>
    </row>
    <row r="6491" spans="40:42" x14ac:dyDescent="0.3">
      <c r="AN6491">
        <v>6487</v>
      </c>
      <c r="AO6491" s="11">
        <v>29974.86</v>
      </c>
      <c r="AP6491" s="9">
        <v>3.5209319253101814</v>
      </c>
    </row>
    <row r="6492" spans="40:42" x14ac:dyDescent="0.3">
      <c r="AN6492">
        <v>6488</v>
      </c>
      <c r="AO6492" s="11">
        <v>47329.84</v>
      </c>
      <c r="AP6492" s="9">
        <v>3.9097185260350287</v>
      </c>
    </row>
    <row r="6493" spans="40:42" x14ac:dyDescent="0.3">
      <c r="AN6493">
        <v>6489</v>
      </c>
      <c r="AO6493" s="11">
        <v>30424.6</v>
      </c>
      <c r="AP6493" s="9">
        <v>3.4413469322850072</v>
      </c>
    </row>
    <row r="6494" spans="40:42" x14ac:dyDescent="0.3">
      <c r="AN6494">
        <v>6490</v>
      </c>
      <c r="AO6494" s="11">
        <v>20601.66</v>
      </c>
      <c r="AP6494" s="9">
        <v>2.9898333406461393</v>
      </c>
    </row>
    <row r="6495" spans="40:42" x14ac:dyDescent="0.3">
      <c r="AN6495">
        <v>6491</v>
      </c>
      <c r="AO6495" s="11">
        <v>22036.11</v>
      </c>
      <c r="AP6495" s="9">
        <v>3.6244081486009798</v>
      </c>
    </row>
    <row r="6496" spans="40:42" x14ac:dyDescent="0.3">
      <c r="AN6496">
        <v>6492</v>
      </c>
      <c r="AO6496" s="11">
        <v>23645.32</v>
      </c>
      <c r="AP6496" s="9">
        <v>3.4020956357510812</v>
      </c>
    </row>
    <row r="6497" spans="40:42" x14ac:dyDescent="0.3">
      <c r="AN6497">
        <v>6493</v>
      </c>
      <c r="AO6497" s="11">
        <v>17265.78</v>
      </c>
      <c r="AP6497" s="9">
        <v>3.2634374928228711</v>
      </c>
    </row>
    <row r="6498" spans="40:42" x14ac:dyDescent="0.3">
      <c r="AN6498">
        <v>6494</v>
      </c>
      <c r="AO6498" s="11">
        <v>38380.730000000003</v>
      </c>
      <c r="AP6498" s="9">
        <v>3.6103202398045822</v>
      </c>
    </row>
    <row r="6499" spans="40:42" x14ac:dyDescent="0.3">
      <c r="AN6499">
        <v>6495</v>
      </c>
      <c r="AO6499" s="11">
        <v>22419.39</v>
      </c>
      <c r="AP6499" s="9">
        <v>2.7854011734166613</v>
      </c>
    </row>
    <row r="6500" spans="40:42" x14ac:dyDescent="0.3">
      <c r="AN6500">
        <v>6496</v>
      </c>
      <c r="AO6500" s="11">
        <v>25273.15</v>
      </c>
      <c r="AP6500" s="9">
        <v>3.0259616478169264</v>
      </c>
    </row>
    <row r="6501" spans="40:42" x14ac:dyDescent="0.3">
      <c r="AN6501">
        <v>6497</v>
      </c>
      <c r="AO6501" s="11">
        <v>26469.29</v>
      </c>
      <c r="AP6501" s="9">
        <v>3.0558433268290459</v>
      </c>
    </row>
    <row r="6502" spans="40:42" x14ac:dyDescent="0.3">
      <c r="AN6502">
        <v>6498</v>
      </c>
      <c r="AO6502" s="11">
        <v>33680.230000000003</v>
      </c>
      <c r="AP6502" s="9">
        <v>4.3861306964651305</v>
      </c>
    </row>
    <row r="6503" spans="40:42" x14ac:dyDescent="0.3">
      <c r="AN6503">
        <v>6499</v>
      </c>
      <c r="AO6503" s="11">
        <v>21439.919999999998</v>
      </c>
      <c r="AP6503" s="9">
        <v>3.6860677218846689</v>
      </c>
    </row>
    <row r="6504" spans="40:42" x14ac:dyDescent="0.3">
      <c r="AN6504">
        <v>6500</v>
      </c>
      <c r="AO6504" s="11">
        <v>37783.870000000003</v>
      </c>
      <c r="AP6504" s="9">
        <v>4.5977641549766295</v>
      </c>
    </row>
    <row r="6505" spans="40:42" x14ac:dyDescent="0.3">
      <c r="AN6505">
        <v>6501</v>
      </c>
      <c r="AO6505" s="11">
        <v>32473.25</v>
      </c>
      <c r="AP6505" s="9">
        <v>3.9966891379374712</v>
      </c>
    </row>
    <row r="6506" spans="40:42" x14ac:dyDescent="0.3">
      <c r="AN6506">
        <v>6502</v>
      </c>
      <c r="AO6506" s="11">
        <v>30692.720000000001</v>
      </c>
      <c r="AP6506" s="9">
        <v>3.5805113783684597</v>
      </c>
    </row>
    <row r="6507" spans="40:42" x14ac:dyDescent="0.3">
      <c r="AN6507">
        <v>6503</v>
      </c>
      <c r="AO6507" s="11">
        <v>20165.61</v>
      </c>
      <c r="AP6507" s="9">
        <v>2.585007783980017</v>
      </c>
    </row>
    <row r="6508" spans="40:42" x14ac:dyDescent="0.3">
      <c r="AN6508">
        <v>6504</v>
      </c>
      <c r="AO6508" s="11">
        <v>26983.42</v>
      </c>
      <c r="AP6508" s="9">
        <v>3.2230482033853924</v>
      </c>
    </row>
    <row r="6509" spans="40:42" x14ac:dyDescent="0.3">
      <c r="AN6509">
        <v>6505</v>
      </c>
      <c r="AO6509" s="11">
        <v>19827.22</v>
      </c>
      <c r="AP6509" s="9">
        <v>3.1531388750474498</v>
      </c>
    </row>
    <row r="6510" spans="40:42" x14ac:dyDescent="0.3">
      <c r="AN6510">
        <v>6506</v>
      </c>
      <c r="AO6510" s="11">
        <v>33392.29</v>
      </c>
      <c r="AP6510" s="9">
        <v>3.306479846679526</v>
      </c>
    </row>
    <row r="6511" spans="40:42" x14ac:dyDescent="0.3">
      <c r="AN6511">
        <v>6507</v>
      </c>
      <c r="AO6511" s="11">
        <v>13664.88</v>
      </c>
      <c r="AP6511" s="9">
        <v>3.5429358985224693</v>
      </c>
    </row>
    <row r="6512" spans="40:42" x14ac:dyDescent="0.3">
      <c r="AN6512">
        <v>6508</v>
      </c>
      <c r="AO6512" s="11">
        <v>24129.95</v>
      </c>
      <c r="AP6512" s="9">
        <v>2.7701092491611687</v>
      </c>
    </row>
    <row r="6513" spans="40:42" x14ac:dyDescent="0.3">
      <c r="AN6513">
        <v>6509</v>
      </c>
      <c r="AO6513" s="11">
        <v>26753.16</v>
      </c>
      <c r="AP6513" s="9">
        <v>3.3329297709895709</v>
      </c>
    </row>
    <row r="6514" spans="40:42" x14ac:dyDescent="0.3">
      <c r="AN6514">
        <v>6510</v>
      </c>
      <c r="AO6514" s="11">
        <v>22294.720000000001</v>
      </c>
      <c r="AP6514" s="9">
        <v>3.5215034462964874</v>
      </c>
    </row>
    <row r="6515" spans="40:42" x14ac:dyDescent="0.3">
      <c r="AN6515">
        <v>6511</v>
      </c>
      <c r="AO6515" s="11">
        <v>24461.3</v>
      </c>
      <c r="AP6515" s="9">
        <v>3.6878073260139024</v>
      </c>
    </row>
    <row r="6516" spans="40:42" x14ac:dyDescent="0.3">
      <c r="AN6516">
        <v>6512</v>
      </c>
      <c r="AO6516" s="11">
        <v>20887.939999999999</v>
      </c>
      <c r="AP6516" s="9">
        <v>3.1702348583646218</v>
      </c>
    </row>
    <row r="6517" spans="40:42" x14ac:dyDescent="0.3">
      <c r="AN6517">
        <v>6513</v>
      </c>
      <c r="AO6517" s="11">
        <v>18486.650000000001</v>
      </c>
      <c r="AP6517" s="9">
        <v>3.5778777223152898</v>
      </c>
    </row>
    <row r="6518" spans="40:42" x14ac:dyDescent="0.3">
      <c r="AN6518">
        <v>6514</v>
      </c>
      <c r="AO6518" s="11">
        <v>34060.17</v>
      </c>
      <c r="AP6518" s="9">
        <v>4.3678519421132691</v>
      </c>
    </row>
    <row r="6519" spans="40:42" x14ac:dyDescent="0.3">
      <c r="AN6519">
        <v>6515</v>
      </c>
      <c r="AO6519" s="11">
        <v>26729.75</v>
      </c>
      <c r="AP6519" s="9">
        <v>2.8960292791633648</v>
      </c>
    </row>
    <row r="6520" spans="40:42" x14ac:dyDescent="0.3">
      <c r="AN6520">
        <v>6516</v>
      </c>
      <c r="AO6520" s="11">
        <v>24280.1</v>
      </c>
      <c r="AP6520" s="9">
        <v>3.400548567931494</v>
      </c>
    </row>
    <row r="6521" spans="40:42" x14ac:dyDescent="0.3">
      <c r="AN6521">
        <v>6517</v>
      </c>
      <c r="AO6521" s="11">
        <v>25689.7</v>
      </c>
      <c r="AP6521" s="9">
        <v>3.5861883971691673</v>
      </c>
    </row>
    <row r="6522" spans="40:42" x14ac:dyDescent="0.3">
      <c r="AN6522">
        <v>6518</v>
      </c>
      <c r="AO6522" s="11">
        <v>30550.21</v>
      </c>
      <c r="AP6522" s="9">
        <v>4.3056719943253361</v>
      </c>
    </row>
    <row r="6523" spans="40:42" x14ac:dyDescent="0.3">
      <c r="AN6523">
        <v>6519</v>
      </c>
      <c r="AO6523" s="11">
        <v>17723.650000000001</v>
      </c>
      <c r="AP6523" s="9">
        <v>3.3398419616498365</v>
      </c>
    </row>
    <row r="6524" spans="40:42" x14ac:dyDescent="0.3">
      <c r="AN6524">
        <v>6520</v>
      </c>
      <c r="AO6524" s="11">
        <v>17712.3</v>
      </c>
      <c r="AP6524" s="9">
        <v>3.0295274100940937</v>
      </c>
    </row>
    <row r="6525" spans="40:42" x14ac:dyDescent="0.3">
      <c r="AN6525">
        <v>6521</v>
      </c>
      <c r="AO6525" s="11">
        <v>23959.040000000001</v>
      </c>
      <c r="AP6525" s="9">
        <v>3.5225385573035335</v>
      </c>
    </row>
    <row r="6526" spans="40:42" x14ac:dyDescent="0.3">
      <c r="AN6526">
        <v>6522</v>
      </c>
      <c r="AO6526" s="11">
        <v>19074.29</v>
      </c>
      <c r="AP6526" s="9">
        <v>2.9183422804683907</v>
      </c>
    </row>
    <row r="6527" spans="40:42" x14ac:dyDescent="0.3">
      <c r="AN6527">
        <v>6523</v>
      </c>
      <c r="AO6527" s="11">
        <v>23962.74</v>
      </c>
      <c r="AP6527" s="9">
        <v>3.5867934556411729</v>
      </c>
    </row>
    <row r="6528" spans="40:42" x14ac:dyDescent="0.3">
      <c r="AN6528">
        <v>6524</v>
      </c>
      <c r="AO6528" s="11">
        <v>22294.78</v>
      </c>
      <c r="AP6528" s="9">
        <v>3.1376691266250534</v>
      </c>
    </row>
    <row r="6529" spans="40:42" x14ac:dyDescent="0.3">
      <c r="AN6529">
        <v>6525</v>
      </c>
      <c r="AO6529" s="11">
        <v>27102.55</v>
      </c>
      <c r="AP6529" s="9">
        <v>4.396936144634207</v>
      </c>
    </row>
    <row r="6530" spans="40:42" x14ac:dyDescent="0.3">
      <c r="AN6530">
        <v>6526</v>
      </c>
      <c r="AO6530" s="11">
        <v>20660.16</v>
      </c>
      <c r="AP6530" s="9">
        <v>3.3072874492643622</v>
      </c>
    </row>
    <row r="6531" spans="40:42" x14ac:dyDescent="0.3">
      <c r="AN6531">
        <v>6527</v>
      </c>
      <c r="AO6531" s="11">
        <v>25769.79</v>
      </c>
      <c r="AP6531" s="9">
        <v>3.3693644071703721</v>
      </c>
    </row>
    <row r="6532" spans="40:42" x14ac:dyDescent="0.3">
      <c r="AN6532">
        <v>6528</v>
      </c>
      <c r="AO6532" s="11">
        <v>22686.97</v>
      </c>
      <c r="AP6532" s="9">
        <v>3.1871802184621241</v>
      </c>
    </row>
    <row r="6533" spans="40:42" x14ac:dyDescent="0.3">
      <c r="AN6533">
        <v>6529</v>
      </c>
      <c r="AO6533" s="11">
        <v>15034.07</v>
      </c>
      <c r="AP6533" s="9">
        <v>2.7870734349357678</v>
      </c>
    </row>
    <row r="6534" spans="40:42" x14ac:dyDescent="0.3">
      <c r="AN6534">
        <v>6530</v>
      </c>
      <c r="AO6534" s="11">
        <v>43180.69</v>
      </c>
      <c r="AP6534" s="9">
        <v>3.6968831919707124</v>
      </c>
    </row>
    <row r="6535" spans="40:42" x14ac:dyDescent="0.3">
      <c r="AN6535">
        <v>6531</v>
      </c>
      <c r="AO6535" s="11">
        <v>32004.16</v>
      </c>
      <c r="AP6535" s="9">
        <v>3.5884954204876056</v>
      </c>
    </row>
    <row r="6536" spans="40:42" x14ac:dyDescent="0.3">
      <c r="AN6536">
        <v>6532</v>
      </c>
      <c r="AO6536" s="11">
        <v>23929.43</v>
      </c>
      <c r="AP6536" s="9">
        <v>3.4690622303882126</v>
      </c>
    </row>
    <row r="6537" spans="40:42" x14ac:dyDescent="0.3">
      <c r="AN6537">
        <v>6533</v>
      </c>
      <c r="AO6537" s="11">
        <v>30707.07</v>
      </c>
      <c r="AP6537" s="9">
        <v>3.5222627848043424</v>
      </c>
    </row>
    <row r="6538" spans="40:42" x14ac:dyDescent="0.3">
      <c r="AN6538">
        <v>6534</v>
      </c>
      <c r="AO6538" s="11">
        <v>34549.03</v>
      </c>
      <c r="AP6538" s="9">
        <v>3.7245647125212313</v>
      </c>
    </row>
    <row r="6539" spans="40:42" x14ac:dyDescent="0.3">
      <c r="AN6539">
        <v>6535</v>
      </c>
      <c r="AO6539" s="11">
        <v>33042.35</v>
      </c>
      <c r="AP6539" s="9">
        <v>3.4041942126488629</v>
      </c>
    </row>
    <row r="6540" spans="40:42" x14ac:dyDescent="0.3">
      <c r="AN6540">
        <v>6536</v>
      </c>
      <c r="AO6540" s="11">
        <v>28649.16</v>
      </c>
      <c r="AP6540" s="9">
        <v>3.5026476736059124</v>
      </c>
    </row>
    <row r="6541" spans="40:42" x14ac:dyDescent="0.3">
      <c r="AN6541">
        <v>6537</v>
      </c>
      <c r="AO6541" s="11">
        <v>26793.82</v>
      </c>
      <c r="AP6541" s="9">
        <v>3.1124462488973763</v>
      </c>
    </row>
    <row r="6542" spans="40:42" x14ac:dyDescent="0.3">
      <c r="AN6542">
        <v>6538</v>
      </c>
      <c r="AO6542" s="11">
        <v>28356.69</v>
      </c>
      <c r="AP6542" s="9">
        <v>3.5786464549391752</v>
      </c>
    </row>
    <row r="6543" spans="40:42" x14ac:dyDescent="0.3">
      <c r="AN6543">
        <v>6539</v>
      </c>
      <c r="AO6543" s="11">
        <v>30243.9</v>
      </c>
      <c r="AP6543" s="9">
        <v>3.5335730514425592</v>
      </c>
    </row>
    <row r="6544" spans="40:42" x14ac:dyDescent="0.3">
      <c r="AN6544">
        <v>6540</v>
      </c>
      <c r="AO6544" s="11">
        <v>33902.379999999997</v>
      </c>
      <c r="AP6544" s="9">
        <v>3.5364332545307668</v>
      </c>
    </row>
    <row r="6545" spans="40:42" x14ac:dyDescent="0.3">
      <c r="AN6545">
        <v>6541</v>
      </c>
      <c r="AO6545" s="11">
        <v>31421.59</v>
      </c>
      <c r="AP6545" s="9">
        <v>4.3407393888337849</v>
      </c>
    </row>
    <row r="6546" spans="40:42" x14ac:dyDescent="0.3">
      <c r="AN6546">
        <v>6542</v>
      </c>
      <c r="AO6546" s="11">
        <v>22556.98</v>
      </c>
      <c r="AP6546" s="9">
        <v>2.8637108956996515</v>
      </c>
    </row>
    <row r="6547" spans="40:42" x14ac:dyDescent="0.3">
      <c r="AN6547">
        <v>6543</v>
      </c>
      <c r="AO6547" s="11">
        <v>25725.79</v>
      </c>
      <c r="AP6547" s="9">
        <v>3.2244950410525188</v>
      </c>
    </row>
    <row r="6548" spans="40:42" x14ac:dyDescent="0.3">
      <c r="AN6548">
        <v>6544</v>
      </c>
      <c r="AO6548" s="11">
        <v>30487.75</v>
      </c>
      <c r="AP6548" s="9">
        <v>3.8288834828114782</v>
      </c>
    </row>
    <row r="6549" spans="40:42" x14ac:dyDescent="0.3">
      <c r="AN6549">
        <v>6545</v>
      </c>
      <c r="AO6549" s="11">
        <v>30335.94</v>
      </c>
      <c r="AP6549" s="9">
        <v>3.4922947296802564</v>
      </c>
    </row>
    <row r="6550" spans="40:42" x14ac:dyDescent="0.3">
      <c r="AN6550">
        <v>6546</v>
      </c>
      <c r="AO6550" s="11">
        <v>32322.04</v>
      </c>
      <c r="AP6550" s="9">
        <v>3.5735870895615647</v>
      </c>
    </row>
    <row r="6551" spans="40:42" x14ac:dyDescent="0.3">
      <c r="AN6551">
        <v>6547</v>
      </c>
      <c r="AO6551" s="11">
        <v>27649.59</v>
      </c>
      <c r="AP6551" s="9">
        <v>4.2955428503821862</v>
      </c>
    </row>
    <row r="6552" spans="40:42" x14ac:dyDescent="0.3">
      <c r="AN6552">
        <v>6548</v>
      </c>
      <c r="AO6552" s="11">
        <v>11011.31</v>
      </c>
      <c r="AP6552" s="9">
        <v>2.8101778750956283</v>
      </c>
    </row>
    <row r="6553" spans="40:42" x14ac:dyDescent="0.3">
      <c r="AN6553">
        <v>6549</v>
      </c>
      <c r="AO6553" s="11">
        <v>33292.339999999997</v>
      </c>
      <c r="AP6553" s="9">
        <v>3.7167967194514699</v>
      </c>
    </row>
    <row r="6554" spans="40:42" x14ac:dyDescent="0.3">
      <c r="AN6554">
        <v>6550</v>
      </c>
      <c r="AO6554" s="11">
        <v>21472.35</v>
      </c>
      <c r="AP6554" s="9">
        <v>3.2111056213611309</v>
      </c>
    </row>
    <row r="6555" spans="40:42" x14ac:dyDescent="0.3">
      <c r="AN6555">
        <v>6551</v>
      </c>
      <c r="AO6555" s="11">
        <v>24917.56</v>
      </c>
      <c r="AP6555" s="9">
        <v>3.1097241517708536</v>
      </c>
    </row>
    <row r="6556" spans="40:42" x14ac:dyDescent="0.3">
      <c r="AN6556">
        <v>6552</v>
      </c>
      <c r="AO6556" s="11">
        <v>33460.33</v>
      </c>
      <c r="AP6556" s="9">
        <v>3.9055092947480188</v>
      </c>
    </row>
    <row r="6557" spans="40:42" x14ac:dyDescent="0.3">
      <c r="AN6557">
        <v>6553</v>
      </c>
      <c r="AO6557" s="11">
        <v>29034.67</v>
      </c>
      <c r="AP6557" s="9">
        <v>4.0150218258665893</v>
      </c>
    </row>
    <row r="6558" spans="40:42" x14ac:dyDescent="0.3">
      <c r="AN6558">
        <v>6554</v>
      </c>
      <c r="AO6558" s="11">
        <v>44576.6</v>
      </c>
      <c r="AP6558" s="9">
        <v>3.8491669967945041</v>
      </c>
    </row>
    <row r="6559" spans="40:42" x14ac:dyDescent="0.3">
      <c r="AN6559">
        <v>6555</v>
      </c>
      <c r="AO6559" s="11">
        <v>27264.12</v>
      </c>
      <c r="AP6559" s="9">
        <v>3.4810014310440582</v>
      </c>
    </row>
    <row r="6560" spans="40:42" x14ac:dyDescent="0.3">
      <c r="AN6560">
        <v>6556</v>
      </c>
      <c r="AO6560" s="11">
        <v>25451.07</v>
      </c>
      <c r="AP6560" s="9">
        <v>2.9308086182316657</v>
      </c>
    </row>
    <row r="6561" spans="40:42" x14ac:dyDescent="0.3">
      <c r="AN6561">
        <v>6557</v>
      </c>
      <c r="AO6561" s="11">
        <v>18960.84</v>
      </c>
      <c r="AP6561" s="9">
        <v>3.3562966006584927</v>
      </c>
    </row>
    <row r="6562" spans="40:42" x14ac:dyDescent="0.3">
      <c r="AN6562">
        <v>6558</v>
      </c>
      <c r="AO6562" s="11">
        <v>27022.07</v>
      </c>
      <c r="AP6562" s="9">
        <v>3.2772827340914636</v>
      </c>
    </row>
    <row r="6563" spans="40:42" x14ac:dyDescent="0.3">
      <c r="AN6563">
        <v>6559</v>
      </c>
      <c r="AO6563" s="11">
        <v>30481.73</v>
      </c>
      <c r="AP6563" s="9">
        <v>3.3619190503317036</v>
      </c>
    </row>
    <row r="6564" spans="40:42" x14ac:dyDescent="0.3">
      <c r="AN6564">
        <v>6560</v>
      </c>
      <c r="AO6564" s="11">
        <v>28380.16</v>
      </c>
      <c r="AP6564" s="9">
        <v>3.8093664813977233</v>
      </c>
    </row>
    <row r="6565" spans="40:42" x14ac:dyDescent="0.3">
      <c r="AN6565">
        <v>6561</v>
      </c>
      <c r="AO6565" s="11">
        <v>27823.62</v>
      </c>
      <c r="AP6565" s="9">
        <v>3.2159859711893692</v>
      </c>
    </row>
    <row r="6566" spans="40:42" x14ac:dyDescent="0.3">
      <c r="AN6566">
        <v>6562</v>
      </c>
      <c r="AO6566" s="11">
        <v>22844.52</v>
      </c>
      <c r="AP6566" s="9">
        <v>3.0697075413665389</v>
      </c>
    </row>
    <row r="6567" spans="40:42" x14ac:dyDescent="0.3">
      <c r="AN6567">
        <v>6563</v>
      </c>
      <c r="AO6567" s="11">
        <v>22409.26</v>
      </c>
      <c r="AP6567" s="9">
        <v>3.5306557609815545</v>
      </c>
    </row>
    <row r="6568" spans="40:42" x14ac:dyDescent="0.3">
      <c r="AN6568">
        <v>6564</v>
      </c>
      <c r="AO6568" s="11">
        <v>25590.93</v>
      </c>
      <c r="AP6568" s="9">
        <v>3.3088562719732248</v>
      </c>
    </row>
    <row r="6569" spans="40:42" x14ac:dyDescent="0.3">
      <c r="AN6569">
        <v>6565</v>
      </c>
      <c r="AO6569" s="11">
        <v>26115.25</v>
      </c>
      <c r="AP6569" s="9">
        <v>3.2693086774716886</v>
      </c>
    </row>
    <row r="6570" spans="40:42" x14ac:dyDescent="0.3">
      <c r="AN6570">
        <v>6566</v>
      </c>
      <c r="AO6570" s="11">
        <v>54615.18</v>
      </c>
      <c r="AP6570" s="9">
        <v>4.7318081629452484</v>
      </c>
    </row>
    <row r="6571" spans="40:42" x14ac:dyDescent="0.3">
      <c r="AN6571">
        <v>6567</v>
      </c>
      <c r="AO6571" s="11">
        <v>29967.1</v>
      </c>
      <c r="AP6571" s="9">
        <v>3.9417384627346914</v>
      </c>
    </row>
    <row r="6572" spans="40:42" x14ac:dyDescent="0.3">
      <c r="AN6572">
        <v>6568</v>
      </c>
      <c r="AO6572" s="11">
        <v>19005.189999999999</v>
      </c>
      <c r="AP6572" s="9">
        <v>2.9173890390747608</v>
      </c>
    </row>
    <row r="6573" spans="40:42" x14ac:dyDescent="0.3">
      <c r="AN6573">
        <v>6569</v>
      </c>
      <c r="AO6573" s="11">
        <v>25067.99</v>
      </c>
      <c r="AP6573" s="9">
        <v>2.9718075427103758</v>
      </c>
    </row>
    <row r="6574" spans="40:42" x14ac:dyDescent="0.3">
      <c r="AN6574">
        <v>6570</v>
      </c>
      <c r="AO6574" s="11">
        <v>34616.959999999999</v>
      </c>
      <c r="AP6574" s="9">
        <v>4.3205078803871269</v>
      </c>
    </row>
    <row r="6575" spans="40:42" x14ac:dyDescent="0.3">
      <c r="AN6575">
        <v>6571</v>
      </c>
      <c r="AO6575" s="11">
        <v>37575.99</v>
      </c>
      <c r="AP6575" s="9">
        <v>3.2598850781516213</v>
      </c>
    </row>
    <row r="6576" spans="40:42" x14ac:dyDescent="0.3">
      <c r="AN6576">
        <v>6572</v>
      </c>
      <c r="AO6576" s="11">
        <v>19273.87</v>
      </c>
      <c r="AP6576" s="9">
        <v>3.860737845524568</v>
      </c>
    </row>
    <row r="6577" spans="40:42" x14ac:dyDescent="0.3">
      <c r="AN6577">
        <v>6573</v>
      </c>
      <c r="AO6577" s="11">
        <v>21564.11</v>
      </c>
      <c r="AP6577" s="9">
        <v>3.4640830063638295</v>
      </c>
    </row>
    <row r="6578" spans="40:42" x14ac:dyDescent="0.3">
      <c r="AN6578">
        <v>6574</v>
      </c>
      <c r="AO6578" s="11">
        <v>16228.85</v>
      </c>
      <c r="AP6578" s="9">
        <v>3.0275671032829332</v>
      </c>
    </row>
    <row r="6579" spans="40:42" x14ac:dyDescent="0.3">
      <c r="AN6579">
        <v>6575</v>
      </c>
      <c r="AO6579" s="11">
        <v>16944.14</v>
      </c>
      <c r="AP6579" s="9">
        <v>3.7687434733035681</v>
      </c>
    </row>
    <row r="6580" spans="40:42" x14ac:dyDescent="0.3">
      <c r="AN6580">
        <v>6576</v>
      </c>
      <c r="AO6580" s="11">
        <v>28143.8</v>
      </c>
      <c r="AP6580" s="9">
        <v>3.3057665965119911</v>
      </c>
    </row>
    <row r="6581" spans="40:42" x14ac:dyDescent="0.3">
      <c r="AN6581">
        <v>6577</v>
      </c>
      <c r="AO6581" s="11">
        <v>19002.36</v>
      </c>
      <c r="AP6581" s="9">
        <v>2.9703078817182358</v>
      </c>
    </row>
    <row r="6582" spans="40:42" x14ac:dyDescent="0.3">
      <c r="AN6582">
        <v>6578</v>
      </c>
      <c r="AO6582" s="11">
        <v>32386.53</v>
      </c>
      <c r="AP6582" s="9">
        <v>3.9057461098948711</v>
      </c>
    </row>
    <row r="6583" spans="40:42" x14ac:dyDescent="0.3">
      <c r="AN6583">
        <v>6579</v>
      </c>
      <c r="AO6583" s="11">
        <v>26998.27</v>
      </c>
      <c r="AP6583" s="9">
        <v>3.0863283568009847</v>
      </c>
    </row>
    <row r="6584" spans="40:42" x14ac:dyDescent="0.3">
      <c r="AN6584">
        <v>6580</v>
      </c>
      <c r="AO6584" s="11">
        <v>18625.78</v>
      </c>
      <c r="AP6584" s="9">
        <v>3.0731872789527928</v>
      </c>
    </row>
    <row r="6585" spans="40:42" x14ac:dyDescent="0.3">
      <c r="AN6585">
        <v>6581</v>
      </c>
      <c r="AO6585" s="11">
        <v>20991.39</v>
      </c>
      <c r="AP6585" s="9">
        <v>3.5726112903382905</v>
      </c>
    </row>
    <row r="6586" spans="40:42" x14ac:dyDescent="0.3">
      <c r="AN6586">
        <v>6582</v>
      </c>
      <c r="AO6586" s="11">
        <v>24147.72</v>
      </c>
      <c r="AP6586" s="9">
        <v>3.3998669677533</v>
      </c>
    </row>
    <row r="6587" spans="40:42" x14ac:dyDescent="0.3">
      <c r="AN6587">
        <v>6583</v>
      </c>
      <c r="AO6587" s="11">
        <v>18770.62</v>
      </c>
      <c r="AP6587" s="9">
        <v>3.1820916153192296</v>
      </c>
    </row>
    <row r="6588" spans="40:42" x14ac:dyDescent="0.3">
      <c r="AN6588">
        <v>6584</v>
      </c>
      <c r="AO6588" s="11">
        <v>26553.93</v>
      </c>
      <c r="AP6588" s="9">
        <v>3.1212845410110766</v>
      </c>
    </row>
    <row r="6589" spans="40:42" x14ac:dyDescent="0.3">
      <c r="AN6589">
        <v>6585</v>
      </c>
      <c r="AO6589" s="11">
        <v>30384.37</v>
      </c>
      <c r="AP6589" s="9">
        <v>3.2786767699538442</v>
      </c>
    </row>
    <row r="6590" spans="40:42" x14ac:dyDescent="0.3">
      <c r="AN6590">
        <v>6586</v>
      </c>
      <c r="AO6590" s="11">
        <v>11926.36</v>
      </c>
      <c r="AP6590" s="9">
        <v>3.4607216477716687</v>
      </c>
    </row>
    <row r="6591" spans="40:42" x14ac:dyDescent="0.3">
      <c r="AN6591">
        <v>6587</v>
      </c>
      <c r="AO6591" s="11">
        <v>35344.36</v>
      </c>
      <c r="AP6591" s="9">
        <v>2.9660430776114577</v>
      </c>
    </row>
    <row r="6592" spans="40:42" x14ac:dyDescent="0.3">
      <c r="AN6592">
        <v>6588</v>
      </c>
      <c r="AO6592" s="11">
        <v>19082.04</v>
      </c>
      <c r="AP6592" s="9">
        <v>3.7023473300613334</v>
      </c>
    </row>
    <row r="6593" spans="40:42" x14ac:dyDescent="0.3">
      <c r="AN6593">
        <v>6589</v>
      </c>
      <c r="AO6593" s="11">
        <v>8832.39</v>
      </c>
      <c r="AP6593" s="9">
        <v>2.6540532690068837</v>
      </c>
    </row>
    <row r="6594" spans="40:42" x14ac:dyDescent="0.3">
      <c r="AN6594">
        <v>6590</v>
      </c>
      <c r="AO6594" s="11">
        <v>23126.15</v>
      </c>
      <c r="AP6594" s="9">
        <v>3.5265211932662188</v>
      </c>
    </row>
    <row r="6595" spans="40:42" x14ac:dyDescent="0.3">
      <c r="AN6595">
        <v>6591</v>
      </c>
      <c r="AO6595" s="11">
        <v>31367.59</v>
      </c>
      <c r="AP6595" s="9">
        <v>4.1397588040962097</v>
      </c>
    </row>
    <row r="6596" spans="40:42" x14ac:dyDescent="0.3">
      <c r="AN6596">
        <v>6592</v>
      </c>
      <c r="AO6596" s="11">
        <v>22457.09</v>
      </c>
      <c r="AP6596" s="9">
        <v>3.3302971850673697</v>
      </c>
    </row>
    <row r="6597" spans="40:42" x14ac:dyDescent="0.3">
      <c r="AN6597">
        <v>6593</v>
      </c>
      <c r="AO6597" s="11">
        <v>15702.08</v>
      </c>
      <c r="AP6597" s="9">
        <v>3.0191099832447206</v>
      </c>
    </row>
    <row r="6598" spans="40:42" x14ac:dyDescent="0.3">
      <c r="AN6598">
        <v>6594</v>
      </c>
      <c r="AO6598" s="11">
        <v>28978.75</v>
      </c>
      <c r="AP6598" s="9">
        <v>3.8646187421823965</v>
      </c>
    </row>
    <row r="6599" spans="40:42" x14ac:dyDescent="0.3">
      <c r="AN6599">
        <v>6595</v>
      </c>
      <c r="AO6599" s="11">
        <v>31302.59</v>
      </c>
      <c r="AP6599" s="9">
        <v>2.9180930295240159</v>
      </c>
    </row>
    <row r="6600" spans="40:42" x14ac:dyDescent="0.3">
      <c r="AN6600">
        <v>6596</v>
      </c>
      <c r="AO6600" s="11">
        <v>40354.879999999997</v>
      </c>
      <c r="AP6600" s="9">
        <v>3.7802982597603658</v>
      </c>
    </row>
    <row r="6601" spans="40:42" x14ac:dyDescent="0.3">
      <c r="AN6601">
        <v>6597</v>
      </c>
      <c r="AO6601" s="11">
        <v>16021.84</v>
      </c>
      <c r="AP6601" s="9">
        <v>3.4918943359252492</v>
      </c>
    </row>
    <row r="6602" spans="40:42" x14ac:dyDescent="0.3">
      <c r="AN6602">
        <v>6598</v>
      </c>
      <c r="AO6602" s="11">
        <v>23515.91</v>
      </c>
      <c r="AP6602" s="9">
        <v>3.6642845115707843</v>
      </c>
    </row>
    <row r="6603" spans="40:42" x14ac:dyDescent="0.3">
      <c r="AN6603">
        <v>6599</v>
      </c>
      <c r="AO6603" s="11">
        <v>24790.73</v>
      </c>
      <c r="AP6603" s="9">
        <v>3.186792344289473</v>
      </c>
    </row>
    <row r="6604" spans="40:42" x14ac:dyDescent="0.3">
      <c r="AN6604">
        <v>6600</v>
      </c>
      <c r="AO6604" s="11">
        <v>28434.76</v>
      </c>
      <c r="AP6604" s="9">
        <v>3.7705747985108866</v>
      </c>
    </row>
    <row r="6605" spans="40:42" x14ac:dyDescent="0.3">
      <c r="AN6605">
        <v>6601</v>
      </c>
      <c r="AO6605" s="11">
        <v>29410.15</v>
      </c>
      <c r="AP6605" s="9">
        <v>3.0057204032496099</v>
      </c>
    </row>
    <row r="6606" spans="40:42" x14ac:dyDescent="0.3">
      <c r="AN6606">
        <v>6602</v>
      </c>
      <c r="AO6606" s="11">
        <v>18651.89</v>
      </c>
      <c r="AP6606" s="9">
        <v>3.3496898678564953</v>
      </c>
    </row>
    <row r="6607" spans="40:42" x14ac:dyDescent="0.3">
      <c r="AN6607">
        <v>6603</v>
      </c>
      <c r="AO6607" s="11">
        <v>32809.49</v>
      </c>
      <c r="AP6607" s="9">
        <v>4.1639029852482734</v>
      </c>
    </row>
    <row r="6608" spans="40:42" x14ac:dyDescent="0.3">
      <c r="AN6608">
        <v>6604</v>
      </c>
      <c r="AO6608" s="11">
        <v>21148.47</v>
      </c>
      <c r="AP6608" s="9">
        <v>3.1067017632194824</v>
      </c>
    </row>
    <row r="6609" spans="40:42" x14ac:dyDescent="0.3">
      <c r="AN6609">
        <v>6605</v>
      </c>
      <c r="AO6609" s="11">
        <v>20960.88</v>
      </c>
      <c r="AP6609" s="9">
        <v>2.8912074664881882</v>
      </c>
    </row>
    <row r="6610" spans="40:42" x14ac:dyDescent="0.3">
      <c r="AN6610">
        <v>6606</v>
      </c>
      <c r="AO6610" s="11">
        <v>30814.240000000002</v>
      </c>
      <c r="AP6610" s="9">
        <v>3.4162895848324784</v>
      </c>
    </row>
    <row r="6611" spans="40:42" x14ac:dyDescent="0.3">
      <c r="AN6611">
        <v>6607</v>
      </c>
      <c r="AO6611" s="11">
        <v>23178.240000000002</v>
      </c>
      <c r="AP6611" s="9">
        <v>3.3839134636479971</v>
      </c>
    </row>
    <row r="6612" spans="40:42" x14ac:dyDescent="0.3">
      <c r="AN6612">
        <v>6608</v>
      </c>
      <c r="AO6612" s="11">
        <v>20805.240000000002</v>
      </c>
      <c r="AP6612" s="9">
        <v>3.3691103760443561</v>
      </c>
    </row>
    <row r="6613" spans="40:42" x14ac:dyDescent="0.3">
      <c r="AN6613">
        <v>6609</v>
      </c>
      <c r="AO6613" s="11">
        <v>31685.41</v>
      </c>
      <c r="AP6613" s="9">
        <v>3.9397830235653952</v>
      </c>
    </row>
    <row r="6614" spans="40:42" x14ac:dyDescent="0.3">
      <c r="AN6614">
        <v>6610</v>
      </c>
      <c r="AO6614" s="11">
        <v>23572.080000000002</v>
      </c>
      <c r="AP6614" s="9">
        <v>3.9525416056722378</v>
      </c>
    </row>
    <row r="6615" spans="40:42" x14ac:dyDescent="0.3">
      <c r="AN6615">
        <v>6611</v>
      </c>
      <c r="AO6615" s="11">
        <v>24468.05</v>
      </c>
      <c r="AP6615" s="9">
        <v>3.3538764508834218</v>
      </c>
    </row>
    <row r="6616" spans="40:42" x14ac:dyDescent="0.3">
      <c r="AN6616">
        <v>6612</v>
      </c>
      <c r="AO6616" s="11">
        <v>20329.11</v>
      </c>
      <c r="AP6616" s="9">
        <v>2.7053277224941397</v>
      </c>
    </row>
    <row r="6617" spans="40:42" x14ac:dyDescent="0.3">
      <c r="AN6617">
        <v>6613</v>
      </c>
      <c r="AO6617" s="11">
        <v>15070.37</v>
      </c>
      <c r="AP6617" s="9">
        <v>2.8094763331385519</v>
      </c>
    </row>
    <row r="6618" spans="40:42" x14ac:dyDescent="0.3">
      <c r="AN6618">
        <v>6614</v>
      </c>
      <c r="AO6618" s="11">
        <v>23650.84</v>
      </c>
      <c r="AP6618" s="9">
        <v>3.6714862825506502</v>
      </c>
    </row>
    <row r="6619" spans="40:42" x14ac:dyDescent="0.3">
      <c r="AN6619">
        <v>6615</v>
      </c>
      <c r="AO6619" s="11">
        <v>36884.79</v>
      </c>
      <c r="AP6619" s="9">
        <v>3.2253420670913977</v>
      </c>
    </row>
    <row r="6620" spans="40:42" x14ac:dyDescent="0.3">
      <c r="AN6620">
        <v>6616</v>
      </c>
      <c r="AO6620" s="11">
        <v>33341.49</v>
      </c>
      <c r="AP6620" s="9">
        <v>3.746405324427128</v>
      </c>
    </row>
    <row r="6621" spans="40:42" x14ac:dyDescent="0.3">
      <c r="AN6621">
        <v>6617</v>
      </c>
      <c r="AO6621" s="11">
        <v>36077.86</v>
      </c>
      <c r="AP6621" s="9">
        <v>3.8626184128508831</v>
      </c>
    </row>
    <row r="6622" spans="40:42" x14ac:dyDescent="0.3">
      <c r="AN6622">
        <v>6618</v>
      </c>
      <c r="AO6622" s="11">
        <v>15635.02</v>
      </c>
      <c r="AP6622" s="9">
        <v>3.5959502075591137</v>
      </c>
    </row>
    <row r="6623" spans="40:42" x14ac:dyDescent="0.3">
      <c r="AN6623">
        <v>6619</v>
      </c>
      <c r="AO6623" s="11">
        <v>28607.23</v>
      </c>
      <c r="AP6623" s="9">
        <v>3.533731357047579</v>
      </c>
    </row>
    <row r="6624" spans="40:42" x14ac:dyDescent="0.3">
      <c r="AN6624">
        <v>6620</v>
      </c>
      <c r="AO6624" s="11">
        <v>16068.25</v>
      </c>
      <c r="AP6624" s="9">
        <v>3.2536312796838618</v>
      </c>
    </row>
    <row r="6625" spans="40:42" x14ac:dyDescent="0.3">
      <c r="AN6625">
        <v>6621</v>
      </c>
      <c r="AO6625" s="11">
        <v>24725.55</v>
      </c>
      <c r="AP6625" s="9">
        <v>3.2629035508259681</v>
      </c>
    </row>
    <row r="6626" spans="40:42" x14ac:dyDescent="0.3">
      <c r="AN6626">
        <v>6622</v>
      </c>
      <c r="AO6626" s="11">
        <v>21732.19</v>
      </c>
      <c r="AP6626" s="9">
        <v>3.5898703363261237</v>
      </c>
    </row>
    <row r="6627" spans="40:42" x14ac:dyDescent="0.3">
      <c r="AN6627">
        <v>6623</v>
      </c>
      <c r="AO6627" s="11">
        <v>24759.61</v>
      </c>
      <c r="AP6627" s="9">
        <v>3.3304205567026011</v>
      </c>
    </row>
    <row r="6628" spans="40:42" x14ac:dyDescent="0.3">
      <c r="AN6628">
        <v>6624</v>
      </c>
      <c r="AO6628" s="11">
        <v>37292.080000000002</v>
      </c>
      <c r="AP6628" s="9">
        <v>3.1957400937381393</v>
      </c>
    </row>
    <row r="6629" spans="40:42" x14ac:dyDescent="0.3">
      <c r="AN6629">
        <v>6625</v>
      </c>
      <c r="AO6629" s="11">
        <v>30392.05</v>
      </c>
      <c r="AP6629" s="9">
        <v>3.8563569839444942</v>
      </c>
    </row>
    <row r="6630" spans="40:42" x14ac:dyDescent="0.3">
      <c r="AN6630">
        <v>6626</v>
      </c>
      <c r="AO6630" s="11">
        <v>39452.339999999997</v>
      </c>
      <c r="AP6630" s="9">
        <v>3.8055885704655847</v>
      </c>
    </row>
    <row r="6631" spans="40:42" x14ac:dyDescent="0.3">
      <c r="AN6631">
        <v>6627</v>
      </c>
      <c r="AO6631" s="11">
        <v>37457.629999999997</v>
      </c>
      <c r="AP6631" s="9">
        <v>3.3153452543906043</v>
      </c>
    </row>
    <row r="6632" spans="40:42" x14ac:dyDescent="0.3">
      <c r="AN6632">
        <v>6628</v>
      </c>
      <c r="AO6632" s="11">
        <v>21533.69</v>
      </c>
      <c r="AP6632" s="9">
        <v>3.0693794616621775</v>
      </c>
    </row>
    <row r="6633" spans="40:42" x14ac:dyDescent="0.3">
      <c r="AN6633">
        <v>6629</v>
      </c>
      <c r="AO6633" s="11">
        <v>15458.32</v>
      </c>
      <c r="AP6633" s="9">
        <v>3.1802430086434921</v>
      </c>
    </row>
    <row r="6634" spans="40:42" x14ac:dyDescent="0.3">
      <c r="AN6634">
        <v>6630</v>
      </c>
      <c r="AO6634" s="11">
        <v>28479.37</v>
      </c>
      <c r="AP6634" s="9">
        <v>3.2490469115558729</v>
      </c>
    </row>
    <row r="6635" spans="40:42" x14ac:dyDescent="0.3">
      <c r="AN6635">
        <v>6631</v>
      </c>
      <c r="AO6635" s="11">
        <v>22178.32</v>
      </c>
      <c r="AP6635" s="9">
        <v>3.1627864368969005</v>
      </c>
    </row>
    <row r="6636" spans="40:42" x14ac:dyDescent="0.3">
      <c r="AN6636">
        <v>6632</v>
      </c>
      <c r="AO6636" s="11">
        <v>11717.98</v>
      </c>
      <c r="AP6636" s="9">
        <v>2.7153521507945615</v>
      </c>
    </row>
    <row r="6637" spans="40:42" x14ac:dyDescent="0.3">
      <c r="AN6637">
        <v>6633</v>
      </c>
      <c r="AO6637" s="11">
        <v>40323.74</v>
      </c>
      <c r="AP6637" s="9">
        <v>3.3477201939434833</v>
      </c>
    </row>
    <row r="6638" spans="40:42" x14ac:dyDescent="0.3">
      <c r="AN6638">
        <v>6634</v>
      </c>
      <c r="AO6638" s="11">
        <v>26955.71</v>
      </c>
      <c r="AP6638" s="9">
        <v>3.2427422767595009</v>
      </c>
    </row>
    <row r="6639" spans="40:42" x14ac:dyDescent="0.3">
      <c r="AN6639">
        <v>6635</v>
      </c>
      <c r="AO6639" s="11">
        <v>15187.35</v>
      </c>
      <c r="AP6639" s="9">
        <v>2.9560027834296547</v>
      </c>
    </row>
    <row r="6640" spans="40:42" x14ac:dyDescent="0.3">
      <c r="AN6640">
        <v>6636</v>
      </c>
      <c r="AO6640" s="11">
        <v>20030.650000000001</v>
      </c>
      <c r="AP6640" s="9">
        <v>2.9919864446275808</v>
      </c>
    </row>
    <row r="6641" spans="40:42" x14ac:dyDescent="0.3">
      <c r="AN6641">
        <v>6637</v>
      </c>
      <c r="AO6641" s="11">
        <v>26694.880000000001</v>
      </c>
      <c r="AP6641" s="9">
        <v>2.772364508455659</v>
      </c>
    </row>
    <row r="6642" spans="40:42" x14ac:dyDescent="0.3">
      <c r="AN6642">
        <v>6638</v>
      </c>
      <c r="AO6642" s="11">
        <v>34534.35</v>
      </c>
      <c r="AP6642" s="9">
        <v>3.766257685032826</v>
      </c>
    </row>
    <row r="6643" spans="40:42" x14ac:dyDescent="0.3">
      <c r="AN6643">
        <v>6639</v>
      </c>
      <c r="AO6643" s="11">
        <v>27069.4</v>
      </c>
      <c r="AP6643" s="9">
        <v>3.3543618433122808</v>
      </c>
    </row>
    <row r="6644" spans="40:42" x14ac:dyDescent="0.3">
      <c r="AN6644">
        <v>6640</v>
      </c>
      <c r="AO6644" s="11">
        <v>38455.29</v>
      </c>
      <c r="AP6644" s="9">
        <v>3.4245786319376705</v>
      </c>
    </row>
    <row r="6645" spans="40:42" x14ac:dyDescent="0.3">
      <c r="AN6645">
        <v>6641</v>
      </c>
      <c r="AO6645" s="11">
        <v>23054.11</v>
      </c>
      <c r="AP6645" s="9">
        <v>3.4562416426628837</v>
      </c>
    </row>
    <row r="6646" spans="40:42" x14ac:dyDescent="0.3">
      <c r="AN6646">
        <v>6642</v>
      </c>
      <c r="AO6646" s="11">
        <v>35670.86</v>
      </c>
      <c r="AP6646" s="9">
        <v>3.9680536592409581</v>
      </c>
    </row>
    <row r="6647" spans="40:42" x14ac:dyDescent="0.3">
      <c r="AN6647">
        <v>6643</v>
      </c>
      <c r="AO6647" s="11">
        <v>26867.86</v>
      </c>
      <c r="AP6647" s="9">
        <v>3.4264679505302102</v>
      </c>
    </row>
    <row r="6648" spans="40:42" x14ac:dyDescent="0.3">
      <c r="AN6648">
        <v>6644</v>
      </c>
      <c r="AO6648" s="11">
        <v>25634.720000000001</v>
      </c>
      <c r="AP6648" s="9">
        <v>3.2681353349001951</v>
      </c>
    </row>
    <row r="6649" spans="40:42" x14ac:dyDescent="0.3">
      <c r="AN6649">
        <v>6645</v>
      </c>
      <c r="AO6649" s="11">
        <v>30755.16</v>
      </c>
      <c r="AP6649" s="9">
        <v>3.5294605976529096</v>
      </c>
    </row>
    <row r="6650" spans="40:42" x14ac:dyDescent="0.3">
      <c r="AN6650">
        <v>6646</v>
      </c>
      <c r="AO6650" s="11">
        <v>20045.189999999999</v>
      </c>
      <c r="AP6650" s="9">
        <v>2.6661258620305945</v>
      </c>
    </row>
    <row r="6651" spans="40:42" x14ac:dyDescent="0.3">
      <c r="AN6651">
        <v>6647</v>
      </c>
      <c r="AO6651" s="11">
        <v>23042.57</v>
      </c>
      <c r="AP6651" s="9">
        <v>3.5396139174793033</v>
      </c>
    </row>
    <row r="6652" spans="40:42" x14ac:dyDescent="0.3">
      <c r="AN6652">
        <v>6648</v>
      </c>
      <c r="AO6652" s="11">
        <v>21719.439999999999</v>
      </c>
      <c r="AP6652" s="9">
        <v>2.9606708418263259</v>
      </c>
    </row>
    <row r="6653" spans="40:42" x14ac:dyDescent="0.3">
      <c r="AN6653">
        <v>6649</v>
      </c>
      <c r="AO6653" s="11">
        <v>28174.28</v>
      </c>
      <c r="AP6653" s="9">
        <v>4.065076930897904</v>
      </c>
    </row>
    <row r="6654" spans="40:42" x14ac:dyDescent="0.3">
      <c r="AN6654">
        <v>6650</v>
      </c>
      <c r="AO6654" s="11">
        <v>37765.31</v>
      </c>
      <c r="AP6654" s="9">
        <v>4.0680231663918613</v>
      </c>
    </row>
    <row r="6655" spans="40:42" x14ac:dyDescent="0.3">
      <c r="AN6655">
        <v>6651</v>
      </c>
      <c r="AO6655" s="11">
        <v>30218.68</v>
      </c>
      <c r="AP6655" s="9">
        <v>3.9690139280428394</v>
      </c>
    </row>
    <row r="6656" spans="40:42" x14ac:dyDescent="0.3">
      <c r="AN6656">
        <v>6652</v>
      </c>
      <c r="AO6656" s="11">
        <v>17849.810000000001</v>
      </c>
      <c r="AP6656" s="9">
        <v>3.5890411335617625</v>
      </c>
    </row>
    <row r="6657" spans="40:42" x14ac:dyDescent="0.3">
      <c r="AN6657">
        <v>6653</v>
      </c>
      <c r="AO6657" s="11">
        <v>31344.58</v>
      </c>
      <c r="AP6657" s="9">
        <v>3.879526475666105</v>
      </c>
    </row>
    <row r="6658" spans="40:42" x14ac:dyDescent="0.3">
      <c r="AN6658">
        <v>6654</v>
      </c>
      <c r="AO6658" s="11">
        <v>27923.16</v>
      </c>
      <c r="AP6658" s="9">
        <v>3.5914223430594889</v>
      </c>
    </row>
    <row r="6659" spans="40:42" x14ac:dyDescent="0.3">
      <c r="AN6659">
        <v>6655</v>
      </c>
      <c r="AO6659" s="11">
        <v>30402.31</v>
      </c>
      <c r="AP6659" s="9">
        <v>3.3299804441263143</v>
      </c>
    </row>
    <row r="6660" spans="40:42" x14ac:dyDescent="0.3">
      <c r="AN6660">
        <v>6656</v>
      </c>
      <c r="AO6660" s="11">
        <v>43997.29</v>
      </c>
      <c r="AP6660" s="9">
        <v>4.0848664269068129</v>
      </c>
    </row>
    <row r="6661" spans="40:42" x14ac:dyDescent="0.3">
      <c r="AN6661">
        <v>6657</v>
      </c>
      <c r="AO6661" s="11">
        <v>22708.22</v>
      </c>
      <c r="AP6661" s="9">
        <v>2.9936628470453082</v>
      </c>
    </row>
    <row r="6662" spans="40:42" x14ac:dyDescent="0.3">
      <c r="AN6662">
        <v>6658</v>
      </c>
      <c r="AO6662" s="11">
        <v>25182.11</v>
      </c>
      <c r="AP6662" s="9">
        <v>3.0174387748190727</v>
      </c>
    </row>
    <row r="6663" spans="40:42" x14ac:dyDescent="0.3">
      <c r="AN6663">
        <v>6659</v>
      </c>
      <c r="AO6663" s="11">
        <v>24675.32</v>
      </c>
      <c r="AP6663" s="9">
        <v>3.2865914885618124</v>
      </c>
    </row>
    <row r="6664" spans="40:42" x14ac:dyDescent="0.3">
      <c r="AN6664">
        <v>6660</v>
      </c>
      <c r="AO6664" s="11">
        <v>23837.99</v>
      </c>
      <c r="AP6664" s="9">
        <v>3.2069332284885981</v>
      </c>
    </row>
    <row r="6665" spans="40:42" x14ac:dyDescent="0.3">
      <c r="AN6665">
        <v>6661</v>
      </c>
      <c r="AO6665" s="11">
        <v>38782.25</v>
      </c>
      <c r="AP6665" s="9">
        <v>3.9826659162479703</v>
      </c>
    </row>
    <row r="6666" spans="40:42" x14ac:dyDescent="0.3">
      <c r="AN6666">
        <v>6662</v>
      </c>
      <c r="AO6666" s="11">
        <v>20237.2</v>
      </c>
      <c r="AP6666" s="9">
        <v>3.3350383709073359</v>
      </c>
    </row>
    <row r="6667" spans="40:42" x14ac:dyDescent="0.3">
      <c r="AN6667">
        <v>6663</v>
      </c>
      <c r="AO6667" s="11">
        <v>37824.18</v>
      </c>
      <c r="AP6667" s="9">
        <v>3.6870841448195564</v>
      </c>
    </row>
    <row r="6668" spans="40:42" x14ac:dyDescent="0.3">
      <c r="AN6668">
        <v>6664</v>
      </c>
      <c r="AO6668" s="11">
        <v>35763.760000000002</v>
      </c>
      <c r="AP6668" s="9">
        <v>3.9177338914871545</v>
      </c>
    </row>
    <row r="6669" spans="40:42" x14ac:dyDescent="0.3">
      <c r="AN6669">
        <v>6665</v>
      </c>
      <c r="AO6669" s="11">
        <v>38171.589999999997</v>
      </c>
      <c r="AP6669" s="9">
        <v>3.637083962401825</v>
      </c>
    </row>
    <row r="6670" spans="40:42" x14ac:dyDescent="0.3">
      <c r="AN6670">
        <v>6666</v>
      </c>
      <c r="AO6670" s="11">
        <v>32276.19</v>
      </c>
      <c r="AP6670" s="9">
        <v>3.3111640012311465</v>
      </c>
    </row>
    <row r="6671" spans="40:42" x14ac:dyDescent="0.3">
      <c r="AN6671">
        <v>6667</v>
      </c>
      <c r="AO6671" s="11">
        <v>27314.31</v>
      </c>
      <c r="AP6671" s="9">
        <v>3.3112334375148418</v>
      </c>
    </row>
    <row r="6672" spans="40:42" x14ac:dyDescent="0.3">
      <c r="AN6672">
        <v>6668</v>
      </c>
      <c r="AO6672" s="11">
        <v>27088.799999999999</v>
      </c>
      <c r="AP6672" s="9">
        <v>3.3663135078462214</v>
      </c>
    </row>
    <row r="6673" spans="40:42" x14ac:dyDescent="0.3">
      <c r="AN6673">
        <v>6669</v>
      </c>
      <c r="AO6673" s="11">
        <v>21356.02</v>
      </c>
      <c r="AP6673" s="9">
        <v>3.1811590151038289</v>
      </c>
    </row>
    <row r="6674" spans="40:42" x14ac:dyDescent="0.3">
      <c r="AN6674">
        <v>6670</v>
      </c>
      <c r="AO6674" s="11">
        <v>24828.51</v>
      </c>
      <c r="AP6674" s="9">
        <v>3.5084081071771469</v>
      </c>
    </row>
    <row r="6675" spans="40:42" x14ac:dyDescent="0.3">
      <c r="AN6675">
        <v>6671</v>
      </c>
      <c r="AO6675" s="11">
        <v>43421.1</v>
      </c>
      <c r="AP6675" s="9">
        <v>3.5399143009207821</v>
      </c>
    </row>
    <row r="6676" spans="40:42" x14ac:dyDescent="0.3">
      <c r="AN6676">
        <v>6672</v>
      </c>
      <c r="AO6676" s="11">
        <v>18189.37</v>
      </c>
      <c r="AP6676" s="9">
        <v>2.9747186714191596</v>
      </c>
    </row>
    <row r="6677" spans="40:42" x14ac:dyDescent="0.3">
      <c r="AN6677">
        <v>6673</v>
      </c>
      <c r="AO6677" s="11">
        <v>28130.720000000001</v>
      </c>
      <c r="AP6677" s="9">
        <v>3.7119690797817375</v>
      </c>
    </row>
    <row r="6678" spans="40:42" x14ac:dyDescent="0.3">
      <c r="AN6678">
        <v>6674</v>
      </c>
      <c r="AO6678" s="11">
        <v>20658.07</v>
      </c>
      <c r="AP6678" s="9">
        <v>3.0111173346240401</v>
      </c>
    </row>
    <row r="6679" spans="40:42" x14ac:dyDescent="0.3">
      <c r="AN6679">
        <v>6675</v>
      </c>
      <c r="AO6679" s="11">
        <v>26727.56</v>
      </c>
      <c r="AP6679" s="9">
        <v>3.1224801876687152</v>
      </c>
    </row>
    <row r="6680" spans="40:42" x14ac:dyDescent="0.3">
      <c r="AN6680">
        <v>6676</v>
      </c>
      <c r="AO6680" s="11">
        <v>25268.97</v>
      </c>
      <c r="AP6680" s="9">
        <v>3.4540576227830906</v>
      </c>
    </row>
    <row r="6681" spans="40:42" x14ac:dyDescent="0.3">
      <c r="AN6681">
        <v>6677</v>
      </c>
      <c r="AO6681" s="11">
        <v>28590.25</v>
      </c>
      <c r="AP6681" s="9">
        <v>3.4920044381423843</v>
      </c>
    </row>
    <row r="6682" spans="40:42" x14ac:dyDescent="0.3">
      <c r="AN6682">
        <v>6678</v>
      </c>
      <c r="AO6682" s="11">
        <v>44855.31</v>
      </c>
      <c r="AP6682" s="9">
        <v>3.277764153038385</v>
      </c>
    </row>
    <row r="6683" spans="40:42" x14ac:dyDescent="0.3">
      <c r="AN6683">
        <v>6679</v>
      </c>
      <c r="AO6683" s="11">
        <v>14247.52</v>
      </c>
      <c r="AP6683" s="9">
        <v>3.1981040042526998</v>
      </c>
    </row>
    <row r="6684" spans="40:42" x14ac:dyDescent="0.3">
      <c r="AN6684">
        <v>6680</v>
      </c>
      <c r="AO6684" s="11">
        <v>34681.300000000003</v>
      </c>
      <c r="AP6684" s="9">
        <v>4.2752211712357875</v>
      </c>
    </row>
    <row r="6685" spans="40:42" x14ac:dyDescent="0.3">
      <c r="AN6685">
        <v>6681</v>
      </c>
      <c r="AO6685" s="11">
        <v>19200.43</v>
      </c>
      <c r="AP6685" s="9">
        <v>3.0247563880248256</v>
      </c>
    </row>
    <row r="6686" spans="40:42" x14ac:dyDescent="0.3">
      <c r="AN6686">
        <v>6682</v>
      </c>
      <c r="AO6686" s="11">
        <v>24165.82</v>
      </c>
      <c r="AP6686" s="9">
        <v>3.0763322616209052</v>
      </c>
    </row>
    <row r="6687" spans="40:42" x14ac:dyDescent="0.3">
      <c r="AN6687">
        <v>6683</v>
      </c>
      <c r="AO6687" s="11">
        <v>22196.95</v>
      </c>
      <c r="AP6687" s="9">
        <v>3.4132876373557983</v>
      </c>
    </row>
    <row r="6688" spans="40:42" x14ac:dyDescent="0.3">
      <c r="AN6688">
        <v>6684</v>
      </c>
      <c r="AO6688" s="11">
        <v>17357.310000000001</v>
      </c>
      <c r="AP6688" s="9">
        <v>2.8655080324126261</v>
      </c>
    </row>
    <row r="6689" spans="40:42" x14ac:dyDescent="0.3">
      <c r="AN6689">
        <v>6685</v>
      </c>
      <c r="AO6689" s="11">
        <v>26053.119999999999</v>
      </c>
      <c r="AP6689" s="9">
        <v>3.1948430816697821</v>
      </c>
    </row>
    <row r="6690" spans="40:42" x14ac:dyDescent="0.3">
      <c r="AN6690">
        <v>6686</v>
      </c>
      <c r="AO6690" s="11">
        <v>28745.919999999998</v>
      </c>
      <c r="AP6690" s="9">
        <v>4.0351057442778755</v>
      </c>
    </row>
    <row r="6691" spans="40:42" x14ac:dyDescent="0.3">
      <c r="AN6691">
        <v>6687</v>
      </c>
      <c r="AO6691" s="11">
        <v>29437.54</v>
      </c>
      <c r="AP6691" s="9">
        <v>3.6486275760104934</v>
      </c>
    </row>
    <row r="6692" spans="40:42" x14ac:dyDescent="0.3">
      <c r="AN6692">
        <v>6688</v>
      </c>
      <c r="AO6692" s="11">
        <v>22502.23</v>
      </c>
      <c r="AP6692" s="9">
        <v>3.38066955708539</v>
      </c>
    </row>
    <row r="6693" spans="40:42" x14ac:dyDescent="0.3">
      <c r="AN6693">
        <v>6689</v>
      </c>
      <c r="AO6693" s="11">
        <v>31511.78</v>
      </c>
      <c r="AP6693" s="9">
        <v>2.8195127158631816</v>
      </c>
    </row>
    <row r="6694" spans="40:42" x14ac:dyDescent="0.3">
      <c r="AN6694">
        <v>6690</v>
      </c>
      <c r="AO6694" s="11">
        <v>31530.17</v>
      </c>
      <c r="AP6694" s="9">
        <v>3.101614656252865</v>
      </c>
    </row>
    <row r="6695" spans="40:42" x14ac:dyDescent="0.3">
      <c r="AN6695">
        <v>6691</v>
      </c>
      <c r="AO6695" s="11">
        <v>28783.58</v>
      </c>
      <c r="AP6695" s="9">
        <v>3.6250084532676672</v>
      </c>
    </row>
    <row r="6696" spans="40:42" x14ac:dyDescent="0.3">
      <c r="AN6696">
        <v>6692</v>
      </c>
      <c r="AO6696" s="11">
        <v>24782.55</v>
      </c>
      <c r="AP6696" s="9">
        <v>3.3023508305817928</v>
      </c>
    </row>
    <row r="6697" spans="40:42" x14ac:dyDescent="0.3">
      <c r="AN6697">
        <v>6693</v>
      </c>
      <c r="AO6697" s="11">
        <v>23363.26</v>
      </c>
      <c r="AP6697" s="9">
        <v>3.9041402119389224</v>
      </c>
    </row>
    <row r="6698" spans="40:42" x14ac:dyDescent="0.3">
      <c r="AN6698">
        <v>6694</v>
      </c>
      <c r="AO6698" s="11">
        <v>24515.85</v>
      </c>
      <c r="AP6698" s="9">
        <v>3.1160355462456453</v>
      </c>
    </row>
    <row r="6699" spans="40:42" x14ac:dyDescent="0.3">
      <c r="AN6699">
        <v>6695</v>
      </c>
      <c r="AO6699" s="11">
        <v>20389.990000000002</v>
      </c>
      <c r="AP6699" s="9">
        <v>3.1658544233856563</v>
      </c>
    </row>
    <row r="6700" spans="40:42" x14ac:dyDescent="0.3">
      <c r="AN6700">
        <v>6696</v>
      </c>
      <c r="AO6700" s="11">
        <v>23750.67</v>
      </c>
      <c r="AP6700" s="9">
        <v>3.1293576385950361</v>
      </c>
    </row>
    <row r="6701" spans="40:42" x14ac:dyDescent="0.3">
      <c r="AN6701">
        <v>6697</v>
      </c>
      <c r="AO6701" s="11">
        <v>19112.72</v>
      </c>
      <c r="AP6701" s="9">
        <v>3.3545027888675176</v>
      </c>
    </row>
    <row r="6702" spans="40:42" x14ac:dyDescent="0.3">
      <c r="AN6702">
        <v>6698</v>
      </c>
      <c r="AO6702" s="11">
        <v>23910.15</v>
      </c>
      <c r="AP6702" s="9">
        <v>3.3369000021170621</v>
      </c>
    </row>
    <row r="6703" spans="40:42" x14ac:dyDescent="0.3">
      <c r="AN6703">
        <v>6699</v>
      </c>
      <c r="AO6703" s="11">
        <v>22452.78</v>
      </c>
      <c r="AP6703" s="9">
        <v>2.5633911346409466</v>
      </c>
    </row>
    <row r="6704" spans="40:42" x14ac:dyDescent="0.3">
      <c r="AN6704">
        <v>6700</v>
      </c>
      <c r="AO6704" s="11">
        <v>33831.22</v>
      </c>
      <c r="AP6704" s="9">
        <v>4.243998198104074</v>
      </c>
    </row>
    <row r="6705" spans="40:42" x14ac:dyDescent="0.3">
      <c r="AN6705">
        <v>6701</v>
      </c>
      <c r="AO6705" s="11">
        <v>24770.28</v>
      </c>
      <c r="AP6705" s="9">
        <v>3.3474185031213493</v>
      </c>
    </row>
    <row r="6706" spans="40:42" x14ac:dyDescent="0.3">
      <c r="AN6706">
        <v>6702</v>
      </c>
      <c r="AO6706" s="11">
        <v>22286.83</v>
      </c>
      <c r="AP6706" s="9">
        <v>3.4946010441999151</v>
      </c>
    </row>
    <row r="6707" spans="40:42" x14ac:dyDescent="0.3">
      <c r="AN6707">
        <v>6703</v>
      </c>
      <c r="AO6707" s="11">
        <v>27294.66</v>
      </c>
      <c r="AP6707" s="9">
        <v>4.2135777183537773</v>
      </c>
    </row>
    <row r="6708" spans="40:42" x14ac:dyDescent="0.3">
      <c r="AN6708">
        <v>6704</v>
      </c>
      <c r="AO6708" s="11">
        <v>26735.19</v>
      </c>
      <c r="AP6708" s="9">
        <v>2.9668240939988579</v>
      </c>
    </row>
    <row r="6709" spans="40:42" x14ac:dyDescent="0.3">
      <c r="AN6709">
        <v>6705</v>
      </c>
      <c r="AO6709" s="11">
        <v>16629.75</v>
      </c>
      <c r="AP6709" s="9">
        <v>3.2199895963262684</v>
      </c>
    </row>
    <row r="6710" spans="40:42" x14ac:dyDescent="0.3">
      <c r="AN6710">
        <v>6706</v>
      </c>
      <c r="AO6710" s="11">
        <v>21642.720000000001</v>
      </c>
      <c r="AP6710" s="9">
        <v>3.9716712904151521</v>
      </c>
    </row>
    <row r="6711" spans="40:42" x14ac:dyDescent="0.3">
      <c r="AN6711">
        <v>6707</v>
      </c>
      <c r="AO6711" s="11">
        <v>27579.69</v>
      </c>
      <c r="AP6711" s="9">
        <v>3.0884970949143731</v>
      </c>
    </row>
    <row r="6712" spans="40:42" x14ac:dyDescent="0.3">
      <c r="AN6712">
        <v>6708</v>
      </c>
      <c r="AO6712" s="11">
        <v>29996.25</v>
      </c>
      <c r="AP6712" s="9">
        <v>2.9736879446967994</v>
      </c>
    </row>
    <row r="6713" spans="40:42" x14ac:dyDescent="0.3">
      <c r="AN6713">
        <v>6709</v>
      </c>
      <c r="AO6713" s="11">
        <v>44303.63</v>
      </c>
      <c r="AP6713" s="9">
        <v>3.7472416353381455</v>
      </c>
    </row>
    <row r="6714" spans="40:42" x14ac:dyDescent="0.3">
      <c r="AN6714">
        <v>6710</v>
      </c>
      <c r="AO6714" s="11">
        <v>44497.63</v>
      </c>
      <c r="AP6714" s="9">
        <v>3.3082757337141411</v>
      </c>
    </row>
    <row r="6715" spans="40:42" x14ac:dyDescent="0.3">
      <c r="AN6715">
        <v>6711</v>
      </c>
      <c r="AO6715" s="11">
        <v>17668.150000000001</v>
      </c>
      <c r="AP6715" s="9">
        <v>2.7081508752239443</v>
      </c>
    </row>
    <row r="6716" spans="40:42" x14ac:dyDescent="0.3">
      <c r="AN6716">
        <v>6712</v>
      </c>
      <c r="AO6716" s="11">
        <v>25348.560000000001</v>
      </c>
      <c r="AP6716" s="9">
        <v>3.0950055657942919</v>
      </c>
    </row>
    <row r="6717" spans="40:42" x14ac:dyDescent="0.3">
      <c r="AN6717">
        <v>6713</v>
      </c>
      <c r="AO6717" s="11">
        <v>32969.42</v>
      </c>
      <c r="AP6717" s="9">
        <v>4.0380961808808307</v>
      </c>
    </row>
    <row r="6718" spans="40:42" x14ac:dyDescent="0.3">
      <c r="AN6718">
        <v>6714</v>
      </c>
      <c r="AO6718" s="11">
        <v>24132.639999999999</v>
      </c>
      <c r="AP6718" s="9">
        <v>2.7348940557540029</v>
      </c>
    </row>
    <row r="6719" spans="40:42" x14ac:dyDescent="0.3">
      <c r="AN6719">
        <v>6715</v>
      </c>
      <c r="AO6719" s="11">
        <v>23098.69</v>
      </c>
      <c r="AP6719" s="9">
        <v>3.05919294200051</v>
      </c>
    </row>
    <row r="6720" spans="40:42" x14ac:dyDescent="0.3">
      <c r="AN6720">
        <v>6716</v>
      </c>
      <c r="AO6720" s="11">
        <v>31129.71</v>
      </c>
      <c r="AP6720" s="9">
        <v>3.428858904307976</v>
      </c>
    </row>
    <row r="6721" spans="40:42" x14ac:dyDescent="0.3">
      <c r="AN6721">
        <v>6717</v>
      </c>
      <c r="AO6721" s="11">
        <v>18021.23</v>
      </c>
      <c r="AP6721" s="9">
        <v>3.1711953349949242</v>
      </c>
    </row>
    <row r="6722" spans="40:42" x14ac:dyDescent="0.3">
      <c r="AN6722">
        <v>6718</v>
      </c>
      <c r="AO6722" s="11">
        <v>34735.39</v>
      </c>
      <c r="AP6722" s="9">
        <v>3.1939000818145535</v>
      </c>
    </row>
    <row r="6723" spans="40:42" x14ac:dyDescent="0.3">
      <c r="AN6723">
        <v>6719</v>
      </c>
      <c r="AO6723" s="11">
        <v>31588.34</v>
      </c>
      <c r="AP6723" s="9">
        <v>3.8471959422709796</v>
      </c>
    </row>
    <row r="6724" spans="40:42" x14ac:dyDescent="0.3">
      <c r="AN6724">
        <v>6720</v>
      </c>
      <c r="AO6724" s="11">
        <v>27360.84</v>
      </c>
      <c r="AP6724" s="9">
        <v>3.0046969055689918</v>
      </c>
    </row>
    <row r="6725" spans="40:42" x14ac:dyDescent="0.3">
      <c r="AN6725">
        <v>6721</v>
      </c>
      <c r="AO6725" s="11">
        <v>26269.93</v>
      </c>
      <c r="AP6725" s="9">
        <v>3.8949605006063015</v>
      </c>
    </row>
    <row r="6726" spans="40:42" x14ac:dyDescent="0.3">
      <c r="AN6726">
        <v>6722</v>
      </c>
      <c r="AO6726" s="11">
        <v>31630.3</v>
      </c>
      <c r="AP6726" s="9">
        <v>3.5968577730801714</v>
      </c>
    </row>
    <row r="6727" spans="40:42" x14ac:dyDescent="0.3">
      <c r="AN6727">
        <v>6723</v>
      </c>
      <c r="AO6727" s="11">
        <v>26434.11</v>
      </c>
      <c r="AP6727" s="9">
        <v>3.288426575176195</v>
      </c>
    </row>
    <row r="6728" spans="40:42" x14ac:dyDescent="0.3">
      <c r="AN6728">
        <v>6724</v>
      </c>
      <c r="AO6728" s="11">
        <v>41851.83</v>
      </c>
      <c r="AP6728" s="9">
        <v>3.9380782823480276</v>
      </c>
    </row>
    <row r="6729" spans="40:42" x14ac:dyDescent="0.3">
      <c r="AN6729">
        <v>6725</v>
      </c>
      <c r="AO6729" s="11">
        <v>14353.11</v>
      </c>
      <c r="AP6729" s="9">
        <v>3.5008360637633866</v>
      </c>
    </row>
    <row r="6730" spans="40:42" x14ac:dyDescent="0.3">
      <c r="AN6730">
        <v>6726</v>
      </c>
      <c r="AO6730" s="11">
        <v>19183.900000000001</v>
      </c>
      <c r="AP6730" s="9">
        <v>2.961685545568562</v>
      </c>
    </row>
    <row r="6731" spans="40:42" x14ac:dyDescent="0.3">
      <c r="AN6731">
        <v>6727</v>
      </c>
      <c r="AO6731" s="11">
        <v>32131.17</v>
      </c>
      <c r="AP6731" s="9">
        <v>3.2408017526539026</v>
      </c>
    </row>
    <row r="6732" spans="40:42" x14ac:dyDescent="0.3">
      <c r="AN6732">
        <v>6728</v>
      </c>
      <c r="AO6732" s="11">
        <v>20203.060000000001</v>
      </c>
      <c r="AP6732" s="9">
        <v>3.371001075014159</v>
      </c>
    </row>
    <row r="6733" spans="40:42" x14ac:dyDescent="0.3">
      <c r="AN6733">
        <v>6729</v>
      </c>
      <c r="AO6733" s="11">
        <v>32408.9</v>
      </c>
      <c r="AP6733" s="9">
        <v>3.0969341904107952</v>
      </c>
    </row>
    <row r="6734" spans="40:42" x14ac:dyDescent="0.3">
      <c r="AN6734">
        <v>6730</v>
      </c>
      <c r="AO6734" s="11">
        <v>30939.64</v>
      </c>
      <c r="AP6734" s="9">
        <v>2.9468021610632911</v>
      </c>
    </row>
    <row r="6735" spans="40:42" x14ac:dyDescent="0.3">
      <c r="AN6735">
        <v>6731</v>
      </c>
      <c r="AO6735" s="11">
        <v>25357.51</v>
      </c>
      <c r="AP6735" s="9">
        <v>3.2982356330735692</v>
      </c>
    </row>
    <row r="6736" spans="40:42" x14ac:dyDescent="0.3">
      <c r="AN6736">
        <v>6732</v>
      </c>
      <c r="AO6736" s="11">
        <v>11818.6</v>
      </c>
      <c r="AP6736" s="9">
        <v>2.7414006644456084</v>
      </c>
    </row>
    <row r="6737" spans="40:42" x14ac:dyDescent="0.3">
      <c r="AN6737">
        <v>6733</v>
      </c>
      <c r="AO6737" s="11">
        <v>31139.67</v>
      </c>
      <c r="AP6737" s="9">
        <v>3.7455398322625064</v>
      </c>
    </row>
    <row r="6738" spans="40:42" x14ac:dyDescent="0.3">
      <c r="AN6738">
        <v>6734</v>
      </c>
      <c r="AO6738" s="11">
        <v>27240.51</v>
      </c>
      <c r="AP6738" s="9">
        <v>3.8674653581361649</v>
      </c>
    </row>
    <row r="6739" spans="40:42" x14ac:dyDescent="0.3">
      <c r="AN6739">
        <v>6735</v>
      </c>
      <c r="AO6739" s="11">
        <v>27123.599999999999</v>
      </c>
      <c r="AP6739" s="9">
        <v>3.9351730351958043</v>
      </c>
    </row>
    <row r="6740" spans="40:42" x14ac:dyDescent="0.3">
      <c r="AN6740">
        <v>6736</v>
      </c>
      <c r="AO6740" s="11">
        <v>25088.89</v>
      </c>
      <c r="AP6740" s="9">
        <v>3.2967192774805834</v>
      </c>
    </row>
    <row r="6741" spans="40:42" x14ac:dyDescent="0.3">
      <c r="AN6741">
        <v>6737</v>
      </c>
      <c r="AO6741" s="11">
        <v>32131.17</v>
      </c>
      <c r="AP6741" s="9">
        <v>3.2382936076665771</v>
      </c>
    </row>
    <row r="6742" spans="40:42" x14ac:dyDescent="0.3">
      <c r="AN6742">
        <v>6738</v>
      </c>
      <c r="AO6742" s="11">
        <v>40210.83</v>
      </c>
      <c r="AP6742" s="9">
        <v>3.9543009118972678</v>
      </c>
    </row>
    <row r="6743" spans="40:42" x14ac:dyDescent="0.3">
      <c r="AN6743">
        <v>6739</v>
      </c>
      <c r="AO6743" s="11">
        <v>28745.3</v>
      </c>
      <c r="AP6743" s="9">
        <v>3.920095658462535</v>
      </c>
    </row>
    <row r="6744" spans="40:42" x14ac:dyDescent="0.3">
      <c r="AN6744">
        <v>6740</v>
      </c>
      <c r="AO6744" s="11">
        <v>15717.15</v>
      </c>
      <c r="AP6744" s="9">
        <v>2.6634151808597202</v>
      </c>
    </row>
    <row r="6745" spans="40:42" x14ac:dyDescent="0.3">
      <c r="AN6745">
        <v>6741</v>
      </c>
      <c r="AO6745" s="11">
        <v>38866.83</v>
      </c>
      <c r="AP6745" s="9">
        <v>3.3297155619672307</v>
      </c>
    </row>
    <row r="6746" spans="40:42" x14ac:dyDescent="0.3">
      <c r="AN6746">
        <v>6742</v>
      </c>
      <c r="AO6746" s="11">
        <v>30876.799999999999</v>
      </c>
      <c r="AP6746" s="9">
        <v>2.8376531835443544</v>
      </c>
    </row>
    <row r="6747" spans="40:42" x14ac:dyDescent="0.3">
      <c r="AN6747">
        <v>6743</v>
      </c>
      <c r="AO6747" s="11">
        <v>26064.71</v>
      </c>
      <c r="AP6747" s="9">
        <v>3.9054237457112979</v>
      </c>
    </row>
    <row r="6748" spans="40:42" x14ac:dyDescent="0.3">
      <c r="AN6748">
        <v>6744</v>
      </c>
      <c r="AO6748" s="11">
        <v>14945.45</v>
      </c>
      <c r="AP6748" s="9">
        <v>3.2337178078247364</v>
      </c>
    </row>
    <row r="6749" spans="40:42" x14ac:dyDescent="0.3">
      <c r="AN6749">
        <v>6745</v>
      </c>
      <c r="AO6749" s="11">
        <v>21562.69</v>
      </c>
      <c r="AP6749" s="9">
        <v>3.4903570950113667</v>
      </c>
    </row>
    <row r="6750" spans="40:42" x14ac:dyDescent="0.3">
      <c r="AN6750">
        <v>6746</v>
      </c>
      <c r="AO6750" s="11">
        <v>23079.32</v>
      </c>
      <c r="AP6750" s="9">
        <v>2.6257673497884482</v>
      </c>
    </row>
    <row r="6751" spans="40:42" x14ac:dyDescent="0.3">
      <c r="AN6751">
        <v>6747</v>
      </c>
      <c r="AO6751" s="11">
        <v>28178.84</v>
      </c>
      <c r="AP6751" s="9">
        <v>3.2725783007377447</v>
      </c>
    </row>
    <row r="6752" spans="40:42" x14ac:dyDescent="0.3">
      <c r="AN6752">
        <v>6748</v>
      </c>
      <c r="AO6752" s="11">
        <v>25855.22</v>
      </c>
      <c r="AP6752" s="9">
        <v>3.5261755306235529</v>
      </c>
    </row>
    <row r="6753" spans="40:42" x14ac:dyDescent="0.3">
      <c r="AN6753">
        <v>6749</v>
      </c>
      <c r="AO6753" s="11">
        <v>28544.59</v>
      </c>
      <c r="AP6753" s="9">
        <v>2.9487128539945822</v>
      </c>
    </row>
    <row r="6754" spans="40:42" x14ac:dyDescent="0.3">
      <c r="AN6754">
        <v>6750</v>
      </c>
      <c r="AO6754" s="11">
        <v>16491.61</v>
      </c>
      <c r="AP6754" s="9">
        <v>2.8543000303300525</v>
      </c>
    </row>
    <row r="6755" spans="40:42" x14ac:dyDescent="0.3">
      <c r="AN6755">
        <v>6751</v>
      </c>
      <c r="AO6755" s="11">
        <v>32377.83</v>
      </c>
      <c r="AP6755" s="9">
        <v>2.9698563135942262</v>
      </c>
    </row>
    <row r="6756" spans="40:42" x14ac:dyDescent="0.3">
      <c r="AN6756">
        <v>6752</v>
      </c>
      <c r="AO6756" s="11">
        <v>26704.99</v>
      </c>
      <c r="AP6756" s="9">
        <v>2.8657097766970612</v>
      </c>
    </row>
    <row r="6757" spans="40:42" x14ac:dyDescent="0.3">
      <c r="AN6757">
        <v>6753</v>
      </c>
      <c r="AO6757" s="11">
        <v>30656.63</v>
      </c>
      <c r="AP6757" s="9">
        <v>3.9289722671356593</v>
      </c>
    </row>
    <row r="6758" spans="40:42" x14ac:dyDescent="0.3">
      <c r="AN6758">
        <v>6754</v>
      </c>
      <c r="AO6758" s="11">
        <v>30872.16</v>
      </c>
      <c r="AP6758" s="9">
        <v>3.6847589600414499</v>
      </c>
    </row>
    <row r="6759" spans="40:42" x14ac:dyDescent="0.3">
      <c r="AN6759">
        <v>6755</v>
      </c>
      <c r="AO6759" s="11">
        <v>19459.95</v>
      </c>
      <c r="AP6759" s="9">
        <v>3.2406755513310648</v>
      </c>
    </row>
    <row r="6760" spans="40:42" x14ac:dyDescent="0.3">
      <c r="AN6760">
        <v>6756</v>
      </c>
      <c r="AO6760" s="11">
        <v>42958.01</v>
      </c>
      <c r="AP6760" s="9">
        <v>4.3575196706222714</v>
      </c>
    </row>
    <row r="6761" spans="40:42" x14ac:dyDescent="0.3">
      <c r="AN6761">
        <v>6757</v>
      </c>
      <c r="AO6761" s="11">
        <v>30228.84</v>
      </c>
      <c r="AP6761" s="9">
        <v>3.4625321150642101</v>
      </c>
    </row>
    <row r="6762" spans="40:42" x14ac:dyDescent="0.3">
      <c r="AN6762">
        <v>6758</v>
      </c>
      <c r="AO6762" s="11">
        <v>23308</v>
      </c>
      <c r="AP6762" s="9">
        <v>3.1233276464953668</v>
      </c>
    </row>
    <row r="6763" spans="40:42" x14ac:dyDescent="0.3">
      <c r="AN6763">
        <v>6759</v>
      </c>
      <c r="AO6763" s="11">
        <v>28658.46</v>
      </c>
      <c r="AP6763" s="9">
        <v>3.2416493608639443</v>
      </c>
    </row>
    <row r="6764" spans="40:42" x14ac:dyDescent="0.3">
      <c r="AN6764">
        <v>6760</v>
      </c>
      <c r="AO6764" s="11">
        <v>34947.5</v>
      </c>
      <c r="AP6764" s="9">
        <v>3.5093331027817869</v>
      </c>
    </row>
    <row r="6765" spans="40:42" x14ac:dyDescent="0.3">
      <c r="AN6765">
        <v>6761</v>
      </c>
      <c r="AO6765" s="11">
        <v>20751.21</v>
      </c>
      <c r="AP6765" s="9">
        <v>3.0619522967779429</v>
      </c>
    </row>
    <row r="6766" spans="40:42" x14ac:dyDescent="0.3">
      <c r="AN6766">
        <v>6762</v>
      </c>
      <c r="AO6766" s="11">
        <v>20953.919999999998</v>
      </c>
      <c r="AP6766" s="9">
        <v>3.9112591588996835</v>
      </c>
    </row>
    <row r="6767" spans="40:42" x14ac:dyDescent="0.3">
      <c r="AN6767">
        <v>6763</v>
      </c>
      <c r="AO6767" s="11">
        <v>27470.6</v>
      </c>
      <c r="AP6767" s="9">
        <v>3.675632503570196</v>
      </c>
    </row>
    <row r="6768" spans="40:42" x14ac:dyDescent="0.3">
      <c r="AN6768">
        <v>6764</v>
      </c>
      <c r="AO6768" s="11">
        <v>28926.51</v>
      </c>
      <c r="AP6768" s="9">
        <v>3.4661083698582815</v>
      </c>
    </row>
    <row r="6769" spans="40:42" x14ac:dyDescent="0.3">
      <c r="AN6769">
        <v>6765</v>
      </c>
      <c r="AO6769" s="11">
        <v>24399.78</v>
      </c>
      <c r="AP6769" s="9">
        <v>3.2548296692689052</v>
      </c>
    </row>
    <row r="6770" spans="40:42" x14ac:dyDescent="0.3">
      <c r="AN6770">
        <v>6766</v>
      </c>
      <c r="AO6770" s="11">
        <v>17780.810000000001</v>
      </c>
      <c r="AP6770" s="9">
        <v>3.1186586626331816</v>
      </c>
    </row>
    <row r="6771" spans="40:42" x14ac:dyDescent="0.3">
      <c r="AN6771">
        <v>6767</v>
      </c>
      <c r="AO6771" s="11">
        <v>23214.52</v>
      </c>
      <c r="AP6771" s="9">
        <v>3.2406159288082783</v>
      </c>
    </row>
    <row r="6772" spans="40:42" x14ac:dyDescent="0.3">
      <c r="AN6772">
        <v>6768</v>
      </c>
      <c r="AO6772" s="11">
        <v>27752.25</v>
      </c>
      <c r="AP6772" s="9">
        <v>3.1087213233596303</v>
      </c>
    </row>
    <row r="6773" spans="40:42" x14ac:dyDescent="0.3">
      <c r="AN6773">
        <v>6769</v>
      </c>
      <c r="AO6773" s="11">
        <v>22953.13</v>
      </c>
      <c r="AP6773" s="9">
        <v>3.0639721148711039</v>
      </c>
    </row>
    <row r="6774" spans="40:42" x14ac:dyDescent="0.3">
      <c r="AN6774">
        <v>6770</v>
      </c>
      <c r="AO6774" s="11">
        <v>27481.86</v>
      </c>
      <c r="AP6774" s="9">
        <v>3.2546859441162583</v>
      </c>
    </row>
    <row r="6775" spans="40:42" x14ac:dyDescent="0.3">
      <c r="AN6775">
        <v>6771</v>
      </c>
      <c r="AO6775" s="11">
        <v>21042.61</v>
      </c>
      <c r="AP6775" s="9">
        <v>3.4769362543504103</v>
      </c>
    </row>
    <row r="6776" spans="40:42" x14ac:dyDescent="0.3">
      <c r="AN6776">
        <v>6772</v>
      </c>
      <c r="AO6776" s="11">
        <v>32428.82</v>
      </c>
      <c r="AP6776" s="9">
        <v>3.0888770578661173</v>
      </c>
    </row>
    <row r="6777" spans="40:42" x14ac:dyDescent="0.3">
      <c r="AN6777">
        <v>6773</v>
      </c>
      <c r="AO6777" s="11">
        <v>23763.89</v>
      </c>
      <c r="AP6777" s="9">
        <v>2.8050552821036447</v>
      </c>
    </row>
    <row r="6778" spans="40:42" x14ac:dyDescent="0.3">
      <c r="AN6778">
        <v>6774</v>
      </c>
      <c r="AO6778" s="11">
        <v>24026.74</v>
      </c>
      <c r="AP6778" s="9">
        <v>3.9314939365733399</v>
      </c>
    </row>
    <row r="6779" spans="40:42" x14ac:dyDescent="0.3">
      <c r="AN6779">
        <v>6775</v>
      </c>
      <c r="AO6779" s="11">
        <v>15152.79</v>
      </c>
      <c r="AP6779" s="9">
        <v>2.7282580733792083</v>
      </c>
    </row>
    <row r="6780" spans="40:42" x14ac:dyDescent="0.3">
      <c r="AN6780">
        <v>6776</v>
      </c>
      <c r="AO6780" s="11">
        <v>44441.45</v>
      </c>
      <c r="AP6780" s="9">
        <v>3.5714553893069994</v>
      </c>
    </row>
    <row r="6781" spans="40:42" x14ac:dyDescent="0.3">
      <c r="AN6781">
        <v>6777</v>
      </c>
      <c r="AO6781" s="11">
        <v>23437.77</v>
      </c>
      <c r="AP6781" s="9">
        <v>3.6443679688561752</v>
      </c>
    </row>
    <row r="6782" spans="40:42" x14ac:dyDescent="0.3">
      <c r="AN6782">
        <v>6778</v>
      </c>
      <c r="AO6782" s="11">
        <v>29301.77</v>
      </c>
      <c r="AP6782" s="9">
        <v>3.5517937617558095</v>
      </c>
    </row>
    <row r="6783" spans="40:42" x14ac:dyDescent="0.3">
      <c r="AN6783">
        <v>6779</v>
      </c>
      <c r="AO6783" s="11">
        <v>37755.24</v>
      </c>
      <c r="AP6783" s="9">
        <v>3.7703930895083038</v>
      </c>
    </row>
    <row r="6784" spans="40:42" x14ac:dyDescent="0.3">
      <c r="AN6784">
        <v>6780</v>
      </c>
      <c r="AO6784" s="11">
        <v>16981.650000000001</v>
      </c>
      <c r="AP6784" s="9">
        <v>3.2602259631437511</v>
      </c>
    </row>
    <row r="6785" spans="40:42" x14ac:dyDescent="0.3">
      <c r="AN6785">
        <v>6781</v>
      </c>
      <c r="AO6785" s="11">
        <v>32833.64</v>
      </c>
      <c r="AP6785" s="9">
        <v>3.5262132903146974</v>
      </c>
    </row>
    <row r="6786" spans="40:42" x14ac:dyDescent="0.3">
      <c r="AN6786">
        <v>6782</v>
      </c>
      <c r="AO6786" s="11">
        <v>16830.11</v>
      </c>
      <c r="AP6786" s="9">
        <v>3.1071169233859242</v>
      </c>
    </row>
    <row r="6787" spans="40:42" x14ac:dyDescent="0.3">
      <c r="AN6787">
        <v>6783</v>
      </c>
      <c r="AO6787" s="11">
        <v>29466.18</v>
      </c>
      <c r="AP6787" s="9">
        <v>3.3941677080114063</v>
      </c>
    </row>
    <row r="6788" spans="40:42" x14ac:dyDescent="0.3">
      <c r="AN6788">
        <v>6784</v>
      </c>
      <c r="AO6788" s="11">
        <v>37326.36</v>
      </c>
      <c r="AP6788" s="9">
        <v>3.8975664990511154</v>
      </c>
    </row>
    <row r="6789" spans="40:42" x14ac:dyDescent="0.3">
      <c r="AN6789">
        <v>6785</v>
      </c>
      <c r="AO6789" s="11">
        <v>31279.18</v>
      </c>
      <c r="AP6789" s="9">
        <v>3.4199157063661669</v>
      </c>
    </row>
    <row r="6790" spans="40:42" x14ac:dyDescent="0.3">
      <c r="AN6790">
        <v>6786</v>
      </c>
      <c r="AO6790" s="11">
        <v>17734.23</v>
      </c>
      <c r="AP6790" s="9">
        <v>3.1277298706787953</v>
      </c>
    </row>
    <row r="6791" spans="40:42" x14ac:dyDescent="0.3">
      <c r="AN6791">
        <v>6787</v>
      </c>
      <c r="AO6791" s="11">
        <v>17600.490000000002</v>
      </c>
      <c r="AP6791" s="9">
        <v>3.3767253928014389</v>
      </c>
    </row>
    <row r="6792" spans="40:42" x14ac:dyDescent="0.3">
      <c r="AN6792">
        <v>6788</v>
      </c>
      <c r="AO6792" s="11">
        <v>38051.35</v>
      </c>
      <c r="AP6792" s="9">
        <v>3.4185364742785285</v>
      </c>
    </row>
    <row r="6793" spans="40:42" x14ac:dyDescent="0.3">
      <c r="AN6793">
        <v>6789</v>
      </c>
      <c r="AO6793" s="11">
        <v>17853.52</v>
      </c>
      <c r="AP6793" s="9">
        <v>2.7092025420942165</v>
      </c>
    </row>
    <row r="6794" spans="40:42" x14ac:dyDescent="0.3">
      <c r="AN6794">
        <v>6790</v>
      </c>
      <c r="AO6794" s="11">
        <v>30206.76</v>
      </c>
      <c r="AP6794" s="9">
        <v>3.7243840826561811</v>
      </c>
    </row>
    <row r="6795" spans="40:42" x14ac:dyDescent="0.3">
      <c r="AN6795">
        <v>6791</v>
      </c>
      <c r="AO6795" s="11">
        <v>15636.04</v>
      </c>
      <c r="AP6795" s="9">
        <v>3.1192014980023965</v>
      </c>
    </row>
    <row r="6796" spans="40:42" x14ac:dyDescent="0.3">
      <c r="AN6796">
        <v>6792</v>
      </c>
      <c r="AO6796" s="11">
        <v>23349.72</v>
      </c>
      <c r="AP6796" s="9">
        <v>3.0867760137935156</v>
      </c>
    </row>
    <row r="6797" spans="40:42" x14ac:dyDescent="0.3">
      <c r="AN6797">
        <v>6793</v>
      </c>
      <c r="AO6797" s="11">
        <v>31447.69</v>
      </c>
      <c r="AP6797" s="9">
        <v>3.86081495574888</v>
      </c>
    </row>
    <row r="6798" spans="40:42" x14ac:dyDescent="0.3">
      <c r="AN6798">
        <v>6794</v>
      </c>
      <c r="AO6798" s="11">
        <v>19344.22</v>
      </c>
      <c r="AP6798" s="9">
        <v>3.8386688150049926</v>
      </c>
    </row>
    <row r="6799" spans="40:42" x14ac:dyDescent="0.3">
      <c r="AN6799">
        <v>6795</v>
      </c>
      <c r="AO6799" s="11">
        <v>37192.550000000003</v>
      </c>
      <c r="AP6799" s="9">
        <v>3.1302519601017225</v>
      </c>
    </row>
    <row r="6800" spans="40:42" x14ac:dyDescent="0.3">
      <c r="AN6800">
        <v>6796</v>
      </c>
      <c r="AO6800" s="11">
        <v>25647.18</v>
      </c>
      <c r="AP6800" s="9">
        <v>3.929782955430845</v>
      </c>
    </row>
    <row r="6801" spans="40:42" x14ac:dyDescent="0.3">
      <c r="AN6801">
        <v>6797</v>
      </c>
      <c r="AO6801" s="11">
        <v>22416.41</v>
      </c>
      <c r="AP6801" s="9">
        <v>3.1420338499840712</v>
      </c>
    </row>
    <row r="6802" spans="40:42" x14ac:dyDescent="0.3">
      <c r="AN6802">
        <v>6798</v>
      </c>
      <c r="AO6802" s="11">
        <v>15132.78</v>
      </c>
      <c r="AP6802" s="9">
        <v>3.3482251704428432</v>
      </c>
    </row>
    <row r="6803" spans="40:42" x14ac:dyDescent="0.3">
      <c r="AN6803">
        <v>6799</v>
      </c>
      <c r="AO6803" s="11">
        <v>32137.48</v>
      </c>
      <c r="AP6803" s="9">
        <v>3.2168243811101722</v>
      </c>
    </row>
    <row r="6804" spans="40:42" x14ac:dyDescent="0.3">
      <c r="AN6804">
        <v>6800</v>
      </c>
      <c r="AO6804" s="11">
        <v>27701.3</v>
      </c>
      <c r="AP6804" s="9">
        <v>3.4778269566160986</v>
      </c>
    </row>
    <row r="6805" spans="40:42" x14ac:dyDescent="0.3">
      <c r="AN6805">
        <v>6801</v>
      </c>
      <c r="AO6805" s="11">
        <v>24380.21</v>
      </c>
      <c r="AP6805" s="9">
        <v>3.3616906446574268</v>
      </c>
    </row>
    <row r="6806" spans="40:42" x14ac:dyDescent="0.3">
      <c r="AN6806">
        <v>6802</v>
      </c>
      <c r="AO6806" s="11">
        <v>31346.73</v>
      </c>
      <c r="AP6806" s="9">
        <v>3.6686204654539014</v>
      </c>
    </row>
    <row r="6807" spans="40:42" x14ac:dyDescent="0.3">
      <c r="AN6807">
        <v>6803</v>
      </c>
      <c r="AO6807" s="11">
        <v>22979.1</v>
      </c>
      <c r="AP6807" s="9">
        <v>3.5846814621148275</v>
      </c>
    </row>
    <row r="6808" spans="40:42" x14ac:dyDescent="0.3">
      <c r="AN6808">
        <v>6804</v>
      </c>
      <c r="AO6808" s="11">
        <v>28867.08</v>
      </c>
      <c r="AP6808" s="9">
        <v>3.5189290350118498</v>
      </c>
    </row>
    <row r="6809" spans="40:42" x14ac:dyDescent="0.3">
      <c r="AN6809">
        <v>6805</v>
      </c>
      <c r="AO6809" s="11">
        <v>31346.09</v>
      </c>
      <c r="AP6809" s="9">
        <v>3.3480917436018149</v>
      </c>
    </row>
    <row r="6810" spans="40:42" x14ac:dyDescent="0.3">
      <c r="AN6810">
        <v>6806</v>
      </c>
      <c r="AO6810" s="11">
        <v>33477.14</v>
      </c>
      <c r="AP6810" s="9">
        <v>3.4514796633926768</v>
      </c>
    </row>
    <row r="6811" spans="40:42" x14ac:dyDescent="0.3">
      <c r="AN6811">
        <v>6807</v>
      </c>
      <c r="AO6811" s="11">
        <v>23514.9</v>
      </c>
      <c r="AP6811" s="9">
        <v>3.9780166999806577</v>
      </c>
    </row>
    <row r="6812" spans="40:42" x14ac:dyDescent="0.3">
      <c r="AN6812">
        <v>6808</v>
      </c>
      <c r="AO6812" s="11">
        <v>32304.77</v>
      </c>
      <c r="AP6812" s="9">
        <v>3.8816544876791581</v>
      </c>
    </row>
    <row r="6813" spans="40:42" x14ac:dyDescent="0.3">
      <c r="AN6813">
        <v>6809</v>
      </c>
      <c r="AO6813" s="11">
        <v>26465.67</v>
      </c>
      <c r="AP6813" s="9">
        <v>3.559772996419365</v>
      </c>
    </row>
    <row r="6814" spans="40:42" x14ac:dyDescent="0.3">
      <c r="AN6814">
        <v>6810</v>
      </c>
      <c r="AO6814" s="11">
        <v>34063.46</v>
      </c>
      <c r="AP6814" s="9">
        <v>3.3735535257251819</v>
      </c>
    </row>
    <row r="6815" spans="40:42" x14ac:dyDescent="0.3">
      <c r="AN6815">
        <v>6811</v>
      </c>
      <c r="AO6815" s="11">
        <v>27101.4</v>
      </c>
      <c r="AP6815" s="9">
        <v>3.3869036371663195</v>
      </c>
    </row>
    <row r="6816" spans="40:42" x14ac:dyDescent="0.3">
      <c r="AN6816">
        <v>6812</v>
      </c>
      <c r="AO6816" s="11">
        <v>43283.59</v>
      </c>
      <c r="AP6816" s="9">
        <v>3.6788850924303005</v>
      </c>
    </row>
    <row r="6817" spans="40:42" x14ac:dyDescent="0.3">
      <c r="AN6817">
        <v>6813</v>
      </c>
      <c r="AO6817" s="11">
        <v>37564.86</v>
      </c>
      <c r="AP6817" s="9">
        <v>3.7374149335376812</v>
      </c>
    </row>
    <row r="6818" spans="40:42" x14ac:dyDescent="0.3">
      <c r="AN6818">
        <v>6814</v>
      </c>
      <c r="AO6818" s="11">
        <v>25542.02</v>
      </c>
      <c r="AP6818" s="9">
        <v>2.8915614119814088</v>
      </c>
    </row>
    <row r="6819" spans="40:42" x14ac:dyDescent="0.3">
      <c r="AN6819">
        <v>6815</v>
      </c>
      <c r="AO6819" s="11">
        <v>30610.85</v>
      </c>
      <c r="AP6819" s="9">
        <v>4.0949813277812375</v>
      </c>
    </row>
    <row r="6820" spans="40:42" x14ac:dyDescent="0.3">
      <c r="AN6820">
        <v>6816</v>
      </c>
      <c r="AO6820" s="11">
        <v>44121.21</v>
      </c>
      <c r="AP6820" s="9">
        <v>3.7760643785448238</v>
      </c>
    </row>
    <row r="6821" spans="40:42" x14ac:dyDescent="0.3">
      <c r="AN6821">
        <v>6817</v>
      </c>
      <c r="AO6821" s="11">
        <v>43328.3</v>
      </c>
      <c r="AP6821" s="9">
        <v>3.7393671245906255</v>
      </c>
    </row>
    <row r="6822" spans="40:42" x14ac:dyDescent="0.3">
      <c r="AN6822">
        <v>6818</v>
      </c>
      <c r="AO6822" s="11">
        <v>35606.82</v>
      </c>
      <c r="AP6822" s="9">
        <v>3.3754833269868461</v>
      </c>
    </row>
    <row r="6823" spans="40:42" x14ac:dyDescent="0.3">
      <c r="AN6823">
        <v>6819</v>
      </c>
      <c r="AO6823" s="11">
        <v>41243.51</v>
      </c>
      <c r="AP6823" s="9">
        <v>3.892033493394532</v>
      </c>
    </row>
    <row r="6824" spans="40:42" x14ac:dyDescent="0.3">
      <c r="AN6824">
        <v>6820</v>
      </c>
      <c r="AO6824" s="11">
        <v>38131.800000000003</v>
      </c>
      <c r="AP6824" s="9">
        <v>3.6211944497492725</v>
      </c>
    </row>
    <row r="6825" spans="40:42" x14ac:dyDescent="0.3">
      <c r="AN6825">
        <v>6821</v>
      </c>
      <c r="AO6825" s="11">
        <v>32361.919999999998</v>
      </c>
      <c r="AP6825" s="9">
        <v>3.4042199498649319</v>
      </c>
    </row>
    <row r="6826" spans="40:42" x14ac:dyDescent="0.3">
      <c r="AN6826">
        <v>6822</v>
      </c>
      <c r="AO6826" s="11">
        <v>14453.12</v>
      </c>
      <c r="AP6826" s="9">
        <v>2.8798756051314331</v>
      </c>
    </row>
    <row r="6827" spans="40:42" x14ac:dyDescent="0.3">
      <c r="AN6827">
        <v>6823</v>
      </c>
      <c r="AO6827" s="11">
        <v>26985.68</v>
      </c>
      <c r="AP6827" s="9">
        <v>3.2520565518598086</v>
      </c>
    </row>
    <row r="6828" spans="40:42" x14ac:dyDescent="0.3">
      <c r="AN6828">
        <v>6824</v>
      </c>
      <c r="AO6828" s="11">
        <v>34742.379999999997</v>
      </c>
      <c r="AP6828" s="9">
        <v>3.7638361309423858</v>
      </c>
    </row>
    <row r="6829" spans="40:42" x14ac:dyDescent="0.3">
      <c r="AN6829">
        <v>6825</v>
      </c>
      <c r="AO6829" s="11">
        <v>26080.31</v>
      </c>
      <c r="AP6829" s="9">
        <v>2.7395060547731718</v>
      </c>
    </row>
    <row r="6830" spans="40:42" x14ac:dyDescent="0.3">
      <c r="AN6830">
        <v>6826</v>
      </c>
      <c r="AO6830" s="11">
        <v>18772.21</v>
      </c>
      <c r="AP6830" s="9">
        <v>3.2028289486617543</v>
      </c>
    </row>
    <row r="6831" spans="40:42" x14ac:dyDescent="0.3">
      <c r="AN6831">
        <v>6827</v>
      </c>
      <c r="AO6831" s="11">
        <v>14790.61</v>
      </c>
      <c r="AP6831" s="9">
        <v>3.2524003786412963</v>
      </c>
    </row>
    <row r="6832" spans="40:42" x14ac:dyDescent="0.3">
      <c r="AN6832">
        <v>6828</v>
      </c>
      <c r="AO6832" s="11">
        <v>36048.89</v>
      </c>
      <c r="AP6832" s="9">
        <v>3.8362832040643453</v>
      </c>
    </row>
    <row r="6833" spans="40:42" x14ac:dyDescent="0.3">
      <c r="AN6833">
        <v>6829</v>
      </c>
      <c r="AO6833" s="11">
        <v>23793.9</v>
      </c>
      <c r="AP6833" s="9">
        <v>3.3131371025255936</v>
      </c>
    </row>
    <row r="6834" spans="40:42" x14ac:dyDescent="0.3">
      <c r="AN6834">
        <v>6830</v>
      </c>
      <c r="AO6834" s="11">
        <v>35014.5</v>
      </c>
      <c r="AP6834" s="9">
        <v>3.0099451485825046</v>
      </c>
    </row>
    <row r="6835" spans="40:42" x14ac:dyDescent="0.3">
      <c r="AN6835">
        <v>6831</v>
      </c>
      <c r="AO6835" s="11">
        <v>26122.5</v>
      </c>
      <c r="AP6835" s="9">
        <v>3.454316356481995</v>
      </c>
    </row>
    <row r="6836" spans="40:42" x14ac:dyDescent="0.3">
      <c r="AN6836">
        <v>6832</v>
      </c>
      <c r="AO6836" s="11">
        <v>26508.02</v>
      </c>
      <c r="AP6836" s="9">
        <v>3.0208056908613776</v>
      </c>
    </row>
    <row r="6837" spans="40:42" x14ac:dyDescent="0.3">
      <c r="AN6837">
        <v>6833</v>
      </c>
      <c r="AO6837" s="11">
        <v>23754.01</v>
      </c>
      <c r="AP6837" s="9">
        <v>3.4633870048346309</v>
      </c>
    </row>
    <row r="6838" spans="40:42" x14ac:dyDescent="0.3">
      <c r="AN6838">
        <v>6834</v>
      </c>
      <c r="AO6838" s="11">
        <v>38666.230000000003</v>
      </c>
      <c r="AP6838" s="9">
        <v>4.0469319378889024</v>
      </c>
    </row>
    <row r="6839" spans="40:42" x14ac:dyDescent="0.3">
      <c r="AN6839">
        <v>6835</v>
      </c>
      <c r="AO6839" s="11">
        <v>21382.02</v>
      </c>
      <c r="AP6839" s="9">
        <v>3.1486616308496251</v>
      </c>
    </row>
    <row r="6840" spans="40:42" x14ac:dyDescent="0.3">
      <c r="AN6840">
        <v>6836</v>
      </c>
      <c r="AO6840" s="11">
        <v>30902.97</v>
      </c>
      <c r="AP6840" s="9">
        <v>3.0119688319820259</v>
      </c>
    </row>
    <row r="6841" spans="40:42" x14ac:dyDescent="0.3">
      <c r="AN6841">
        <v>6837</v>
      </c>
      <c r="AO6841" s="11">
        <v>15889.05</v>
      </c>
      <c r="AP6841" s="9">
        <v>3.1071231896249119</v>
      </c>
    </row>
    <row r="6842" spans="40:42" x14ac:dyDescent="0.3">
      <c r="AN6842">
        <v>6838</v>
      </c>
      <c r="AO6842" s="11">
        <v>15842.67</v>
      </c>
      <c r="AP6842" s="9">
        <v>4.0919249096557975</v>
      </c>
    </row>
    <row r="6843" spans="40:42" x14ac:dyDescent="0.3">
      <c r="AN6843">
        <v>6839</v>
      </c>
      <c r="AO6843" s="11">
        <v>19894.91</v>
      </c>
      <c r="AP6843" s="9">
        <v>3.7568691266628282</v>
      </c>
    </row>
    <row r="6844" spans="40:42" x14ac:dyDescent="0.3">
      <c r="AN6844">
        <v>6840</v>
      </c>
      <c r="AO6844" s="11">
        <v>20646.599999999999</v>
      </c>
      <c r="AP6844" s="9">
        <v>3.3606663972351054</v>
      </c>
    </row>
    <row r="6845" spans="40:42" x14ac:dyDescent="0.3">
      <c r="AN6845">
        <v>6841</v>
      </c>
      <c r="AO6845" s="11">
        <v>35867.879999999997</v>
      </c>
      <c r="AP6845" s="9">
        <v>3.5135667811129454</v>
      </c>
    </row>
    <row r="6846" spans="40:42" x14ac:dyDescent="0.3">
      <c r="AN6846">
        <v>6842</v>
      </c>
      <c r="AO6846" s="11">
        <v>27299.65</v>
      </c>
      <c r="AP6846" s="9">
        <v>3.4567941091795391</v>
      </c>
    </row>
    <row r="6847" spans="40:42" x14ac:dyDescent="0.3">
      <c r="AN6847">
        <v>6843</v>
      </c>
      <c r="AO6847" s="11">
        <v>36495.480000000003</v>
      </c>
      <c r="AP6847" s="9">
        <v>4.6482060596988717</v>
      </c>
    </row>
    <row r="6848" spans="40:42" x14ac:dyDescent="0.3">
      <c r="AN6848">
        <v>6844</v>
      </c>
      <c r="AO6848" s="11">
        <v>23401.08</v>
      </c>
      <c r="AP6848" s="9">
        <v>3.0207504744174645</v>
      </c>
    </row>
    <row r="6849" spans="40:42" x14ac:dyDescent="0.3">
      <c r="AN6849">
        <v>6845</v>
      </c>
      <c r="AO6849" s="11">
        <v>30734.6</v>
      </c>
      <c r="AP6849" s="9">
        <v>3.517131595551565</v>
      </c>
    </row>
    <row r="6850" spans="40:42" x14ac:dyDescent="0.3">
      <c r="AN6850">
        <v>6846</v>
      </c>
      <c r="AO6850" s="11">
        <v>34593.46</v>
      </c>
      <c r="AP6850" s="9">
        <v>3.6475089171357795</v>
      </c>
    </row>
    <row r="6851" spans="40:42" x14ac:dyDescent="0.3">
      <c r="AN6851">
        <v>6847</v>
      </c>
      <c r="AO6851" s="11">
        <v>22210.01</v>
      </c>
      <c r="AP6851" s="9">
        <v>2.97953354780894</v>
      </c>
    </row>
    <row r="6852" spans="40:42" x14ac:dyDescent="0.3">
      <c r="AN6852">
        <v>6848</v>
      </c>
      <c r="AO6852" s="11">
        <v>22065.21</v>
      </c>
      <c r="AP6852" s="9">
        <v>3.0675782446404907</v>
      </c>
    </row>
    <row r="6853" spans="40:42" x14ac:dyDescent="0.3">
      <c r="AN6853">
        <v>6849</v>
      </c>
      <c r="AO6853" s="11">
        <v>25951.8</v>
      </c>
      <c r="AP6853" s="9">
        <v>3.7937985504176779</v>
      </c>
    </row>
    <row r="6854" spans="40:42" x14ac:dyDescent="0.3">
      <c r="AN6854">
        <v>6850</v>
      </c>
      <c r="AO6854" s="11">
        <v>20794.990000000002</v>
      </c>
      <c r="AP6854" s="9">
        <v>3.3691686134226768</v>
      </c>
    </row>
    <row r="6855" spans="40:42" x14ac:dyDescent="0.3">
      <c r="AN6855">
        <v>6851</v>
      </c>
      <c r="AO6855" s="11">
        <v>23336.79</v>
      </c>
      <c r="AP6855" s="9">
        <v>2.8786974773465466</v>
      </c>
    </row>
    <row r="6856" spans="40:42" x14ac:dyDescent="0.3">
      <c r="AN6856">
        <v>6852</v>
      </c>
      <c r="AO6856" s="11">
        <v>30326.9</v>
      </c>
      <c r="AP6856" s="9">
        <v>3.8124332225184259</v>
      </c>
    </row>
    <row r="6857" spans="40:42" x14ac:dyDescent="0.3">
      <c r="AN6857">
        <v>6853</v>
      </c>
      <c r="AO6857" s="11">
        <v>23490.31</v>
      </c>
      <c r="AP6857" s="9">
        <v>3.2099938294851227</v>
      </c>
    </row>
    <row r="6858" spans="40:42" x14ac:dyDescent="0.3">
      <c r="AN6858">
        <v>6854</v>
      </c>
      <c r="AO6858" s="11">
        <v>36816.980000000003</v>
      </c>
      <c r="AP6858" s="9">
        <v>3.4068988708672543</v>
      </c>
    </row>
    <row r="6859" spans="40:42" x14ac:dyDescent="0.3">
      <c r="AN6859">
        <v>6855</v>
      </c>
      <c r="AO6859" s="11">
        <v>25784.36</v>
      </c>
      <c r="AP6859" s="9">
        <v>3.5120468334273816</v>
      </c>
    </row>
    <row r="6860" spans="40:42" x14ac:dyDescent="0.3">
      <c r="AN6860">
        <v>6856</v>
      </c>
      <c r="AO6860" s="11">
        <v>24845.3</v>
      </c>
      <c r="AP6860" s="9">
        <v>3.6863904207888485</v>
      </c>
    </row>
    <row r="6861" spans="40:42" x14ac:dyDescent="0.3">
      <c r="AN6861">
        <v>6857</v>
      </c>
      <c r="AO6861" s="11">
        <v>25168.15</v>
      </c>
      <c r="AP6861" s="9">
        <v>3.1246926637703045</v>
      </c>
    </row>
    <row r="6862" spans="40:42" x14ac:dyDescent="0.3">
      <c r="AN6862">
        <v>6858</v>
      </c>
      <c r="AO6862" s="11">
        <v>28222.19</v>
      </c>
      <c r="AP6862" s="9">
        <v>3.7055114928563331</v>
      </c>
    </row>
    <row r="6863" spans="40:42" x14ac:dyDescent="0.3">
      <c r="AN6863">
        <v>6859</v>
      </c>
      <c r="AO6863" s="11">
        <v>22820.6</v>
      </c>
      <c r="AP6863" s="9">
        <v>3.9731297513812329</v>
      </c>
    </row>
    <row r="6864" spans="40:42" x14ac:dyDescent="0.3">
      <c r="AN6864">
        <v>6860</v>
      </c>
      <c r="AO6864" s="11">
        <v>29045.46</v>
      </c>
      <c r="AP6864" s="9">
        <v>4.1404602154514292</v>
      </c>
    </row>
    <row r="6865" spans="40:42" x14ac:dyDescent="0.3">
      <c r="AN6865">
        <v>6861</v>
      </c>
      <c r="AO6865" s="11">
        <v>24513.65</v>
      </c>
      <c r="AP6865" s="9">
        <v>3.8006103768352193</v>
      </c>
    </row>
    <row r="6866" spans="40:42" x14ac:dyDescent="0.3">
      <c r="AN6866">
        <v>6862</v>
      </c>
      <c r="AO6866" s="11">
        <v>24314.97</v>
      </c>
      <c r="AP6866" s="9">
        <v>3.5392756068747802</v>
      </c>
    </row>
    <row r="6867" spans="40:42" x14ac:dyDescent="0.3">
      <c r="AN6867">
        <v>6863</v>
      </c>
      <c r="AO6867" s="11">
        <v>35393.660000000003</v>
      </c>
      <c r="AP6867" s="9">
        <v>3.4624405220393699</v>
      </c>
    </row>
    <row r="6868" spans="40:42" x14ac:dyDescent="0.3">
      <c r="AN6868">
        <v>6864</v>
      </c>
      <c r="AO6868" s="11">
        <v>34585.25</v>
      </c>
      <c r="AP6868" s="9">
        <v>3.3299276047615192</v>
      </c>
    </row>
    <row r="6869" spans="40:42" x14ac:dyDescent="0.3">
      <c r="AN6869">
        <v>6865</v>
      </c>
      <c r="AO6869" s="11">
        <v>18633.66</v>
      </c>
      <c r="AP6869" s="9">
        <v>3.2474031844760356</v>
      </c>
    </row>
    <row r="6870" spans="40:42" x14ac:dyDescent="0.3">
      <c r="AN6870">
        <v>6866</v>
      </c>
      <c r="AO6870" s="11">
        <v>24776.12</v>
      </c>
      <c r="AP6870" s="9">
        <v>2.7991413079645948</v>
      </c>
    </row>
    <row r="6871" spans="40:42" x14ac:dyDescent="0.3">
      <c r="AN6871">
        <v>6867</v>
      </c>
      <c r="AO6871" s="11">
        <v>25150.400000000001</v>
      </c>
      <c r="AP6871" s="9">
        <v>3.2800058283007223</v>
      </c>
    </row>
    <row r="6872" spans="40:42" x14ac:dyDescent="0.3">
      <c r="AN6872">
        <v>6868</v>
      </c>
      <c r="AO6872" s="11">
        <v>38318.410000000003</v>
      </c>
      <c r="AP6872" s="9">
        <v>3.7793862731715504</v>
      </c>
    </row>
    <row r="6873" spans="40:42" x14ac:dyDescent="0.3">
      <c r="AN6873">
        <v>6869</v>
      </c>
      <c r="AO6873" s="11">
        <v>22678.11</v>
      </c>
      <c r="AP6873" s="9">
        <v>3.2373646830590332</v>
      </c>
    </row>
    <row r="6874" spans="40:42" x14ac:dyDescent="0.3">
      <c r="AN6874">
        <v>6870</v>
      </c>
      <c r="AO6874" s="11">
        <v>25822.66</v>
      </c>
      <c r="AP6874" s="9">
        <v>2.9125029503908633</v>
      </c>
    </row>
    <row r="6875" spans="40:42" x14ac:dyDescent="0.3">
      <c r="AN6875">
        <v>6871</v>
      </c>
      <c r="AO6875" s="11">
        <v>20571.21</v>
      </c>
      <c r="AP6875" s="9">
        <v>2.9664765329871003</v>
      </c>
    </row>
    <row r="6876" spans="40:42" x14ac:dyDescent="0.3">
      <c r="AN6876">
        <v>6872</v>
      </c>
      <c r="AO6876" s="11">
        <v>19697.560000000001</v>
      </c>
      <c r="AP6876" s="9">
        <v>3.0824828713683248</v>
      </c>
    </row>
    <row r="6877" spans="40:42" x14ac:dyDescent="0.3">
      <c r="AN6877">
        <v>6873</v>
      </c>
      <c r="AO6877" s="11">
        <v>39617.870000000003</v>
      </c>
      <c r="AP6877" s="9">
        <v>4.5413431453817719</v>
      </c>
    </row>
    <row r="6878" spans="40:42" x14ac:dyDescent="0.3">
      <c r="AN6878">
        <v>6874</v>
      </c>
      <c r="AO6878" s="11">
        <v>28148.48</v>
      </c>
      <c r="AP6878" s="9">
        <v>3.3539296228961835</v>
      </c>
    </row>
    <row r="6879" spans="40:42" x14ac:dyDescent="0.3">
      <c r="AN6879">
        <v>6875</v>
      </c>
      <c r="AO6879" s="11">
        <v>18490.34</v>
      </c>
      <c r="AP6879" s="9">
        <v>2.8205156359643691</v>
      </c>
    </row>
    <row r="6880" spans="40:42" x14ac:dyDescent="0.3">
      <c r="AN6880">
        <v>6876</v>
      </c>
      <c r="AO6880" s="11">
        <v>16517.32</v>
      </c>
      <c r="AP6880" s="9">
        <v>3.2617297120318951</v>
      </c>
    </row>
    <row r="6881" spans="40:42" x14ac:dyDescent="0.3">
      <c r="AN6881">
        <v>6877</v>
      </c>
      <c r="AO6881" s="11">
        <v>32571.41</v>
      </c>
      <c r="AP6881" s="9">
        <v>3.6848274206169682</v>
      </c>
    </row>
    <row r="6882" spans="40:42" x14ac:dyDescent="0.3">
      <c r="AN6882">
        <v>6878</v>
      </c>
      <c r="AO6882" s="11">
        <v>28647.68</v>
      </c>
      <c r="AP6882" s="9">
        <v>3.5333035152173555</v>
      </c>
    </row>
    <row r="6883" spans="40:42" x14ac:dyDescent="0.3">
      <c r="AN6883">
        <v>6879</v>
      </c>
      <c r="AO6883" s="11">
        <v>32119.82</v>
      </c>
      <c r="AP6883" s="9">
        <v>4.243527610623218</v>
      </c>
    </row>
    <row r="6884" spans="40:42" x14ac:dyDescent="0.3">
      <c r="AN6884">
        <v>6880</v>
      </c>
      <c r="AO6884" s="11">
        <v>17447.48</v>
      </c>
      <c r="AP6884" s="9">
        <v>3.1749517438075912</v>
      </c>
    </row>
    <row r="6885" spans="40:42" x14ac:dyDescent="0.3">
      <c r="AN6885">
        <v>6881</v>
      </c>
      <c r="AO6885" s="11">
        <v>19405.009999999998</v>
      </c>
      <c r="AP6885" s="9">
        <v>3.4683253650435</v>
      </c>
    </row>
    <row r="6886" spans="40:42" x14ac:dyDescent="0.3">
      <c r="AN6886">
        <v>6882</v>
      </c>
      <c r="AO6886" s="11">
        <v>23238.73</v>
      </c>
      <c r="AP6886" s="9">
        <v>3.7235477745045964</v>
      </c>
    </row>
    <row r="6887" spans="40:42" x14ac:dyDescent="0.3">
      <c r="AN6887">
        <v>6883</v>
      </c>
      <c r="AO6887" s="11">
        <v>32856.22</v>
      </c>
      <c r="AP6887" s="9">
        <v>3.4175229148281661</v>
      </c>
    </row>
    <row r="6888" spans="40:42" x14ac:dyDescent="0.3">
      <c r="AN6888">
        <v>6884</v>
      </c>
      <c r="AO6888" s="11">
        <v>24775.49</v>
      </c>
      <c r="AP6888" s="9">
        <v>3.1099889534512593</v>
      </c>
    </row>
    <row r="6889" spans="40:42" x14ac:dyDescent="0.3">
      <c r="AN6889">
        <v>6885</v>
      </c>
      <c r="AO6889" s="11">
        <v>30308.36</v>
      </c>
      <c r="AP6889" s="9">
        <v>3.339758361540202</v>
      </c>
    </row>
    <row r="6890" spans="40:42" x14ac:dyDescent="0.3">
      <c r="AN6890">
        <v>6886</v>
      </c>
      <c r="AO6890" s="11">
        <v>19874.79</v>
      </c>
      <c r="AP6890" s="9">
        <v>3.1262718581266582</v>
      </c>
    </row>
    <row r="6891" spans="40:42" x14ac:dyDescent="0.3">
      <c r="AN6891">
        <v>6887</v>
      </c>
      <c r="AO6891" s="11">
        <v>20691.98</v>
      </c>
      <c r="AP6891" s="9">
        <v>3.4078511356658039</v>
      </c>
    </row>
    <row r="6892" spans="40:42" x14ac:dyDescent="0.3">
      <c r="AN6892">
        <v>6888</v>
      </c>
      <c r="AO6892" s="11">
        <v>26460.09</v>
      </c>
      <c r="AP6892" s="9">
        <v>3.4212702247317597</v>
      </c>
    </row>
    <row r="6893" spans="40:42" x14ac:dyDescent="0.3">
      <c r="AN6893">
        <v>6889</v>
      </c>
      <c r="AO6893" s="11">
        <v>19858.41</v>
      </c>
      <c r="AP6893" s="9">
        <v>2.8289441686659549</v>
      </c>
    </row>
    <row r="6894" spans="40:42" x14ac:dyDescent="0.3">
      <c r="AN6894">
        <v>6890</v>
      </c>
      <c r="AO6894" s="11">
        <v>14709.57</v>
      </c>
      <c r="AP6894" s="9">
        <v>3.6218906618509985</v>
      </c>
    </row>
    <row r="6895" spans="40:42" x14ac:dyDescent="0.3">
      <c r="AN6895">
        <v>6891</v>
      </c>
      <c r="AO6895" s="11">
        <v>26843.38</v>
      </c>
      <c r="AP6895" s="9">
        <v>3.0144481574980859</v>
      </c>
    </row>
    <row r="6896" spans="40:42" x14ac:dyDescent="0.3">
      <c r="AN6896">
        <v>6892</v>
      </c>
      <c r="AO6896" s="11">
        <v>31784.23</v>
      </c>
      <c r="AP6896" s="9">
        <v>3.4437979565735843</v>
      </c>
    </row>
    <row r="6897" spans="40:42" x14ac:dyDescent="0.3">
      <c r="AN6897">
        <v>6893</v>
      </c>
      <c r="AO6897" s="11">
        <v>19275.66</v>
      </c>
      <c r="AP6897" s="9">
        <v>3.4308390254663017</v>
      </c>
    </row>
    <row r="6898" spans="40:42" x14ac:dyDescent="0.3">
      <c r="AN6898">
        <v>6894</v>
      </c>
      <c r="AO6898" s="11">
        <v>27732.23</v>
      </c>
      <c r="AP6898" s="9">
        <v>3.343067137810761</v>
      </c>
    </row>
    <row r="6899" spans="40:42" x14ac:dyDescent="0.3">
      <c r="AN6899">
        <v>6895</v>
      </c>
      <c r="AO6899" s="11">
        <v>27621.65</v>
      </c>
      <c r="AP6899" s="9">
        <v>2.9446782620960099</v>
      </c>
    </row>
    <row r="6900" spans="40:42" x14ac:dyDescent="0.3">
      <c r="AN6900">
        <v>6896</v>
      </c>
      <c r="AO6900" s="11">
        <v>30204.99</v>
      </c>
      <c r="AP6900" s="9">
        <v>3.0562923832808924</v>
      </c>
    </row>
    <row r="6901" spans="40:42" x14ac:dyDescent="0.3">
      <c r="AN6901">
        <v>6897</v>
      </c>
      <c r="AO6901" s="11">
        <v>18166.29</v>
      </c>
      <c r="AP6901" s="9">
        <v>2.8290733143544462</v>
      </c>
    </row>
    <row r="6902" spans="40:42" x14ac:dyDescent="0.3">
      <c r="AN6902">
        <v>6898</v>
      </c>
      <c r="AO6902" s="11">
        <v>30154.98</v>
      </c>
      <c r="AP6902" s="9">
        <v>3.6701655825275141</v>
      </c>
    </row>
    <row r="6903" spans="40:42" x14ac:dyDescent="0.3">
      <c r="AN6903">
        <v>6899</v>
      </c>
      <c r="AO6903" s="11">
        <v>34990.120000000003</v>
      </c>
      <c r="AP6903" s="9">
        <v>3.8420947796868146</v>
      </c>
    </row>
    <row r="6904" spans="40:42" x14ac:dyDescent="0.3">
      <c r="AN6904">
        <v>6900</v>
      </c>
      <c r="AO6904" s="11">
        <v>25930.92</v>
      </c>
      <c r="AP6904" s="9">
        <v>3.1122717392861139</v>
      </c>
    </row>
    <row r="6905" spans="40:42" x14ac:dyDescent="0.3">
      <c r="AN6905">
        <v>6901</v>
      </c>
      <c r="AO6905" s="11">
        <v>23583.96</v>
      </c>
      <c r="AP6905" s="9">
        <v>2.917405360126633</v>
      </c>
    </row>
    <row r="6906" spans="40:42" x14ac:dyDescent="0.3">
      <c r="AN6906">
        <v>6902</v>
      </c>
      <c r="AO6906" s="11">
        <v>31118.89</v>
      </c>
      <c r="AP6906" s="9">
        <v>3.0449234901263846</v>
      </c>
    </row>
    <row r="6907" spans="40:42" x14ac:dyDescent="0.3">
      <c r="AN6907">
        <v>6903</v>
      </c>
      <c r="AO6907" s="11">
        <v>37910.15</v>
      </c>
      <c r="AP6907" s="9">
        <v>3.3785285495974477</v>
      </c>
    </row>
    <row r="6908" spans="40:42" x14ac:dyDescent="0.3">
      <c r="AN6908">
        <v>6904</v>
      </c>
      <c r="AO6908" s="11">
        <v>23514.880000000001</v>
      </c>
      <c r="AP6908" s="9">
        <v>3.0053392685022162</v>
      </c>
    </row>
    <row r="6909" spans="40:42" x14ac:dyDescent="0.3">
      <c r="AN6909">
        <v>6905</v>
      </c>
      <c r="AO6909" s="11">
        <v>26481.9</v>
      </c>
      <c r="AP6909" s="9">
        <v>3.1283965816496311</v>
      </c>
    </row>
    <row r="6910" spans="40:42" x14ac:dyDescent="0.3">
      <c r="AN6910">
        <v>6906</v>
      </c>
      <c r="AO6910" s="11">
        <v>40169.29</v>
      </c>
      <c r="AP6910" s="9">
        <v>3.8577938855131428</v>
      </c>
    </row>
    <row r="6911" spans="40:42" x14ac:dyDescent="0.3">
      <c r="AN6911">
        <v>6907</v>
      </c>
      <c r="AO6911" s="11">
        <v>26948.42</v>
      </c>
      <c r="AP6911" s="9">
        <v>3.1597163687981</v>
      </c>
    </row>
    <row r="6912" spans="40:42" x14ac:dyDescent="0.3">
      <c r="AN6912">
        <v>6908</v>
      </c>
      <c r="AO6912" s="11">
        <v>31884.18</v>
      </c>
      <c r="AP6912" s="9">
        <v>3.0488542554329894</v>
      </c>
    </row>
    <row r="6913" spans="40:42" x14ac:dyDescent="0.3">
      <c r="AN6913">
        <v>6909</v>
      </c>
      <c r="AO6913" s="11">
        <v>29117.73</v>
      </c>
      <c r="AP6913" s="9">
        <v>3.6675700814274395</v>
      </c>
    </row>
    <row r="6914" spans="40:42" x14ac:dyDescent="0.3">
      <c r="AN6914">
        <v>6910</v>
      </c>
      <c r="AO6914" s="11">
        <v>23814.94</v>
      </c>
      <c r="AP6914" s="9">
        <v>3.1554498428463216</v>
      </c>
    </row>
    <row r="6915" spans="40:42" x14ac:dyDescent="0.3">
      <c r="AN6915">
        <v>6911</v>
      </c>
      <c r="AO6915" s="11">
        <v>40515.160000000003</v>
      </c>
      <c r="AP6915" s="9">
        <v>4.2338806751223261</v>
      </c>
    </row>
    <row r="6916" spans="40:42" x14ac:dyDescent="0.3">
      <c r="AN6916">
        <v>6912</v>
      </c>
      <c r="AO6916" s="11">
        <v>39510.5</v>
      </c>
      <c r="AP6916" s="9">
        <v>4.0474863195090602</v>
      </c>
    </row>
    <row r="6917" spans="40:42" x14ac:dyDescent="0.3">
      <c r="AN6917">
        <v>6913</v>
      </c>
      <c r="AO6917" s="11">
        <v>30434.74</v>
      </c>
      <c r="AP6917" s="9">
        <v>3.3210383894817928</v>
      </c>
    </row>
    <row r="6918" spans="40:42" x14ac:dyDescent="0.3">
      <c r="AN6918">
        <v>6914</v>
      </c>
      <c r="AO6918" s="11">
        <v>30155.41</v>
      </c>
      <c r="AP6918" s="9">
        <v>3.997211336001135</v>
      </c>
    </row>
    <row r="6919" spans="40:42" x14ac:dyDescent="0.3">
      <c r="AN6919">
        <v>6915</v>
      </c>
      <c r="AO6919" s="11">
        <v>23962.6</v>
      </c>
      <c r="AP6919" s="9">
        <v>3.9701566969207143</v>
      </c>
    </row>
    <row r="6920" spans="40:42" x14ac:dyDescent="0.3">
      <c r="AN6920">
        <v>6916</v>
      </c>
      <c r="AO6920" s="11">
        <v>23932.880000000001</v>
      </c>
      <c r="AP6920" s="9">
        <v>3.2312240894018514</v>
      </c>
    </row>
    <row r="6921" spans="40:42" x14ac:dyDescent="0.3">
      <c r="AN6921">
        <v>6917</v>
      </c>
      <c r="AO6921" s="11">
        <v>29268.6</v>
      </c>
      <c r="AP6921" s="9">
        <v>3.7840982394775615</v>
      </c>
    </row>
    <row r="6922" spans="40:42" x14ac:dyDescent="0.3">
      <c r="AN6922">
        <v>6918</v>
      </c>
      <c r="AO6922" s="11">
        <v>27176.51</v>
      </c>
      <c r="AP6922" s="9">
        <v>3.5198149098013891</v>
      </c>
    </row>
    <row r="6923" spans="40:42" x14ac:dyDescent="0.3">
      <c r="AN6923">
        <v>6919</v>
      </c>
      <c r="AO6923" s="11">
        <v>20098.22</v>
      </c>
      <c r="AP6923" s="9">
        <v>3.9940183150886086</v>
      </c>
    </row>
    <row r="6924" spans="40:42" x14ac:dyDescent="0.3">
      <c r="AN6924">
        <v>6920</v>
      </c>
      <c r="AO6924" s="11">
        <v>24412.720000000001</v>
      </c>
      <c r="AP6924" s="9">
        <v>3.8172920782338413</v>
      </c>
    </row>
    <row r="6925" spans="40:42" x14ac:dyDescent="0.3">
      <c r="AN6925">
        <v>6921</v>
      </c>
      <c r="AO6925" s="11">
        <v>16801.46</v>
      </c>
      <c r="AP6925" s="9">
        <v>2.6082647330567958</v>
      </c>
    </row>
    <row r="6926" spans="40:42" x14ac:dyDescent="0.3">
      <c r="AN6926">
        <v>6922</v>
      </c>
      <c r="AO6926" s="11">
        <v>28267.200000000001</v>
      </c>
      <c r="AP6926" s="9">
        <v>3.5107681018102332</v>
      </c>
    </row>
    <row r="6927" spans="40:42" x14ac:dyDescent="0.3">
      <c r="AN6927">
        <v>6923</v>
      </c>
      <c r="AO6927" s="11">
        <v>23607.96</v>
      </c>
      <c r="AP6927" s="9">
        <v>3.2515971415990688</v>
      </c>
    </row>
    <row r="6928" spans="40:42" x14ac:dyDescent="0.3">
      <c r="AN6928">
        <v>6924</v>
      </c>
      <c r="AO6928" s="11">
        <v>21078.6</v>
      </c>
      <c r="AP6928" s="9">
        <v>2.8894650134184015</v>
      </c>
    </row>
    <row r="6929" spans="40:42" x14ac:dyDescent="0.3">
      <c r="AN6929">
        <v>6925</v>
      </c>
      <c r="AO6929" s="11">
        <v>25573.1</v>
      </c>
      <c r="AP6929" s="9">
        <v>3.3006813863939821</v>
      </c>
    </row>
    <row r="6930" spans="40:42" x14ac:dyDescent="0.3">
      <c r="AN6930">
        <v>6926</v>
      </c>
      <c r="AO6930" s="11">
        <v>18108.3</v>
      </c>
      <c r="AP6930" s="9">
        <v>3.2188156051195453</v>
      </c>
    </row>
    <row r="6931" spans="40:42" x14ac:dyDescent="0.3">
      <c r="AN6931">
        <v>6927</v>
      </c>
      <c r="AO6931" s="11">
        <v>20632.72</v>
      </c>
      <c r="AP6931" s="9">
        <v>2.9709016717089001</v>
      </c>
    </row>
    <row r="6932" spans="40:42" x14ac:dyDescent="0.3">
      <c r="AN6932">
        <v>6928</v>
      </c>
      <c r="AO6932" s="11">
        <v>22298.76</v>
      </c>
      <c r="AP6932" s="9">
        <v>3.5058211142042737</v>
      </c>
    </row>
    <row r="6933" spans="40:42" x14ac:dyDescent="0.3">
      <c r="AN6933">
        <v>6929</v>
      </c>
      <c r="AO6933" s="11">
        <v>24418.06</v>
      </c>
      <c r="AP6933" s="9">
        <v>3.1763085816108592</v>
      </c>
    </row>
    <row r="6934" spans="40:42" x14ac:dyDescent="0.3">
      <c r="AN6934">
        <v>6930</v>
      </c>
      <c r="AO6934" s="11">
        <v>20815.95</v>
      </c>
      <c r="AP6934" s="9">
        <v>2.8634290326949614</v>
      </c>
    </row>
    <row r="6935" spans="40:42" x14ac:dyDescent="0.3">
      <c r="AN6935">
        <v>6931</v>
      </c>
      <c r="AO6935" s="11">
        <v>32331.599999999999</v>
      </c>
      <c r="AP6935" s="9">
        <v>3.3757353816402684</v>
      </c>
    </row>
    <row r="6936" spans="40:42" x14ac:dyDescent="0.3">
      <c r="AN6936">
        <v>6932</v>
      </c>
      <c r="AO6936" s="11">
        <v>28653.98</v>
      </c>
      <c r="AP6936" s="9">
        <v>3.6728560917579633</v>
      </c>
    </row>
    <row r="6937" spans="40:42" x14ac:dyDescent="0.3">
      <c r="AN6937">
        <v>6933</v>
      </c>
      <c r="AO6937" s="11">
        <v>44002.87</v>
      </c>
      <c r="AP6937" s="9">
        <v>3.7729237463331056</v>
      </c>
    </row>
    <row r="6938" spans="40:42" x14ac:dyDescent="0.3">
      <c r="AN6938">
        <v>6934</v>
      </c>
      <c r="AO6938" s="11">
        <v>26600.36</v>
      </c>
      <c r="AP6938" s="9">
        <v>3.0819466376621483</v>
      </c>
    </row>
    <row r="6939" spans="40:42" x14ac:dyDescent="0.3">
      <c r="AN6939">
        <v>6935</v>
      </c>
      <c r="AO6939" s="11">
        <v>28285.83</v>
      </c>
      <c r="AP6939" s="9">
        <v>3.6553612786385905</v>
      </c>
    </row>
    <row r="6940" spans="40:42" x14ac:dyDescent="0.3">
      <c r="AN6940">
        <v>6936</v>
      </c>
      <c r="AO6940" s="11">
        <v>25987.39</v>
      </c>
      <c r="AP6940" s="9">
        <v>3.3477396091369416</v>
      </c>
    </row>
    <row r="6941" spans="40:42" x14ac:dyDescent="0.3">
      <c r="AN6941">
        <v>6937</v>
      </c>
      <c r="AO6941" s="11">
        <v>33076.58</v>
      </c>
      <c r="AP6941" s="9">
        <v>3.9873207682911027</v>
      </c>
    </row>
    <row r="6942" spans="40:42" x14ac:dyDescent="0.3">
      <c r="AN6942">
        <v>6938</v>
      </c>
      <c r="AO6942" s="11">
        <v>26287.48</v>
      </c>
      <c r="AP6942" s="9">
        <v>3.238609080004164</v>
      </c>
    </row>
    <row r="6943" spans="40:42" x14ac:dyDescent="0.3">
      <c r="AN6943">
        <v>6939</v>
      </c>
      <c r="AO6943" s="11">
        <v>26219.82</v>
      </c>
      <c r="AP6943" s="9">
        <v>3.435741367057016</v>
      </c>
    </row>
    <row r="6944" spans="40:42" x14ac:dyDescent="0.3">
      <c r="AN6944">
        <v>6940</v>
      </c>
      <c r="AO6944" s="11">
        <v>14907.9</v>
      </c>
      <c r="AP6944" s="9">
        <v>2.779395305821462</v>
      </c>
    </row>
    <row r="6945" spans="40:42" x14ac:dyDescent="0.3">
      <c r="AN6945">
        <v>6941</v>
      </c>
      <c r="AO6945" s="11">
        <v>29169.65</v>
      </c>
      <c r="AP6945" s="9">
        <v>3.2658434073011344</v>
      </c>
    </row>
    <row r="6946" spans="40:42" x14ac:dyDescent="0.3">
      <c r="AN6946">
        <v>6942</v>
      </c>
      <c r="AO6946" s="11">
        <v>36898.550000000003</v>
      </c>
      <c r="AP6946" s="9">
        <v>3.5733989761779767</v>
      </c>
    </row>
    <row r="6947" spans="40:42" x14ac:dyDescent="0.3">
      <c r="AN6947">
        <v>6943</v>
      </c>
      <c r="AO6947" s="11">
        <v>35460.949999999997</v>
      </c>
      <c r="AP6947" s="9">
        <v>3.4997533322010499</v>
      </c>
    </row>
    <row r="6948" spans="40:42" x14ac:dyDescent="0.3">
      <c r="AN6948">
        <v>6944</v>
      </c>
      <c r="AO6948" s="11">
        <v>36792.99</v>
      </c>
      <c r="AP6948" s="9">
        <v>3.5453490080407399</v>
      </c>
    </row>
    <row r="6949" spans="40:42" x14ac:dyDescent="0.3">
      <c r="AN6949">
        <v>6945</v>
      </c>
      <c r="AO6949" s="11">
        <v>18583.07</v>
      </c>
      <c r="AP6949" s="9">
        <v>3.3343089359780307</v>
      </c>
    </row>
    <row r="6950" spans="40:42" x14ac:dyDescent="0.3">
      <c r="AN6950">
        <v>6946</v>
      </c>
      <c r="AO6950" s="11">
        <v>22111.91</v>
      </c>
      <c r="AP6950" s="9">
        <v>3.0143995286506691</v>
      </c>
    </row>
    <row r="6951" spans="40:42" x14ac:dyDescent="0.3">
      <c r="AN6951">
        <v>6947</v>
      </c>
      <c r="AO6951" s="11">
        <v>23875.040000000001</v>
      </c>
      <c r="AP6951" s="9">
        <v>3.9110505724436782</v>
      </c>
    </row>
    <row r="6952" spans="40:42" x14ac:dyDescent="0.3">
      <c r="AN6952">
        <v>6948</v>
      </c>
      <c r="AO6952" s="11">
        <v>26415.48</v>
      </c>
      <c r="AP6952" s="9">
        <v>3.1119940210504686</v>
      </c>
    </row>
    <row r="6953" spans="40:42" x14ac:dyDescent="0.3">
      <c r="AN6953">
        <v>6949</v>
      </c>
      <c r="AO6953" s="11">
        <v>31875.37</v>
      </c>
      <c r="AP6953" s="9">
        <v>3.7782897511846389</v>
      </c>
    </row>
    <row r="6954" spans="40:42" x14ac:dyDescent="0.3">
      <c r="AN6954">
        <v>6950</v>
      </c>
      <c r="AO6954" s="11">
        <v>38537.46</v>
      </c>
      <c r="AP6954" s="9">
        <v>4.1442939393527496</v>
      </c>
    </row>
    <row r="6955" spans="40:42" x14ac:dyDescent="0.3">
      <c r="AN6955">
        <v>6951</v>
      </c>
      <c r="AO6955" s="11">
        <v>22074.84</v>
      </c>
      <c r="AP6955" s="9">
        <v>3.496351093136111</v>
      </c>
    </row>
    <row r="6956" spans="40:42" x14ac:dyDescent="0.3">
      <c r="AN6956">
        <v>6952</v>
      </c>
      <c r="AO6956" s="11">
        <v>28546.29</v>
      </c>
      <c r="AP6956" s="9">
        <v>3.3698967080993651</v>
      </c>
    </row>
    <row r="6957" spans="40:42" x14ac:dyDescent="0.3">
      <c r="AN6957">
        <v>6953</v>
      </c>
      <c r="AO6957" s="11">
        <v>25572.15</v>
      </c>
      <c r="AP6957" s="9">
        <v>3.5969956098139133</v>
      </c>
    </row>
    <row r="6958" spans="40:42" x14ac:dyDescent="0.3">
      <c r="AN6958">
        <v>6954</v>
      </c>
      <c r="AO6958" s="11">
        <v>22977.84</v>
      </c>
      <c r="AP6958" s="9">
        <v>3.7373705662546617</v>
      </c>
    </row>
    <row r="6959" spans="40:42" x14ac:dyDescent="0.3">
      <c r="AN6959">
        <v>6955</v>
      </c>
      <c r="AO6959" s="11">
        <v>29927.99</v>
      </c>
      <c r="AP6959" s="9">
        <v>3.6260561824012365</v>
      </c>
    </row>
    <row r="6960" spans="40:42" x14ac:dyDescent="0.3">
      <c r="AN6960">
        <v>6956</v>
      </c>
      <c r="AO6960" s="11">
        <v>29200</v>
      </c>
      <c r="AP6960" s="9">
        <v>3.4069061625721693</v>
      </c>
    </row>
    <row r="6961" spans="40:42" x14ac:dyDescent="0.3">
      <c r="AN6961">
        <v>6957</v>
      </c>
      <c r="AO6961" s="11">
        <v>18708.63</v>
      </c>
      <c r="AP6961" s="9">
        <v>3.1079586588127781</v>
      </c>
    </row>
    <row r="6962" spans="40:42" x14ac:dyDescent="0.3">
      <c r="AN6962">
        <v>6958</v>
      </c>
      <c r="AO6962" s="11">
        <v>21599.79</v>
      </c>
      <c r="AP6962" s="9">
        <v>3.6408010009093763</v>
      </c>
    </row>
    <row r="6963" spans="40:42" x14ac:dyDescent="0.3">
      <c r="AN6963">
        <v>6959</v>
      </c>
      <c r="AO6963" s="11">
        <v>28234.080000000002</v>
      </c>
      <c r="AP6963" s="9">
        <v>3.6280269048591061</v>
      </c>
    </row>
    <row r="6964" spans="40:42" x14ac:dyDescent="0.3">
      <c r="AN6964">
        <v>6960</v>
      </c>
      <c r="AO6964" s="11">
        <v>23739.57</v>
      </c>
      <c r="AP6964" s="9">
        <v>3.5396319024440293</v>
      </c>
    </row>
    <row r="6965" spans="40:42" x14ac:dyDescent="0.3">
      <c r="AN6965">
        <v>6961</v>
      </c>
      <c r="AO6965" s="11">
        <v>31636.73</v>
      </c>
      <c r="AP6965" s="9">
        <v>3.7080172885638825</v>
      </c>
    </row>
    <row r="6966" spans="40:42" x14ac:dyDescent="0.3">
      <c r="AN6966">
        <v>6962</v>
      </c>
      <c r="AO6966" s="11">
        <v>27644.62</v>
      </c>
      <c r="AP6966" s="9">
        <v>3.7670938247899097</v>
      </c>
    </row>
    <row r="6967" spans="40:42" x14ac:dyDescent="0.3">
      <c r="AN6967">
        <v>6963</v>
      </c>
      <c r="AO6967" s="11">
        <v>28033.49</v>
      </c>
      <c r="AP6967" s="9">
        <v>2.77187738414439</v>
      </c>
    </row>
    <row r="6968" spans="40:42" x14ac:dyDescent="0.3">
      <c r="AN6968">
        <v>6964</v>
      </c>
      <c r="AO6968" s="11">
        <v>29543.91</v>
      </c>
      <c r="AP6968" s="9">
        <v>2.9683749445839784</v>
      </c>
    </row>
    <row r="6969" spans="40:42" x14ac:dyDescent="0.3">
      <c r="AN6969">
        <v>6965</v>
      </c>
      <c r="AO6969" s="11">
        <v>29408.23</v>
      </c>
      <c r="AP6969" s="9">
        <v>2.6569826948760711</v>
      </c>
    </row>
    <row r="6970" spans="40:42" x14ac:dyDescent="0.3">
      <c r="AN6970">
        <v>6966</v>
      </c>
      <c r="AO6970" s="11">
        <v>19204.62</v>
      </c>
      <c r="AP6970" s="9">
        <v>2.9326760028715841</v>
      </c>
    </row>
    <row r="6971" spans="40:42" x14ac:dyDescent="0.3">
      <c r="AN6971">
        <v>6967</v>
      </c>
      <c r="AO6971" s="11">
        <v>27906.23</v>
      </c>
      <c r="AP6971" s="9">
        <v>3.2390339907640349</v>
      </c>
    </row>
    <row r="6972" spans="40:42" x14ac:dyDescent="0.3">
      <c r="AN6972">
        <v>6968</v>
      </c>
      <c r="AO6972" s="11">
        <v>24596.04</v>
      </c>
      <c r="AP6972" s="9">
        <v>3.1450951916779708</v>
      </c>
    </row>
    <row r="6973" spans="40:42" x14ac:dyDescent="0.3">
      <c r="AN6973">
        <v>6969</v>
      </c>
      <c r="AO6973" s="11">
        <v>22620.06</v>
      </c>
      <c r="AP6973" s="9">
        <v>3.0050229464696696</v>
      </c>
    </row>
    <row r="6974" spans="40:42" x14ac:dyDescent="0.3">
      <c r="AN6974">
        <v>6970</v>
      </c>
      <c r="AO6974" s="11">
        <v>20928.580000000002</v>
      </c>
      <c r="AP6974" s="9">
        <v>3.2755011837618571</v>
      </c>
    </row>
    <row r="6975" spans="40:42" x14ac:dyDescent="0.3">
      <c r="AN6975">
        <v>6971</v>
      </c>
      <c r="AO6975" s="11">
        <v>27971.17</v>
      </c>
      <c r="AP6975" s="9">
        <v>2.9014967118957879</v>
      </c>
    </row>
    <row r="6976" spans="40:42" x14ac:dyDescent="0.3">
      <c r="AN6976">
        <v>6972</v>
      </c>
      <c r="AO6976" s="11">
        <v>26067.58</v>
      </c>
      <c r="AP6976" s="9">
        <v>3.4086902745618395</v>
      </c>
    </row>
    <row r="6977" spans="40:42" x14ac:dyDescent="0.3">
      <c r="AN6977">
        <v>6973</v>
      </c>
      <c r="AO6977" s="11">
        <v>25705.200000000001</v>
      </c>
      <c r="AP6977" s="9">
        <v>3.0776613690491903</v>
      </c>
    </row>
    <row r="6978" spans="40:42" x14ac:dyDescent="0.3">
      <c r="AN6978">
        <v>6974</v>
      </c>
      <c r="AO6978" s="11">
        <v>25107.98</v>
      </c>
      <c r="AP6978" s="9">
        <v>3.2199686361178661</v>
      </c>
    </row>
    <row r="6979" spans="40:42" x14ac:dyDescent="0.3">
      <c r="AN6979">
        <v>6975</v>
      </c>
      <c r="AO6979" s="11">
        <v>40693.47</v>
      </c>
      <c r="AP6979" s="9">
        <v>3.9204401018131896</v>
      </c>
    </row>
    <row r="6980" spans="40:42" x14ac:dyDescent="0.3">
      <c r="AN6980">
        <v>6976</v>
      </c>
      <c r="AO6980" s="11">
        <v>37594.67</v>
      </c>
      <c r="AP6980" s="9">
        <v>3.439223871758978</v>
      </c>
    </row>
    <row r="6981" spans="40:42" x14ac:dyDescent="0.3">
      <c r="AN6981">
        <v>6977</v>
      </c>
      <c r="AO6981" s="11">
        <v>25711.49</v>
      </c>
      <c r="AP6981" s="9">
        <v>3.2752516184405596</v>
      </c>
    </row>
    <row r="6982" spans="40:42" x14ac:dyDescent="0.3">
      <c r="AN6982">
        <v>6978</v>
      </c>
      <c r="AO6982" s="11">
        <v>34196.379999999997</v>
      </c>
      <c r="AP6982" s="9">
        <v>3.6494104537637764</v>
      </c>
    </row>
    <row r="6983" spans="40:42" x14ac:dyDescent="0.3">
      <c r="AN6983">
        <v>6979</v>
      </c>
      <c r="AO6983" s="11">
        <v>24271.68</v>
      </c>
      <c r="AP6983" s="9">
        <v>3.604107075597073</v>
      </c>
    </row>
    <row r="6984" spans="40:42" x14ac:dyDescent="0.3">
      <c r="AN6984">
        <v>6980</v>
      </c>
      <c r="AO6984" s="11">
        <v>19616.52</v>
      </c>
      <c r="AP6984" s="9">
        <v>3.0807957848883842</v>
      </c>
    </row>
    <row r="6985" spans="40:42" x14ac:dyDescent="0.3">
      <c r="AN6985">
        <v>6981</v>
      </c>
      <c r="AO6985" s="11">
        <v>20004.689999999999</v>
      </c>
      <c r="AP6985" s="9">
        <v>3.7297442295648042</v>
      </c>
    </row>
    <row r="6986" spans="40:42" x14ac:dyDescent="0.3">
      <c r="AN6986">
        <v>6982</v>
      </c>
      <c r="AO6986" s="11">
        <v>25309.360000000001</v>
      </c>
      <c r="AP6986" s="9">
        <v>3.4843197756307553</v>
      </c>
    </row>
    <row r="6987" spans="40:42" x14ac:dyDescent="0.3">
      <c r="AN6987">
        <v>6983</v>
      </c>
      <c r="AO6987" s="11">
        <v>25379.7</v>
      </c>
      <c r="AP6987" s="9">
        <v>3.0795805997513011</v>
      </c>
    </row>
    <row r="6988" spans="40:42" x14ac:dyDescent="0.3">
      <c r="AN6988">
        <v>6984</v>
      </c>
      <c r="AO6988" s="11">
        <v>31692.12</v>
      </c>
      <c r="AP6988" s="9">
        <v>3.3962704311609393</v>
      </c>
    </row>
    <row r="6989" spans="40:42" x14ac:dyDescent="0.3">
      <c r="AN6989">
        <v>6985</v>
      </c>
      <c r="AO6989" s="11">
        <v>27929.65</v>
      </c>
      <c r="AP6989" s="9">
        <v>3.4463361440006475</v>
      </c>
    </row>
    <row r="6990" spans="40:42" x14ac:dyDescent="0.3">
      <c r="AN6990">
        <v>6986</v>
      </c>
      <c r="AO6990" s="11">
        <v>25829.84</v>
      </c>
      <c r="AP6990" s="9">
        <v>3.026889785911778</v>
      </c>
    </row>
    <row r="6991" spans="40:42" x14ac:dyDescent="0.3">
      <c r="AN6991">
        <v>6987</v>
      </c>
      <c r="AO6991" s="11">
        <v>13186.29</v>
      </c>
      <c r="AP6991" s="9">
        <v>3.1989996245582253</v>
      </c>
    </row>
    <row r="6992" spans="40:42" x14ac:dyDescent="0.3">
      <c r="AN6992">
        <v>6988</v>
      </c>
      <c r="AO6992" s="11">
        <v>24010.63</v>
      </c>
      <c r="AP6992" s="9">
        <v>3.6358106234108232</v>
      </c>
    </row>
    <row r="6993" spans="40:42" x14ac:dyDescent="0.3">
      <c r="AN6993">
        <v>6989</v>
      </c>
      <c r="AO6993" s="11">
        <v>22280.95</v>
      </c>
      <c r="AP6993" s="9">
        <v>3.8121271147439675</v>
      </c>
    </row>
    <row r="6994" spans="40:42" x14ac:dyDescent="0.3">
      <c r="AN6994">
        <v>6990</v>
      </c>
      <c r="AO6994" s="11">
        <v>33800.730000000003</v>
      </c>
      <c r="AP6994" s="9">
        <v>3.2178696443220058</v>
      </c>
    </row>
    <row r="6995" spans="40:42" x14ac:dyDescent="0.3">
      <c r="AN6995">
        <v>6991</v>
      </c>
      <c r="AO6995" s="11">
        <v>26956.97</v>
      </c>
      <c r="AP6995" s="9">
        <v>3.8968593744370481</v>
      </c>
    </row>
    <row r="6996" spans="40:42" x14ac:dyDescent="0.3">
      <c r="AN6996">
        <v>6992</v>
      </c>
      <c r="AO6996" s="11">
        <v>20803.48</v>
      </c>
      <c r="AP6996" s="9">
        <v>3.1121629931154642</v>
      </c>
    </row>
    <row r="6997" spans="40:42" x14ac:dyDescent="0.3">
      <c r="AN6997">
        <v>6993</v>
      </c>
      <c r="AO6997" s="11">
        <v>26606.22</v>
      </c>
      <c r="AP6997" s="9">
        <v>3.7289545165838955</v>
      </c>
    </row>
    <row r="6998" spans="40:42" x14ac:dyDescent="0.3">
      <c r="AN6998">
        <v>6994</v>
      </c>
      <c r="AO6998" s="11">
        <v>10925.81</v>
      </c>
      <c r="AP6998" s="9">
        <v>2.8036286552752339</v>
      </c>
    </row>
    <row r="6999" spans="40:42" x14ac:dyDescent="0.3">
      <c r="AN6999">
        <v>6995</v>
      </c>
      <c r="AO6999" s="11">
        <v>22690.92</v>
      </c>
      <c r="AP6999" s="9">
        <v>3.1775815465197201</v>
      </c>
    </row>
    <row r="7000" spans="40:42" x14ac:dyDescent="0.3">
      <c r="AN7000">
        <v>6996</v>
      </c>
      <c r="AO7000" s="11">
        <v>21295.02</v>
      </c>
      <c r="AP7000" s="9">
        <v>3.3264653397493853</v>
      </c>
    </row>
    <row r="7001" spans="40:42" x14ac:dyDescent="0.3">
      <c r="AN7001">
        <v>6997</v>
      </c>
      <c r="AO7001" s="11">
        <v>21548.62</v>
      </c>
      <c r="AP7001" s="9">
        <v>3.31725789722721</v>
      </c>
    </row>
    <row r="7002" spans="40:42" x14ac:dyDescent="0.3">
      <c r="AN7002">
        <v>6998</v>
      </c>
      <c r="AO7002" s="11">
        <v>18127.77</v>
      </c>
      <c r="AP7002" s="9">
        <v>2.9641451849354352</v>
      </c>
    </row>
    <row r="7003" spans="40:42" x14ac:dyDescent="0.3">
      <c r="AN7003">
        <v>6999</v>
      </c>
      <c r="AO7003" s="11">
        <v>21309.17</v>
      </c>
      <c r="AP7003" s="9">
        <v>3.45259994814504</v>
      </c>
    </row>
    <row r="7004" spans="40:42" x14ac:dyDescent="0.3">
      <c r="AN7004">
        <v>7000</v>
      </c>
      <c r="AO7004" s="11">
        <v>25524.35</v>
      </c>
      <c r="AP7004" s="9">
        <v>3.6300427564314615</v>
      </c>
    </row>
    <row r="7005" spans="40:42" x14ac:dyDescent="0.3">
      <c r="AN7005">
        <v>7001</v>
      </c>
      <c r="AO7005" s="11">
        <v>30145.61</v>
      </c>
      <c r="AP7005" s="9">
        <v>3.0882508050996704</v>
      </c>
    </row>
    <row r="7006" spans="40:42" x14ac:dyDescent="0.3">
      <c r="AN7006">
        <v>7002</v>
      </c>
      <c r="AO7006" s="11">
        <v>30186.39</v>
      </c>
      <c r="AP7006" s="9">
        <v>3.087330969701195</v>
      </c>
    </row>
    <row r="7007" spans="40:42" x14ac:dyDescent="0.3">
      <c r="AN7007">
        <v>7003</v>
      </c>
      <c r="AO7007" s="11">
        <v>31660.52</v>
      </c>
      <c r="AP7007" s="9">
        <v>3.9535962104473295</v>
      </c>
    </row>
    <row r="7008" spans="40:42" x14ac:dyDescent="0.3">
      <c r="AN7008">
        <v>7004</v>
      </c>
      <c r="AO7008" s="11">
        <v>33816.1</v>
      </c>
      <c r="AP7008" s="9">
        <v>3.2340999786761846</v>
      </c>
    </row>
    <row r="7009" spans="40:42" x14ac:dyDescent="0.3">
      <c r="AN7009">
        <v>7005</v>
      </c>
      <c r="AO7009" s="11">
        <v>34887.83</v>
      </c>
      <c r="AP7009" s="9">
        <v>3.6296384634879186</v>
      </c>
    </row>
    <row r="7010" spans="40:42" x14ac:dyDescent="0.3">
      <c r="AN7010">
        <v>7006</v>
      </c>
      <c r="AO7010" s="11">
        <v>25845.98</v>
      </c>
      <c r="AP7010" s="9">
        <v>3.4910506063227813</v>
      </c>
    </row>
    <row r="7011" spans="40:42" x14ac:dyDescent="0.3">
      <c r="AN7011">
        <v>7007</v>
      </c>
      <c r="AO7011" s="11">
        <v>50948.47</v>
      </c>
      <c r="AP7011" s="9">
        <v>4.2012810639964213</v>
      </c>
    </row>
    <row r="7012" spans="40:42" x14ac:dyDescent="0.3">
      <c r="AN7012">
        <v>7008</v>
      </c>
      <c r="AO7012" s="11">
        <v>28776.799999999999</v>
      </c>
      <c r="AP7012" s="9">
        <v>3.3787610209078589</v>
      </c>
    </row>
    <row r="7013" spans="40:42" x14ac:dyDescent="0.3">
      <c r="AN7013">
        <v>7009</v>
      </c>
      <c r="AO7013" s="11">
        <v>15247.33</v>
      </c>
      <c r="AP7013" s="9">
        <v>3.2180155779348114</v>
      </c>
    </row>
    <row r="7014" spans="40:42" x14ac:dyDescent="0.3">
      <c r="AN7014">
        <v>7010</v>
      </c>
      <c r="AO7014" s="11">
        <v>19271.07</v>
      </c>
      <c r="AP7014" s="9">
        <v>3.3262510345525289</v>
      </c>
    </row>
    <row r="7015" spans="40:42" x14ac:dyDescent="0.3">
      <c r="AN7015">
        <v>7011</v>
      </c>
      <c r="AO7015" s="11">
        <v>31849.82</v>
      </c>
      <c r="AP7015" s="9">
        <v>3.7776869485430251</v>
      </c>
    </row>
    <row r="7016" spans="40:42" x14ac:dyDescent="0.3">
      <c r="AN7016">
        <v>7012</v>
      </c>
      <c r="AO7016" s="11">
        <v>29181.17</v>
      </c>
      <c r="AP7016" s="9">
        <v>3.2775504352057325</v>
      </c>
    </row>
    <row r="7017" spans="40:42" x14ac:dyDescent="0.3">
      <c r="AN7017">
        <v>7013</v>
      </c>
      <c r="AO7017" s="11">
        <v>41319.74</v>
      </c>
      <c r="AP7017" s="9">
        <v>3.9424555376364072</v>
      </c>
    </row>
    <row r="7018" spans="40:42" x14ac:dyDescent="0.3">
      <c r="AN7018">
        <v>7014</v>
      </c>
      <c r="AO7018" s="11">
        <v>26289.43</v>
      </c>
      <c r="AP7018" s="9">
        <v>3.0466268313115377</v>
      </c>
    </row>
    <row r="7019" spans="40:42" x14ac:dyDescent="0.3">
      <c r="AN7019">
        <v>7015</v>
      </c>
      <c r="AO7019" s="11">
        <v>23586.18</v>
      </c>
      <c r="AP7019" s="9">
        <v>3.1525735372575832</v>
      </c>
    </row>
    <row r="7020" spans="40:42" x14ac:dyDescent="0.3">
      <c r="AN7020">
        <v>7016</v>
      </c>
      <c r="AO7020" s="11">
        <v>44480.81</v>
      </c>
      <c r="AP7020" s="9">
        <v>3.5258827834659883</v>
      </c>
    </row>
    <row r="7021" spans="40:42" x14ac:dyDescent="0.3">
      <c r="AN7021">
        <v>7017</v>
      </c>
      <c r="AO7021" s="11">
        <v>19429.78</v>
      </c>
      <c r="AP7021" s="9">
        <v>3.3285611459664359</v>
      </c>
    </row>
    <row r="7022" spans="40:42" x14ac:dyDescent="0.3">
      <c r="AN7022">
        <v>7018</v>
      </c>
      <c r="AO7022" s="11">
        <v>23564.87</v>
      </c>
      <c r="AP7022" s="9">
        <v>3.16808140523881</v>
      </c>
    </row>
    <row r="7023" spans="40:42" x14ac:dyDescent="0.3">
      <c r="AN7023">
        <v>7019</v>
      </c>
      <c r="AO7023" s="11">
        <v>19351.189999999999</v>
      </c>
      <c r="AP7023" s="9">
        <v>3.2093872076951642</v>
      </c>
    </row>
    <row r="7024" spans="40:42" x14ac:dyDescent="0.3">
      <c r="AN7024">
        <v>7020</v>
      </c>
      <c r="AO7024" s="11">
        <v>21360.28</v>
      </c>
      <c r="AP7024" s="9">
        <v>3.493259678195515</v>
      </c>
    </row>
    <row r="7025" spans="40:42" x14ac:dyDescent="0.3">
      <c r="AN7025">
        <v>7021</v>
      </c>
      <c r="AO7025" s="11">
        <v>27236.19</v>
      </c>
      <c r="AP7025" s="9">
        <v>3.0247008604786378</v>
      </c>
    </row>
    <row r="7026" spans="40:42" x14ac:dyDescent="0.3">
      <c r="AN7026">
        <v>7022</v>
      </c>
      <c r="AO7026" s="11">
        <v>27775.97</v>
      </c>
      <c r="AP7026" s="9">
        <v>3.1565566042581916</v>
      </c>
    </row>
    <row r="7027" spans="40:42" x14ac:dyDescent="0.3">
      <c r="AN7027">
        <v>7023</v>
      </c>
      <c r="AO7027" s="11">
        <v>25423.27</v>
      </c>
      <c r="AP7027" s="9">
        <v>3.8260737390011728</v>
      </c>
    </row>
    <row r="7028" spans="40:42" x14ac:dyDescent="0.3">
      <c r="AN7028">
        <v>7024</v>
      </c>
      <c r="AO7028" s="11">
        <v>27081.86</v>
      </c>
      <c r="AP7028" s="9">
        <v>3.4217884885886947</v>
      </c>
    </row>
    <row r="7029" spans="40:42" x14ac:dyDescent="0.3">
      <c r="AN7029">
        <v>7025</v>
      </c>
      <c r="AO7029" s="11">
        <v>14030.79</v>
      </c>
      <c r="AP7029" s="9">
        <v>2.9640917893882337</v>
      </c>
    </row>
    <row r="7030" spans="40:42" x14ac:dyDescent="0.3">
      <c r="AN7030">
        <v>7026</v>
      </c>
      <c r="AO7030" s="11">
        <v>26337.67</v>
      </c>
      <c r="AP7030" s="9">
        <v>3.0603000802692319</v>
      </c>
    </row>
    <row r="7031" spans="40:42" x14ac:dyDescent="0.3">
      <c r="AN7031">
        <v>7027</v>
      </c>
      <c r="AO7031" s="11">
        <v>15633.57</v>
      </c>
      <c r="AP7031" s="9">
        <v>3.0315507054523518</v>
      </c>
    </row>
    <row r="7032" spans="40:42" x14ac:dyDescent="0.3">
      <c r="AN7032">
        <v>7028</v>
      </c>
      <c r="AO7032" s="11">
        <v>16500.12</v>
      </c>
      <c r="AP7032" s="9">
        <v>3.1252972224750319</v>
      </c>
    </row>
    <row r="7033" spans="40:42" x14ac:dyDescent="0.3">
      <c r="AN7033">
        <v>7029</v>
      </c>
      <c r="AO7033" s="11">
        <v>24207.98</v>
      </c>
      <c r="AP7033" s="9">
        <v>3.2248916192673884</v>
      </c>
    </row>
    <row r="7034" spans="40:42" x14ac:dyDescent="0.3">
      <c r="AN7034">
        <v>7030</v>
      </c>
      <c r="AO7034" s="11">
        <v>30291.83</v>
      </c>
      <c r="AP7034" s="9">
        <v>3.345784558460394</v>
      </c>
    </row>
    <row r="7035" spans="40:42" x14ac:dyDescent="0.3">
      <c r="AN7035">
        <v>7031</v>
      </c>
      <c r="AO7035" s="11">
        <v>20805.509999999998</v>
      </c>
      <c r="AP7035" s="9">
        <v>3.3960363308227488</v>
      </c>
    </row>
    <row r="7036" spans="40:42" x14ac:dyDescent="0.3">
      <c r="AN7036">
        <v>7032</v>
      </c>
      <c r="AO7036" s="11">
        <v>26703.98</v>
      </c>
      <c r="AP7036" s="9">
        <v>3.1228658632721151</v>
      </c>
    </row>
    <row r="7037" spans="40:42" x14ac:dyDescent="0.3">
      <c r="AN7037">
        <v>7033</v>
      </c>
      <c r="AO7037" s="11">
        <v>17694.439999999999</v>
      </c>
      <c r="AP7037" s="9">
        <v>3.5765255194816539</v>
      </c>
    </row>
    <row r="7038" spans="40:42" x14ac:dyDescent="0.3">
      <c r="AN7038">
        <v>7034</v>
      </c>
      <c r="AO7038" s="11">
        <v>26237.43</v>
      </c>
      <c r="AP7038" s="9">
        <v>3.4353027035339214</v>
      </c>
    </row>
    <row r="7039" spans="40:42" x14ac:dyDescent="0.3">
      <c r="AN7039">
        <v>7035</v>
      </c>
      <c r="AO7039" s="11">
        <v>24948.86</v>
      </c>
      <c r="AP7039" s="9">
        <v>3.6781621097787607</v>
      </c>
    </row>
    <row r="7040" spans="40:42" x14ac:dyDescent="0.3">
      <c r="AN7040">
        <v>7036</v>
      </c>
      <c r="AO7040" s="11">
        <v>17818.84</v>
      </c>
      <c r="AP7040" s="9">
        <v>3.1694115923492623</v>
      </c>
    </row>
    <row r="7041" spans="40:42" x14ac:dyDescent="0.3">
      <c r="AN7041">
        <v>7037</v>
      </c>
      <c r="AO7041" s="11">
        <v>35798.160000000003</v>
      </c>
      <c r="AP7041" s="9">
        <v>4.0032770993707949</v>
      </c>
    </row>
    <row r="7042" spans="40:42" x14ac:dyDescent="0.3">
      <c r="AN7042">
        <v>7038</v>
      </c>
      <c r="AO7042" s="11">
        <v>19759.34</v>
      </c>
      <c r="AP7042" s="9">
        <v>2.934988553949923</v>
      </c>
    </row>
    <row r="7043" spans="40:42" x14ac:dyDescent="0.3">
      <c r="AN7043">
        <v>7039</v>
      </c>
      <c r="AO7043" s="11">
        <v>27245.95</v>
      </c>
      <c r="AP7043" s="9">
        <v>3.3332787993207327</v>
      </c>
    </row>
    <row r="7044" spans="40:42" x14ac:dyDescent="0.3">
      <c r="AN7044">
        <v>7040</v>
      </c>
      <c r="AO7044" s="11">
        <v>31607.23</v>
      </c>
      <c r="AP7044" s="9">
        <v>2.8140078267752537</v>
      </c>
    </row>
    <row r="7045" spans="40:42" x14ac:dyDescent="0.3">
      <c r="AN7045">
        <v>7041</v>
      </c>
      <c r="AO7045" s="11">
        <v>24619.11</v>
      </c>
      <c r="AP7045" s="9">
        <v>3.2559329742275889</v>
      </c>
    </row>
    <row r="7046" spans="40:42" x14ac:dyDescent="0.3">
      <c r="AN7046">
        <v>7042</v>
      </c>
      <c r="AO7046" s="11">
        <v>23222.25</v>
      </c>
      <c r="AP7046" s="9">
        <v>3.7835825155967702</v>
      </c>
    </row>
    <row r="7047" spans="40:42" x14ac:dyDescent="0.3">
      <c r="AN7047">
        <v>7043</v>
      </c>
      <c r="AO7047" s="11">
        <v>32786.86</v>
      </c>
      <c r="AP7047" s="9">
        <v>3.259287337492855</v>
      </c>
    </row>
    <row r="7048" spans="40:42" x14ac:dyDescent="0.3">
      <c r="AN7048">
        <v>7044</v>
      </c>
      <c r="AO7048" s="11">
        <v>30008.91</v>
      </c>
      <c r="AP7048" s="9">
        <v>3.3940669713976619</v>
      </c>
    </row>
    <row r="7049" spans="40:42" x14ac:dyDescent="0.3">
      <c r="AN7049">
        <v>7045</v>
      </c>
      <c r="AO7049" s="11">
        <v>16861.330000000002</v>
      </c>
      <c r="AP7049" s="9">
        <v>3.6182139100987589</v>
      </c>
    </row>
    <row r="7050" spans="40:42" x14ac:dyDescent="0.3">
      <c r="AN7050">
        <v>7046</v>
      </c>
      <c r="AO7050" s="11">
        <v>22491.58</v>
      </c>
      <c r="AP7050" s="9">
        <v>2.8358601538332797</v>
      </c>
    </row>
    <row r="7051" spans="40:42" x14ac:dyDescent="0.3">
      <c r="AN7051">
        <v>7047</v>
      </c>
      <c r="AO7051" s="11">
        <v>27762.41</v>
      </c>
      <c r="AP7051" s="9">
        <v>2.7592604849009406</v>
      </c>
    </row>
    <row r="7052" spans="40:42" x14ac:dyDescent="0.3">
      <c r="AN7052">
        <v>7048</v>
      </c>
      <c r="AO7052" s="11">
        <v>11657.41</v>
      </c>
      <c r="AP7052" s="9">
        <v>3.2892183219602966</v>
      </c>
    </row>
    <row r="7053" spans="40:42" x14ac:dyDescent="0.3">
      <c r="AN7053">
        <v>7049</v>
      </c>
      <c r="AO7053" s="11">
        <v>27813.95</v>
      </c>
      <c r="AP7053" s="9">
        <v>3.5561336927740439</v>
      </c>
    </row>
    <row r="7054" spans="40:42" x14ac:dyDescent="0.3">
      <c r="AN7054">
        <v>7050</v>
      </c>
      <c r="AO7054" s="11">
        <v>46085.96</v>
      </c>
      <c r="AP7054" s="9">
        <v>3.3859634664691001</v>
      </c>
    </row>
    <row r="7055" spans="40:42" x14ac:dyDescent="0.3">
      <c r="AN7055">
        <v>7051</v>
      </c>
      <c r="AO7055" s="11">
        <v>30576.9</v>
      </c>
      <c r="AP7055" s="9">
        <v>3.049029384648561</v>
      </c>
    </row>
    <row r="7056" spans="40:42" x14ac:dyDescent="0.3">
      <c r="AN7056">
        <v>7052</v>
      </c>
      <c r="AO7056" s="11">
        <v>41784.76</v>
      </c>
      <c r="AP7056" s="9">
        <v>3.9225703210950602</v>
      </c>
    </row>
    <row r="7057" spans="40:42" x14ac:dyDescent="0.3">
      <c r="AN7057">
        <v>7053</v>
      </c>
      <c r="AO7057" s="11">
        <v>34582.559999999998</v>
      </c>
      <c r="AP7057" s="9">
        <v>3.384248752457232</v>
      </c>
    </row>
    <row r="7058" spans="40:42" x14ac:dyDescent="0.3">
      <c r="AN7058">
        <v>7054</v>
      </c>
      <c r="AO7058" s="11">
        <v>37537.300000000003</v>
      </c>
      <c r="AP7058" s="9">
        <v>3.8758497491242134</v>
      </c>
    </row>
    <row r="7059" spans="40:42" x14ac:dyDescent="0.3">
      <c r="AN7059">
        <v>7055</v>
      </c>
      <c r="AO7059" s="11">
        <v>25478.7</v>
      </c>
      <c r="AP7059" s="9">
        <v>2.9418929414722617</v>
      </c>
    </row>
    <row r="7060" spans="40:42" x14ac:dyDescent="0.3">
      <c r="AN7060">
        <v>7056</v>
      </c>
      <c r="AO7060" s="11">
        <v>18832.53</v>
      </c>
      <c r="AP7060" s="9">
        <v>3.2124277642835644</v>
      </c>
    </row>
    <row r="7061" spans="40:42" x14ac:dyDescent="0.3">
      <c r="AN7061">
        <v>7057</v>
      </c>
      <c r="AO7061" s="11">
        <v>29761.51</v>
      </c>
      <c r="AP7061" s="9">
        <v>3.3465448146662089</v>
      </c>
    </row>
    <row r="7062" spans="40:42" x14ac:dyDescent="0.3">
      <c r="AN7062">
        <v>7058</v>
      </c>
      <c r="AO7062" s="11">
        <v>48991.42</v>
      </c>
      <c r="AP7062" s="9">
        <v>3.8247711754771108</v>
      </c>
    </row>
    <row r="7063" spans="40:42" x14ac:dyDescent="0.3">
      <c r="AN7063">
        <v>7059</v>
      </c>
      <c r="AO7063" s="11">
        <v>23905.24</v>
      </c>
      <c r="AP7063" s="9">
        <v>3.2936377287885232</v>
      </c>
    </row>
    <row r="7064" spans="40:42" x14ac:dyDescent="0.3">
      <c r="AN7064">
        <v>7060</v>
      </c>
      <c r="AO7064" s="11">
        <v>24504.99</v>
      </c>
      <c r="AP7064" s="9">
        <v>3.131974785532595</v>
      </c>
    </row>
    <row r="7065" spans="40:42" x14ac:dyDescent="0.3">
      <c r="AN7065">
        <v>7061</v>
      </c>
      <c r="AO7065" s="11">
        <v>23207.27</v>
      </c>
      <c r="AP7065" s="9">
        <v>3.3901110704266779</v>
      </c>
    </row>
    <row r="7066" spans="40:42" x14ac:dyDescent="0.3">
      <c r="AN7066">
        <v>7062</v>
      </c>
      <c r="AO7066" s="11">
        <v>38344.9</v>
      </c>
      <c r="AP7066" s="9">
        <v>3.6998519352817847</v>
      </c>
    </row>
    <row r="7067" spans="40:42" x14ac:dyDescent="0.3">
      <c r="AN7067">
        <v>7063</v>
      </c>
      <c r="AO7067" s="11">
        <v>42603.24</v>
      </c>
      <c r="AP7067" s="9">
        <v>3.1693200276388516</v>
      </c>
    </row>
    <row r="7068" spans="40:42" x14ac:dyDescent="0.3">
      <c r="AN7068">
        <v>7064</v>
      </c>
      <c r="AO7068" s="11">
        <v>26343.82</v>
      </c>
      <c r="AP7068" s="9">
        <v>3.2055296079377005</v>
      </c>
    </row>
    <row r="7069" spans="40:42" x14ac:dyDescent="0.3">
      <c r="AN7069">
        <v>7065</v>
      </c>
      <c r="AO7069" s="11">
        <v>15371.44</v>
      </c>
      <c r="AP7069" s="9">
        <v>3.5699845751932173</v>
      </c>
    </row>
    <row r="7070" spans="40:42" x14ac:dyDescent="0.3">
      <c r="AN7070">
        <v>7066</v>
      </c>
      <c r="AO7070" s="11">
        <v>22999.47</v>
      </c>
      <c r="AP7070" s="9">
        <v>2.9423091422779728</v>
      </c>
    </row>
    <row r="7071" spans="40:42" x14ac:dyDescent="0.3">
      <c r="AN7071">
        <v>7067</v>
      </c>
      <c r="AO7071" s="11">
        <v>21188.65</v>
      </c>
      <c r="AP7071" s="9">
        <v>3.00322987337006</v>
      </c>
    </row>
    <row r="7072" spans="40:42" x14ac:dyDescent="0.3">
      <c r="AN7072">
        <v>7068</v>
      </c>
      <c r="AO7072" s="11">
        <v>36226.410000000003</v>
      </c>
      <c r="AP7072" s="9">
        <v>3.6441630396755689</v>
      </c>
    </row>
    <row r="7073" spans="40:42" x14ac:dyDescent="0.3">
      <c r="AN7073">
        <v>7069</v>
      </c>
      <c r="AO7073" s="11">
        <v>30240.09</v>
      </c>
      <c r="AP7073" s="9">
        <v>2.7747791670680568</v>
      </c>
    </row>
    <row r="7074" spans="40:42" x14ac:dyDescent="0.3">
      <c r="AN7074">
        <v>7070</v>
      </c>
      <c r="AO7074" s="11">
        <v>31857.37</v>
      </c>
      <c r="AP7074" s="9">
        <v>4.1043015016004798</v>
      </c>
    </row>
    <row r="7075" spans="40:42" x14ac:dyDescent="0.3">
      <c r="AN7075">
        <v>7071</v>
      </c>
      <c r="AO7075" s="11">
        <v>31245.22</v>
      </c>
      <c r="AP7075" s="9">
        <v>3.7605130709729888</v>
      </c>
    </row>
    <row r="7076" spans="40:42" x14ac:dyDescent="0.3">
      <c r="AN7076">
        <v>7072</v>
      </c>
      <c r="AO7076" s="11">
        <v>35505.31</v>
      </c>
      <c r="AP7076" s="9">
        <v>3.6577637187142411</v>
      </c>
    </row>
    <row r="7077" spans="40:42" x14ac:dyDescent="0.3">
      <c r="AN7077">
        <v>7073</v>
      </c>
      <c r="AO7077" s="11">
        <v>19310.52</v>
      </c>
      <c r="AP7077" s="9">
        <v>3.296677253475564</v>
      </c>
    </row>
    <row r="7078" spans="40:42" x14ac:dyDescent="0.3">
      <c r="AN7078">
        <v>7074</v>
      </c>
      <c r="AO7078" s="11">
        <v>22038.82</v>
      </c>
      <c r="AP7078" s="9">
        <v>3.6835953422939798</v>
      </c>
    </row>
    <row r="7079" spans="40:42" x14ac:dyDescent="0.3">
      <c r="AN7079">
        <v>7075</v>
      </c>
      <c r="AO7079" s="11">
        <v>22608.04</v>
      </c>
      <c r="AP7079" s="9">
        <v>2.9312368680747691</v>
      </c>
    </row>
    <row r="7080" spans="40:42" x14ac:dyDescent="0.3">
      <c r="AN7080">
        <v>7076</v>
      </c>
      <c r="AO7080" s="11">
        <v>24049.759999999998</v>
      </c>
      <c r="AP7080" s="9">
        <v>2.7177154543221183</v>
      </c>
    </row>
    <row r="7081" spans="40:42" x14ac:dyDescent="0.3">
      <c r="AN7081">
        <v>7077</v>
      </c>
      <c r="AO7081" s="11">
        <v>13961.71</v>
      </c>
      <c r="AP7081" s="9">
        <v>2.9863094683623195</v>
      </c>
    </row>
    <row r="7082" spans="40:42" x14ac:dyDescent="0.3">
      <c r="AN7082">
        <v>7078</v>
      </c>
      <c r="AO7082" s="11">
        <v>32356.99</v>
      </c>
      <c r="AP7082" s="9">
        <v>3.8327706726641551</v>
      </c>
    </row>
    <row r="7083" spans="40:42" x14ac:dyDescent="0.3">
      <c r="AN7083">
        <v>7079</v>
      </c>
      <c r="AO7083" s="11">
        <v>25378.47</v>
      </c>
      <c r="AP7083" s="9">
        <v>3.4707060881223208</v>
      </c>
    </row>
    <row r="7084" spans="40:42" x14ac:dyDescent="0.3">
      <c r="AN7084">
        <v>7080</v>
      </c>
      <c r="AO7084" s="11">
        <v>29456.54</v>
      </c>
      <c r="AP7084" s="9">
        <v>2.9968872119476577</v>
      </c>
    </row>
    <row r="7085" spans="40:42" x14ac:dyDescent="0.3">
      <c r="AN7085">
        <v>7081</v>
      </c>
      <c r="AO7085" s="11">
        <v>24207.89</v>
      </c>
      <c r="AP7085" s="9">
        <v>3.1520703102809668</v>
      </c>
    </row>
    <row r="7086" spans="40:42" x14ac:dyDescent="0.3">
      <c r="AN7086">
        <v>7082</v>
      </c>
      <c r="AO7086" s="11">
        <v>19049.5</v>
      </c>
      <c r="AP7086" s="9">
        <v>3.2598761523596962</v>
      </c>
    </row>
    <row r="7087" spans="40:42" x14ac:dyDescent="0.3">
      <c r="AN7087">
        <v>7083</v>
      </c>
      <c r="AO7087" s="11">
        <v>19631.87</v>
      </c>
      <c r="AP7087" s="9">
        <v>3.1280131614567739</v>
      </c>
    </row>
    <row r="7088" spans="40:42" x14ac:dyDescent="0.3">
      <c r="AN7088">
        <v>7084</v>
      </c>
      <c r="AO7088" s="11">
        <v>23292.99</v>
      </c>
      <c r="AP7088" s="9">
        <v>3.101338161400069</v>
      </c>
    </row>
    <row r="7089" spans="40:42" x14ac:dyDescent="0.3">
      <c r="AN7089">
        <v>7085</v>
      </c>
      <c r="AO7089" s="11">
        <v>26446.29</v>
      </c>
      <c r="AP7089" s="9">
        <v>3.58805173321986</v>
      </c>
    </row>
    <row r="7090" spans="40:42" x14ac:dyDescent="0.3">
      <c r="AN7090">
        <v>7086</v>
      </c>
      <c r="AO7090" s="11">
        <v>28930.81</v>
      </c>
      <c r="AP7090" s="9">
        <v>2.9288422825216505</v>
      </c>
    </row>
    <row r="7091" spans="40:42" x14ac:dyDescent="0.3">
      <c r="AN7091">
        <v>7087</v>
      </c>
      <c r="AO7091" s="11">
        <v>38281.82</v>
      </c>
      <c r="AP7091" s="9">
        <v>3.1373727000347644</v>
      </c>
    </row>
    <row r="7092" spans="40:42" x14ac:dyDescent="0.3">
      <c r="AN7092">
        <v>7088</v>
      </c>
      <c r="AO7092" s="11">
        <v>25385.87</v>
      </c>
      <c r="AP7092" s="9">
        <v>3.1362678278722305</v>
      </c>
    </row>
    <row r="7093" spans="40:42" x14ac:dyDescent="0.3">
      <c r="AN7093">
        <v>7089</v>
      </c>
      <c r="AO7093" s="11">
        <v>26038.080000000002</v>
      </c>
      <c r="AP7093" s="9">
        <v>2.754223891183821</v>
      </c>
    </row>
    <row r="7094" spans="40:42" x14ac:dyDescent="0.3">
      <c r="AN7094">
        <v>7090</v>
      </c>
      <c r="AO7094" s="11">
        <v>21687.5</v>
      </c>
      <c r="AP7094" s="9">
        <v>3.4023689060266031</v>
      </c>
    </row>
    <row r="7095" spans="40:42" x14ac:dyDescent="0.3">
      <c r="AN7095">
        <v>7091</v>
      </c>
      <c r="AO7095" s="11">
        <v>30125</v>
      </c>
      <c r="AP7095" s="9">
        <v>4.2873644316463491</v>
      </c>
    </row>
    <row r="7096" spans="40:42" x14ac:dyDescent="0.3">
      <c r="AN7096">
        <v>7092</v>
      </c>
      <c r="AO7096" s="11">
        <v>22538.82</v>
      </c>
      <c r="AP7096" s="9">
        <v>2.8960452327618351</v>
      </c>
    </row>
    <row r="7097" spans="40:42" x14ac:dyDescent="0.3">
      <c r="AN7097">
        <v>7093</v>
      </c>
      <c r="AO7097" s="11">
        <v>19743.62</v>
      </c>
      <c r="AP7097" s="9">
        <v>3.7750919785263806</v>
      </c>
    </row>
    <row r="7098" spans="40:42" x14ac:dyDescent="0.3">
      <c r="AN7098">
        <v>7094</v>
      </c>
      <c r="AO7098" s="11">
        <v>40406.589999999997</v>
      </c>
      <c r="AP7098" s="9">
        <v>3.8092163210489125</v>
      </c>
    </row>
    <row r="7099" spans="40:42" x14ac:dyDescent="0.3">
      <c r="AN7099">
        <v>7095</v>
      </c>
      <c r="AO7099" s="11">
        <v>28504.38</v>
      </c>
      <c r="AP7099" s="9">
        <v>3.1100327234878788</v>
      </c>
    </row>
    <row r="7100" spans="40:42" x14ac:dyDescent="0.3">
      <c r="AN7100">
        <v>7096</v>
      </c>
      <c r="AO7100" s="11">
        <v>22849.33</v>
      </c>
      <c r="AP7100" s="9">
        <v>3.2239578367573398</v>
      </c>
    </row>
    <row r="7101" spans="40:42" x14ac:dyDescent="0.3">
      <c r="AN7101">
        <v>7097</v>
      </c>
      <c r="AO7101" s="11">
        <v>21613.33</v>
      </c>
      <c r="AP7101" s="9">
        <v>3.2028515716877419</v>
      </c>
    </row>
    <row r="7102" spans="40:42" x14ac:dyDescent="0.3">
      <c r="AN7102">
        <v>7098</v>
      </c>
      <c r="AO7102" s="11">
        <v>17605.189999999999</v>
      </c>
      <c r="AP7102" s="9">
        <v>2.8637266348172301</v>
      </c>
    </row>
    <row r="7103" spans="40:42" x14ac:dyDescent="0.3">
      <c r="AN7103">
        <v>7099</v>
      </c>
      <c r="AO7103" s="11">
        <v>24326.43</v>
      </c>
      <c r="AP7103" s="9">
        <v>3.6021274699704025</v>
      </c>
    </row>
    <row r="7104" spans="40:42" x14ac:dyDescent="0.3">
      <c r="AN7104">
        <v>7100</v>
      </c>
      <c r="AO7104" s="11">
        <v>26719.78</v>
      </c>
      <c r="AP7104" s="9">
        <v>3.2422914804553686</v>
      </c>
    </row>
    <row r="7105" spans="40:42" x14ac:dyDescent="0.3">
      <c r="AN7105">
        <v>7101</v>
      </c>
      <c r="AO7105" s="11">
        <v>25728.639999999999</v>
      </c>
      <c r="AP7105" s="9">
        <v>3.1446563032168982</v>
      </c>
    </row>
    <row r="7106" spans="40:42" x14ac:dyDescent="0.3">
      <c r="AN7106">
        <v>7102</v>
      </c>
      <c r="AO7106" s="11">
        <v>32896.839999999997</v>
      </c>
      <c r="AP7106" s="9">
        <v>3.3949017466234772</v>
      </c>
    </row>
    <row r="7107" spans="40:42" x14ac:dyDescent="0.3">
      <c r="AN7107">
        <v>7103</v>
      </c>
      <c r="AO7107" s="11">
        <v>14916.2</v>
      </c>
      <c r="AP7107" s="9">
        <v>3.2142099013223646</v>
      </c>
    </row>
    <row r="7108" spans="40:42" x14ac:dyDescent="0.3">
      <c r="AN7108">
        <v>7104</v>
      </c>
      <c r="AO7108" s="11">
        <v>23046.41</v>
      </c>
      <c r="AP7108" s="9">
        <v>3.7725392543189371</v>
      </c>
    </row>
    <row r="7109" spans="40:42" x14ac:dyDescent="0.3">
      <c r="AN7109">
        <v>7105</v>
      </c>
      <c r="AO7109" s="11">
        <v>40442.74</v>
      </c>
      <c r="AP7109" s="9">
        <v>3.8326137403186098</v>
      </c>
    </row>
    <row r="7110" spans="40:42" x14ac:dyDescent="0.3">
      <c r="AN7110">
        <v>7106</v>
      </c>
      <c r="AO7110" s="11">
        <v>25812.6</v>
      </c>
      <c r="AP7110" s="9">
        <v>3.5497366352411595</v>
      </c>
    </row>
    <row r="7111" spans="40:42" x14ac:dyDescent="0.3">
      <c r="AN7111">
        <v>7107</v>
      </c>
      <c r="AO7111" s="11">
        <v>24811.63</v>
      </c>
      <c r="AP7111" s="9">
        <v>3.7420258184088686</v>
      </c>
    </row>
    <row r="7112" spans="40:42" x14ac:dyDescent="0.3">
      <c r="AN7112">
        <v>7108</v>
      </c>
      <c r="AO7112" s="11">
        <v>19214.560000000001</v>
      </c>
      <c r="AP7112" s="9">
        <v>3.1219696648634931</v>
      </c>
    </row>
    <row r="7113" spans="40:42" x14ac:dyDescent="0.3">
      <c r="AN7113">
        <v>7109</v>
      </c>
      <c r="AO7113" s="11">
        <v>29062.42</v>
      </c>
      <c r="AP7113" s="9">
        <v>3.7261239232207188</v>
      </c>
    </row>
    <row r="7114" spans="40:42" x14ac:dyDescent="0.3">
      <c r="AN7114">
        <v>7110</v>
      </c>
      <c r="AO7114" s="11">
        <v>23539.65</v>
      </c>
      <c r="AP7114" s="9">
        <v>3.6880893457743427</v>
      </c>
    </row>
    <row r="7115" spans="40:42" x14ac:dyDescent="0.3">
      <c r="AN7115">
        <v>7111</v>
      </c>
      <c r="AO7115" s="11">
        <v>26875.02</v>
      </c>
      <c r="AP7115" s="9">
        <v>4.1887387133147742</v>
      </c>
    </row>
    <row r="7116" spans="40:42" x14ac:dyDescent="0.3">
      <c r="AN7116">
        <v>7112</v>
      </c>
      <c r="AO7116" s="11">
        <v>24668.5</v>
      </c>
      <c r="AP7116" s="9">
        <v>2.9817886464243899</v>
      </c>
    </row>
    <row r="7117" spans="40:42" x14ac:dyDescent="0.3">
      <c r="AN7117">
        <v>7113</v>
      </c>
      <c r="AO7117" s="11">
        <v>33404.410000000003</v>
      </c>
      <c r="AP7117" s="9">
        <v>3.7511555226210396</v>
      </c>
    </row>
    <row r="7118" spans="40:42" x14ac:dyDescent="0.3">
      <c r="AN7118">
        <v>7114</v>
      </c>
      <c r="AO7118" s="11">
        <v>26653.05</v>
      </c>
      <c r="AP7118" s="9">
        <v>3.7614358283494682</v>
      </c>
    </row>
    <row r="7119" spans="40:42" x14ac:dyDescent="0.3">
      <c r="AN7119">
        <v>7115</v>
      </c>
      <c r="AO7119" s="11">
        <v>30136.18</v>
      </c>
      <c r="AP7119" s="9">
        <v>3.4352379086719256</v>
      </c>
    </row>
    <row r="7120" spans="40:42" x14ac:dyDescent="0.3">
      <c r="AN7120">
        <v>7116</v>
      </c>
      <c r="AO7120" s="11">
        <v>27523.02</v>
      </c>
      <c r="AP7120" s="9">
        <v>3.6900121288247485</v>
      </c>
    </row>
    <row r="7121" spans="40:42" x14ac:dyDescent="0.3">
      <c r="AN7121">
        <v>7117</v>
      </c>
      <c r="AO7121" s="11">
        <v>22475.79</v>
      </c>
      <c r="AP7121" s="9">
        <v>3.217578728466485</v>
      </c>
    </row>
    <row r="7122" spans="40:42" x14ac:dyDescent="0.3">
      <c r="AN7122">
        <v>7118</v>
      </c>
      <c r="AO7122" s="11">
        <v>28275</v>
      </c>
      <c r="AP7122" s="9">
        <v>3.970010682309522</v>
      </c>
    </row>
    <row r="7123" spans="40:42" x14ac:dyDescent="0.3">
      <c r="AN7123">
        <v>7119</v>
      </c>
      <c r="AO7123" s="11">
        <v>19256.84</v>
      </c>
      <c r="AP7123" s="9">
        <v>3.6227730085958307</v>
      </c>
    </row>
    <row r="7124" spans="40:42" x14ac:dyDescent="0.3">
      <c r="AN7124">
        <v>7120</v>
      </c>
      <c r="AO7124" s="11">
        <v>24081.68</v>
      </c>
      <c r="AP7124" s="9">
        <v>3.1439625246414149</v>
      </c>
    </row>
    <row r="7125" spans="40:42" x14ac:dyDescent="0.3">
      <c r="AN7125">
        <v>7121</v>
      </c>
      <c r="AO7125" s="11">
        <v>30080.45</v>
      </c>
      <c r="AP7125" s="9">
        <v>3.5346968094696138</v>
      </c>
    </row>
    <row r="7126" spans="40:42" x14ac:dyDescent="0.3">
      <c r="AN7126">
        <v>7122</v>
      </c>
      <c r="AO7126" s="11">
        <v>23541.62</v>
      </c>
      <c r="AP7126" s="9">
        <v>3.1771564613481784</v>
      </c>
    </row>
    <row r="7127" spans="40:42" x14ac:dyDescent="0.3">
      <c r="AN7127">
        <v>7123</v>
      </c>
      <c r="AO7127" s="11">
        <v>20231.3</v>
      </c>
      <c r="AP7127" s="9">
        <v>3.3920048468016439</v>
      </c>
    </row>
    <row r="7128" spans="40:42" x14ac:dyDescent="0.3">
      <c r="AN7128">
        <v>7124</v>
      </c>
      <c r="AO7128" s="11">
        <v>32124.2</v>
      </c>
      <c r="AP7128" s="9">
        <v>3.102221865704617</v>
      </c>
    </row>
    <row r="7129" spans="40:42" x14ac:dyDescent="0.3">
      <c r="AN7129">
        <v>7125</v>
      </c>
      <c r="AO7129" s="11">
        <v>19641.439999999999</v>
      </c>
      <c r="AP7129" s="9">
        <v>3.1323155855799785</v>
      </c>
    </row>
    <row r="7130" spans="40:42" x14ac:dyDescent="0.3">
      <c r="AN7130">
        <v>7126</v>
      </c>
      <c r="AO7130" s="11">
        <v>23575.16</v>
      </c>
      <c r="AP7130" s="9">
        <v>3.0666275649694952</v>
      </c>
    </row>
    <row r="7131" spans="40:42" x14ac:dyDescent="0.3">
      <c r="AN7131">
        <v>7127</v>
      </c>
      <c r="AO7131" s="11">
        <v>19876.22</v>
      </c>
      <c r="AP7131" s="9">
        <v>2.8540003643689618</v>
      </c>
    </row>
    <row r="7132" spans="40:42" x14ac:dyDescent="0.3">
      <c r="AN7132">
        <v>7128</v>
      </c>
      <c r="AO7132" s="11">
        <v>24858.91</v>
      </c>
      <c r="AP7132" s="9">
        <v>2.9483335180590644</v>
      </c>
    </row>
    <row r="7133" spans="40:42" x14ac:dyDescent="0.3">
      <c r="AN7133">
        <v>7129</v>
      </c>
      <c r="AO7133" s="11">
        <v>21535.98</v>
      </c>
      <c r="AP7133" s="9">
        <v>3.3469364763696694</v>
      </c>
    </row>
    <row r="7134" spans="40:42" x14ac:dyDescent="0.3">
      <c r="AN7134">
        <v>7130</v>
      </c>
      <c r="AO7134" s="11">
        <v>14298.55</v>
      </c>
      <c r="AP7134" s="9">
        <v>2.9118711099861487</v>
      </c>
    </row>
    <row r="7135" spans="40:42" x14ac:dyDescent="0.3">
      <c r="AN7135">
        <v>7131</v>
      </c>
      <c r="AO7135" s="11">
        <v>18643.310000000001</v>
      </c>
      <c r="AP7135" s="9">
        <v>3.7564364816802689</v>
      </c>
    </row>
    <row r="7136" spans="40:42" x14ac:dyDescent="0.3">
      <c r="AN7136">
        <v>7132</v>
      </c>
      <c r="AO7136" s="11">
        <v>17255.53</v>
      </c>
      <c r="AP7136" s="9">
        <v>2.9885483905609971</v>
      </c>
    </row>
    <row r="7137" spans="40:42" x14ac:dyDescent="0.3">
      <c r="AN7137">
        <v>7133</v>
      </c>
      <c r="AO7137" s="11">
        <v>25155.599999999999</v>
      </c>
      <c r="AP7137" s="9">
        <v>3.2729970139155746</v>
      </c>
    </row>
    <row r="7138" spans="40:42" x14ac:dyDescent="0.3">
      <c r="AN7138">
        <v>7134</v>
      </c>
      <c r="AO7138" s="11">
        <v>30005.33</v>
      </c>
      <c r="AP7138" s="9">
        <v>3.2523152938425781</v>
      </c>
    </row>
    <row r="7139" spans="40:42" x14ac:dyDescent="0.3">
      <c r="AN7139">
        <v>7135</v>
      </c>
      <c r="AO7139" s="11">
        <v>18437.93</v>
      </c>
      <c r="AP7139" s="9">
        <v>3.0438425832214664</v>
      </c>
    </row>
    <row r="7140" spans="40:42" x14ac:dyDescent="0.3">
      <c r="AN7140">
        <v>7136</v>
      </c>
      <c r="AO7140" s="11">
        <v>27033.69</v>
      </c>
      <c r="AP7140" s="9">
        <v>3.3257979703249991</v>
      </c>
    </row>
    <row r="7141" spans="40:42" x14ac:dyDescent="0.3">
      <c r="AN7141">
        <v>7137</v>
      </c>
      <c r="AO7141" s="11">
        <v>30029.18</v>
      </c>
      <c r="AP7141" s="9">
        <v>2.5997049920794661</v>
      </c>
    </row>
    <row r="7142" spans="40:42" x14ac:dyDescent="0.3">
      <c r="AN7142">
        <v>7138</v>
      </c>
      <c r="AO7142" s="11">
        <v>26493.9</v>
      </c>
      <c r="AP7142" s="9">
        <v>2.9550615331658507</v>
      </c>
    </row>
    <row r="7143" spans="40:42" x14ac:dyDescent="0.3">
      <c r="AN7143">
        <v>7139</v>
      </c>
      <c r="AO7143" s="11">
        <v>25785.18</v>
      </c>
      <c r="AP7143" s="9">
        <v>3.5692831321885437</v>
      </c>
    </row>
    <row r="7144" spans="40:42" x14ac:dyDescent="0.3">
      <c r="AN7144">
        <v>7140</v>
      </c>
      <c r="AO7144" s="11">
        <v>37156.239999999998</v>
      </c>
      <c r="AP7144" s="9">
        <v>3.8295461625873166</v>
      </c>
    </row>
    <row r="7145" spans="40:42" x14ac:dyDescent="0.3">
      <c r="AN7145">
        <v>7141</v>
      </c>
      <c r="AO7145" s="11">
        <v>41028.79</v>
      </c>
      <c r="AP7145" s="9">
        <v>3.1637379265315722</v>
      </c>
    </row>
    <row r="7146" spans="40:42" x14ac:dyDescent="0.3">
      <c r="AN7146">
        <v>7142</v>
      </c>
      <c r="AO7146" s="11">
        <v>28455.46</v>
      </c>
      <c r="AP7146" s="9">
        <v>3.4531622723634046</v>
      </c>
    </row>
    <row r="7147" spans="40:42" x14ac:dyDescent="0.3">
      <c r="AN7147">
        <v>7143</v>
      </c>
      <c r="AO7147" s="11">
        <v>24824.31</v>
      </c>
      <c r="AP7147" s="9">
        <v>3.6125524326026652</v>
      </c>
    </row>
    <row r="7148" spans="40:42" x14ac:dyDescent="0.3">
      <c r="AN7148">
        <v>7144</v>
      </c>
      <c r="AO7148" s="11">
        <v>30767.62</v>
      </c>
      <c r="AP7148" s="9">
        <v>3.4050100563668169</v>
      </c>
    </row>
    <row r="7149" spans="40:42" x14ac:dyDescent="0.3">
      <c r="AN7149">
        <v>7145</v>
      </c>
      <c r="AO7149" s="11">
        <v>24142.69</v>
      </c>
      <c r="AP7149" s="9">
        <v>2.9897953914229354</v>
      </c>
    </row>
    <row r="7150" spans="40:42" x14ac:dyDescent="0.3">
      <c r="AN7150">
        <v>7146</v>
      </c>
      <c r="AO7150" s="11">
        <v>33593.51</v>
      </c>
      <c r="AP7150" s="9">
        <v>3.4121545909035764</v>
      </c>
    </row>
    <row r="7151" spans="40:42" x14ac:dyDescent="0.3">
      <c r="AN7151">
        <v>7147</v>
      </c>
      <c r="AO7151" s="11">
        <v>23822.67</v>
      </c>
      <c r="AP7151" s="9">
        <v>3.6082492717055406</v>
      </c>
    </row>
    <row r="7152" spans="40:42" x14ac:dyDescent="0.3">
      <c r="AN7152">
        <v>7148</v>
      </c>
      <c r="AO7152" s="11">
        <v>34816.9</v>
      </c>
      <c r="AP7152" s="9">
        <v>3.828154850961722</v>
      </c>
    </row>
    <row r="7153" spans="40:42" x14ac:dyDescent="0.3">
      <c r="AN7153">
        <v>7149</v>
      </c>
      <c r="AO7153" s="11">
        <v>26246.639999999999</v>
      </c>
      <c r="AP7153" s="9">
        <v>3.9682785212937182</v>
      </c>
    </row>
    <row r="7154" spans="40:42" x14ac:dyDescent="0.3">
      <c r="AN7154">
        <v>7150</v>
      </c>
      <c r="AO7154" s="11">
        <v>29462.68</v>
      </c>
      <c r="AP7154" s="9">
        <v>3.728580420481717</v>
      </c>
    </row>
    <row r="7155" spans="40:42" x14ac:dyDescent="0.3">
      <c r="AN7155">
        <v>7151</v>
      </c>
      <c r="AO7155" s="11">
        <v>26702.35</v>
      </c>
      <c r="AP7155" s="9">
        <v>3.4402383144883504</v>
      </c>
    </row>
    <row r="7156" spans="40:42" x14ac:dyDescent="0.3">
      <c r="AN7156">
        <v>7152</v>
      </c>
      <c r="AO7156" s="11">
        <v>16216.87</v>
      </c>
      <c r="AP7156" s="9">
        <v>3.1244370107862038</v>
      </c>
    </row>
    <row r="7157" spans="40:42" x14ac:dyDescent="0.3">
      <c r="AN7157">
        <v>7153</v>
      </c>
      <c r="AO7157" s="11">
        <v>27272.57</v>
      </c>
      <c r="AP7157" s="9">
        <v>3.1186761911732375</v>
      </c>
    </row>
    <row r="7158" spans="40:42" x14ac:dyDescent="0.3">
      <c r="AN7158">
        <v>7154</v>
      </c>
      <c r="AO7158" s="11">
        <v>25402.07</v>
      </c>
      <c r="AP7158" s="9">
        <v>3.3565725390680492</v>
      </c>
    </row>
    <row r="7159" spans="40:42" x14ac:dyDescent="0.3">
      <c r="AN7159">
        <v>7155</v>
      </c>
      <c r="AO7159" s="11">
        <v>33850.800000000003</v>
      </c>
      <c r="AP7159" s="9">
        <v>3.5505721219005983</v>
      </c>
    </row>
    <row r="7160" spans="40:42" x14ac:dyDescent="0.3">
      <c r="AN7160">
        <v>7156</v>
      </c>
      <c r="AO7160" s="11">
        <v>32320.2</v>
      </c>
      <c r="AP7160" s="9">
        <v>2.761629121891652</v>
      </c>
    </row>
    <row r="7161" spans="40:42" x14ac:dyDescent="0.3">
      <c r="AN7161">
        <v>7157</v>
      </c>
      <c r="AO7161" s="11">
        <v>30253.79</v>
      </c>
      <c r="AP7161" s="9">
        <v>4.0890533949876966</v>
      </c>
    </row>
    <row r="7162" spans="40:42" x14ac:dyDescent="0.3">
      <c r="AN7162">
        <v>7158</v>
      </c>
      <c r="AO7162" s="11">
        <v>21433.56</v>
      </c>
      <c r="AP7162" s="9">
        <v>3.1850217281084201</v>
      </c>
    </row>
    <row r="7163" spans="40:42" x14ac:dyDescent="0.3">
      <c r="AN7163">
        <v>7159</v>
      </c>
      <c r="AO7163" s="11">
        <v>24615.31</v>
      </c>
      <c r="AP7163" s="9">
        <v>3.1548879375340735</v>
      </c>
    </row>
    <row r="7164" spans="40:42" x14ac:dyDescent="0.3">
      <c r="AN7164">
        <v>7160</v>
      </c>
      <c r="AO7164" s="11">
        <v>24461.42</v>
      </c>
      <c r="AP7164" s="9">
        <v>3.4710122765191294</v>
      </c>
    </row>
    <row r="7165" spans="40:42" x14ac:dyDescent="0.3">
      <c r="AN7165">
        <v>7161</v>
      </c>
      <c r="AO7165" s="11">
        <v>23759.58</v>
      </c>
      <c r="AP7165" s="9">
        <v>3.3033034594704334</v>
      </c>
    </row>
    <row r="7166" spans="40:42" x14ac:dyDescent="0.3">
      <c r="AN7166">
        <v>7162</v>
      </c>
      <c r="AO7166" s="11">
        <v>15882.73</v>
      </c>
      <c r="AP7166" s="9">
        <v>3.1154352490552535</v>
      </c>
    </row>
    <row r="7167" spans="40:42" x14ac:dyDescent="0.3">
      <c r="AN7167">
        <v>7163</v>
      </c>
      <c r="AO7167" s="11">
        <v>34044.370000000003</v>
      </c>
      <c r="AP7167" s="9">
        <v>3.3398058674290261</v>
      </c>
    </row>
    <row r="7168" spans="40:42" x14ac:dyDescent="0.3">
      <c r="AN7168">
        <v>7164</v>
      </c>
      <c r="AO7168" s="11">
        <v>34221.839999999997</v>
      </c>
      <c r="AP7168" s="9">
        <v>3.6500081031225533</v>
      </c>
    </row>
    <row r="7169" spans="40:42" x14ac:dyDescent="0.3">
      <c r="AN7169">
        <v>7165</v>
      </c>
      <c r="AO7169" s="11">
        <v>21623.25</v>
      </c>
      <c r="AP7169" s="9">
        <v>3.7802363252727962</v>
      </c>
    </row>
    <row r="7170" spans="40:42" x14ac:dyDescent="0.3">
      <c r="AN7170">
        <v>7166</v>
      </c>
      <c r="AO7170" s="11">
        <v>23115</v>
      </c>
      <c r="AP7170" s="9">
        <v>3.1919078724594585</v>
      </c>
    </row>
    <row r="7171" spans="40:42" x14ac:dyDescent="0.3">
      <c r="AN7171">
        <v>7167</v>
      </c>
      <c r="AO7171" s="11">
        <v>34755.46</v>
      </c>
      <c r="AP7171" s="9">
        <v>3.3578987814719867</v>
      </c>
    </row>
    <row r="7172" spans="40:42" x14ac:dyDescent="0.3">
      <c r="AN7172">
        <v>7168</v>
      </c>
      <c r="AO7172" s="11">
        <v>28735.08</v>
      </c>
      <c r="AP7172" s="9">
        <v>3.2622332924342463</v>
      </c>
    </row>
    <row r="7173" spans="40:42" x14ac:dyDescent="0.3">
      <c r="AN7173">
        <v>7169</v>
      </c>
      <c r="AO7173" s="11">
        <v>30074.13</v>
      </c>
      <c r="AP7173" s="9">
        <v>3.307521337266067</v>
      </c>
    </row>
    <row r="7174" spans="40:42" x14ac:dyDescent="0.3">
      <c r="AN7174">
        <v>7170</v>
      </c>
      <c r="AO7174" s="11">
        <v>16046.39</v>
      </c>
      <c r="AP7174" s="9">
        <v>2.909324026968926</v>
      </c>
    </row>
    <row r="7175" spans="40:42" x14ac:dyDescent="0.3">
      <c r="AN7175">
        <v>7171</v>
      </c>
      <c r="AO7175" s="11">
        <v>19466.16</v>
      </c>
      <c r="AP7175" s="9">
        <v>3.6817115210225779</v>
      </c>
    </row>
    <row r="7176" spans="40:42" x14ac:dyDescent="0.3">
      <c r="AN7176">
        <v>7172</v>
      </c>
      <c r="AO7176" s="11">
        <v>23618.400000000001</v>
      </c>
      <c r="AP7176" s="9">
        <v>3.2555170899386114</v>
      </c>
    </row>
    <row r="7177" spans="40:42" x14ac:dyDescent="0.3">
      <c r="AN7177">
        <v>7173</v>
      </c>
      <c r="AO7177" s="11">
        <v>32973.730000000003</v>
      </c>
      <c r="AP7177" s="9">
        <v>3.237144276447987</v>
      </c>
    </row>
    <row r="7178" spans="40:42" x14ac:dyDescent="0.3">
      <c r="AN7178">
        <v>7174</v>
      </c>
      <c r="AO7178" s="11">
        <v>27028.94</v>
      </c>
      <c r="AP7178" s="9">
        <v>3.4011508149780787</v>
      </c>
    </row>
    <row r="7179" spans="40:42" x14ac:dyDescent="0.3">
      <c r="AN7179">
        <v>7175</v>
      </c>
      <c r="AO7179" s="11">
        <v>38015.839999999997</v>
      </c>
      <c r="AP7179" s="9">
        <v>3.7204736182141005</v>
      </c>
    </row>
    <row r="7180" spans="40:42" x14ac:dyDescent="0.3">
      <c r="AN7180">
        <v>7176</v>
      </c>
      <c r="AO7180" s="11">
        <v>22109.22</v>
      </c>
      <c r="AP7180" s="9">
        <v>3.5569799311537782</v>
      </c>
    </row>
    <row r="7181" spans="40:42" x14ac:dyDescent="0.3">
      <c r="AN7181">
        <v>7177</v>
      </c>
      <c r="AO7181" s="11">
        <v>30287.74</v>
      </c>
      <c r="AP7181" s="9">
        <v>2.8752067334278735</v>
      </c>
    </row>
    <row r="7182" spans="40:42" x14ac:dyDescent="0.3">
      <c r="AN7182">
        <v>7178</v>
      </c>
      <c r="AO7182" s="11">
        <v>18537.060000000001</v>
      </c>
      <c r="AP7182" s="9">
        <v>3.3121509751694145</v>
      </c>
    </row>
    <row r="7183" spans="40:42" x14ac:dyDescent="0.3">
      <c r="AN7183">
        <v>7179</v>
      </c>
      <c r="AO7183" s="11">
        <v>25106.28</v>
      </c>
      <c r="AP7183" s="9">
        <v>2.9771699355573613</v>
      </c>
    </row>
    <row r="7184" spans="40:42" x14ac:dyDescent="0.3">
      <c r="AN7184">
        <v>7180</v>
      </c>
      <c r="AO7184" s="11">
        <v>26451.51</v>
      </c>
      <c r="AP7184" s="9">
        <v>2.8413724926663853</v>
      </c>
    </row>
    <row r="7185" spans="40:42" x14ac:dyDescent="0.3">
      <c r="AN7185">
        <v>7181</v>
      </c>
      <c r="AO7185" s="11">
        <v>17017.259999999998</v>
      </c>
      <c r="AP7185" s="9">
        <v>3.25077092283095</v>
      </c>
    </row>
    <row r="7186" spans="40:42" x14ac:dyDescent="0.3">
      <c r="AN7186">
        <v>7182</v>
      </c>
      <c r="AO7186" s="11">
        <v>50012.82</v>
      </c>
      <c r="AP7186" s="9">
        <v>3.5180029002084479</v>
      </c>
    </row>
    <row r="7187" spans="40:42" x14ac:dyDescent="0.3">
      <c r="AN7187">
        <v>7183</v>
      </c>
      <c r="AO7187" s="11">
        <v>23600.91</v>
      </c>
      <c r="AP7187" s="9">
        <v>3.4361404622975877</v>
      </c>
    </row>
    <row r="7188" spans="40:42" x14ac:dyDescent="0.3">
      <c r="AN7188">
        <v>7184</v>
      </c>
      <c r="AO7188" s="11">
        <v>32769.51</v>
      </c>
      <c r="AP7188" s="9">
        <v>3.9767363114894567</v>
      </c>
    </row>
    <row r="7189" spans="40:42" x14ac:dyDescent="0.3">
      <c r="AN7189">
        <v>7185</v>
      </c>
      <c r="AO7189" s="11">
        <v>20762.48</v>
      </c>
      <c r="AP7189" s="9">
        <v>3.2624062245550247</v>
      </c>
    </row>
    <row r="7190" spans="40:42" x14ac:dyDescent="0.3">
      <c r="AN7190">
        <v>7186</v>
      </c>
      <c r="AO7190" s="11">
        <v>28920.84</v>
      </c>
      <c r="AP7190" s="9">
        <v>3.4945053408185838</v>
      </c>
    </row>
    <row r="7191" spans="40:42" x14ac:dyDescent="0.3">
      <c r="AN7191">
        <v>7187</v>
      </c>
      <c r="AO7191" s="11">
        <v>28354.5</v>
      </c>
      <c r="AP7191" s="9">
        <v>3.6543902026787687</v>
      </c>
    </row>
    <row r="7192" spans="40:42" x14ac:dyDescent="0.3">
      <c r="AN7192">
        <v>7188</v>
      </c>
      <c r="AO7192" s="11">
        <v>29046.21</v>
      </c>
      <c r="AP7192" s="9">
        <v>3.1780529149161807</v>
      </c>
    </row>
    <row r="7193" spans="40:42" x14ac:dyDescent="0.3">
      <c r="AN7193">
        <v>7189</v>
      </c>
      <c r="AO7193" s="11">
        <v>31390.97</v>
      </c>
      <c r="AP7193" s="9">
        <v>3.8527727165029759</v>
      </c>
    </row>
    <row r="7194" spans="40:42" x14ac:dyDescent="0.3">
      <c r="AN7194">
        <v>7190</v>
      </c>
      <c r="AO7194" s="11">
        <v>28568.49</v>
      </c>
      <c r="AP7194" s="9">
        <v>3.60811293784062</v>
      </c>
    </row>
    <row r="7195" spans="40:42" x14ac:dyDescent="0.3">
      <c r="AN7195">
        <v>7191</v>
      </c>
      <c r="AO7195" s="11">
        <v>22561.82</v>
      </c>
      <c r="AP7195" s="9">
        <v>2.9932543914195824</v>
      </c>
    </row>
    <row r="7196" spans="40:42" x14ac:dyDescent="0.3">
      <c r="AN7196">
        <v>7192</v>
      </c>
      <c r="AO7196" s="11">
        <v>26918.58</v>
      </c>
      <c r="AP7196" s="9">
        <v>3.8051777833631362</v>
      </c>
    </row>
    <row r="7197" spans="40:42" x14ac:dyDescent="0.3">
      <c r="AN7197">
        <v>7193</v>
      </c>
      <c r="AO7197" s="11">
        <v>22761.919999999998</v>
      </c>
      <c r="AP7197" s="9">
        <v>3.3268723617585443</v>
      </c>
    </row>
    <row r="7198" spans="40:42" x14ac:dyDescent="0.3">
      <c r="AN7198">
        <v>7194</v>
      </c>
      <c r="AO7198" s="11">
        <v>21615.88</v>
      </c>
      <c r="AP7198" s="9">
        <v>2.6673257933409835</v>
      </c>
    </row>
    <row r="7199" spans="40:42" x14ac:dyDescent="0.3">
      <c r="AN7199">
        <v>7195</v>
      </c>
      <c r="AO7199" s="11">
        <v>40426.51</v>
      </c>
      <c r="AP7199" s="9">
        <v>4.088120897230004</v>
      </c>
    </row>
    <row r="7200" spans="40:42" x14ac:dyDescent="0.3">
      <c r="AN7200">
        <v>7196</v>
      </c>
      <c r="AO7200" s="11">
        <v>43988.58</v>
      </c>
      <c r="AP7200" s="9">
        <v>3.5708583165451775</v>
      </c>
    </row>
    <row r="7201" spans="40:42" x14ac:dyDescent="0.3">
      <c r="AN7201">
        <v>7197</v>
      </c>
      <c r="AO7201" s="11">
        <v>22598.720000000001</v>
      </c>
      <c r="AP7201" s="9">
        <v>2.9639678694511775</v>
      </c>
    </row>
    <row r="7202" spans="40:42" x14ac:dyDescent="0.3">
      <c r="AN7202">
        <v>7198</v>
      </c>
      <c r="AO7202" s="11">
        <v>26005.22</v>
      </c>
      <c r="AP7202" s="9">
        <v>3.3136966419749605</v>
      </c>
    </row>
    <row r="7203" spans="40:42" x14ac:dyDescent="0.3">
      <c r="AN7203">
        <v>7199</v>
      </c>
      <c r="AO7203" s="11">
        <v>46473.8</v>
      </c>
      <c r="AP7203" s="9">
        <v>4.0983677577176856</v>
      </c>
    </row>
    <row r="7204" spans="40:42" x14ac:dyDescent="0.3">
      <c r="AN7204">
        <v>7200</v>
      </c>
      <c r="AO7204" s="11">
        <v>20948.3</v>
      </c>
      <c r="AP7204" s="9">
        <v>3.4623184369565072</v>
      </c>
    </row>
    <row r="7205" spans="40:42" x14ac:dyDescent="0.3">
      <c r="AN7205">
        <v>7201</v>
      </c>
      <c r="AO7205" s="11">
        <v>33474.080000000002</v>
      </c>
      <c r="AP7205" s="9">
        <v>3.7351451278512191</v>
      </c>
    </row>
    <row r="7206" spans="40:42" x14ac:dyDescent="0.3">
      <c r="AN7206">
        <v>7202</v>
      </c>
      <c r="AO7206" s="11">
        <v>44088.92</v>
      </c>
      <c r="AP7206" s="9">
        <v>4.7810115381210636</v>
      </c>
    </row>
    <row r="7207" spans="40:42" x14ac:dyDescent="0.3">
      <c r="AN7207">
        <v>7203</v>
      </c>
      <c r="AO7207" s="11">
        <v>15803.58</v>
      </c>
      <c r="AP7207" s="9">
        <v>3.3629665178088168</v>
      </c>
    </row>
    <row r="7208" spans="40:42" x14ac:dyDescent="0.3">
      <c r="AN7208">
        <v>7204</v>
      </c>
      <c r="AO7208" s="11">
        <v>22196.51</v>
      </c>
      <c r="AP7208" s="9">
        <v>3.4814364642162725</v>
      </c>
    </row>
    <row r="7209" spans="40:42" x14ac:dyDescent="0.3">
      <c r="AN7209">
        <v>7205</v>
      </c>
      <c r="AO7209" s="11">
        <v>39221.040000000001</v>
      </c>
      <c r="AP7209" s="9">
        <v>3.6559210396262256</v>
      </c>
    </row>
    <row r="7210" spans="40:42" x14ac:dyDescent="0.3">
      <c r="AN7210">
        <v>7206</v>
      </c>
      <c r="AO7210" s="11">
        <v>23929.23</v>
      </c>
      <c r="AP7210" s="9">
        <v>3.5394186377585535</v>
      </c>
    </row>
    <row r="7211" spans="40:42" x14ac:dyDescent="0.3">
      <c r="AN7211">
        <v>7207</v>
      </c>
      <c r="AO7211" s="11">
        <v>19974</v>
      </c>
      <c r="AP7211" s="9">
        <v>3.4534733673281748</v>
      </c>
    </row>
    <row r="7212" spans="40:42" x14ac:dyDescent="0.3">
      <c r="AN7212">
        <v>7208</v>
      </c>
      <c r="AO7212" s="11">
        <v>26062.06</v>
      </c>
      <c r="AP7212" s="9">
        <v>2.9790766983134382</v>
      </c>
    </row>
    <row r="7213" spans="40:42" x14ac:dyDescent="0.3">
      <c r="AN7213">
        <v>7209</v>
      </c>
      <c r="AO7213" s="11">
        <v>31689.47</v>
      </c>
      <c r="AP7213" s="9">
        <v>3.4041626450920721</v>
      </c>
    </row>
    <row r="7214" spans="40:42" x14ac:dyDescent="0.3">
      <c r="AN7214">
        <v>7210</v>
      </c>
      <c r="AO7214" s="11">
        <v>27931.43</v>
      </c>
      <c r="AP7214" s="9">
        <v>3.6372051588608461</v>
      </c>
    </row>
    <row r="7215" spans="40:42" x14ac:dyDescent="0.3">
      <c r="AN7215">
        <v>7211</v>
      </c>
      <c r="AO7215" s="11">
        <v>28344.959999999999</v>
      </c>
      <c r="AP7215" s="9">
        <v>3.2134987999088747</v>
      </c>
    </row>
    <row r="7216" spans="40:42" x14ac:dyDescent="0.3">
      <c r="AN7216">
        <v>7212</v>
      </c>
      <c r="AO7216" s="11">
        <v>30004.82</v>
      </c>
      <c r="AP7216" s="9">
        <v>3.9343667528137818</v>
      </c>
    </row>
    <row r="7217" spans="40:42" x14ac:dyDescent="0.3">
      <c r="AN7217">
        <v>7213</v>
      </c>
      <c r="AO7217" s="11">
        <v>34673.160000000003</v>
      </c>
      <c r="AP7217" s="9">
        <v>3.4821907871259619</v>
      </c>
    </row>
    <row r="7218" spans="40:42" x14ac:dyDescent="0.3">
      <c r="AN7218">
        <v>7214</v>
      </c>
      <c r="AO7218" s="11">
        <v>18768.759999999998</v>
      </c>
      <c r="AP7218" s="9">
        <v>3.1044258638562736</v>
      </c>
    </row>
    <row r="7219" spans="40:42" x14ac:dyDescent="0.3">
      <c r="AN7219">
        <v>7215</v>
      </c>
      <c r="AO7219" s="11">
        <v>39566.839999999997</v>
      </c>
      <c r="AP7219" s="9">
        <v>3.3921459028929086</v>
      </c>
    </row>
    <row r="7220" spans="40:42" x14ac:dyDescent="0.3">
      <c r="AN7220">
        <v>7216</v>
      </c>
      <c r="AO7220" s="11">
        <v>28790.75</v>
      </c>
      <c r="AP7220" s="9">
        <v>3.4023866997712142</v>
      </c>
    </row>
    <row r="7221" spans="40:42" x14ac:dyDescent="0.3">
      <c r="AN7221">
        <v>7217</v>
      </c>
      <c r="AO7221" s="11">
        <v>22166.11</v>
      </c>
      <c r="AP7221" s="9">
        <v>2.8188660982992273</v>
      </c>
    </row>
    <row r="7222" spans="40:42" x14ac:dyDescent="0.3">
      <c r="AN7222">
        <v>7218</v>
      </c>
      <c r="AO7222" s="11">
        <v>24738.1</v>
      </c>
      <c r="AP7222" s="9">
        <v>3.4452524238425637</v>
      </c>
    </row>
    <row r="7223" spans="40:42" x14ac:dyDescent="0.3">
      <c r="AN7223">
        <v>7219</v>
      </c>
      <c r="AO7223" s="11">
        <v>22168.31</v>
      </c>
      <c r="AP7223" s="9">
        <v>3.5751102869087976</v>
      </c>
    </row>
    <row r="7224" spans="40:42" x14ac:dyDescent="0.3">
      <c r="AN7224">
        <v>7220</v>
      </c>
      <c r="AO7224" s="11">
        <v>32033.59</v>
      </c>
      <c r="AP7224" s="9">
        <v>3.217944458339423</v>
      </c>
    </row>
    <row r="7225" spans="40:42" x14ac:dyDescent="0.3">
      <c r="AN7225">
        <v>7221</v>
      </c>
      <c r="AO7225" s="11">
        <v>28321</v>
      </c>
      <c r="AP7225" s="9">
        <v>3.4424315571697903</v>
      </c>
    </row>
    <row r="7226" spans="40:42" x14ac:dyDescent="0.3">
      <c r="AN7226">
        <v>7222</v>
      </c>
      <c r="AO7226" s="11">
        <v>30808.36</v>
      </c>
      <c r="AP7226" s="9">
        <v>3.2042935788346059</v>
      </c>
    </row>
    <row r="7227" spans="40:42" x14ac:dyDescent="0.3">
      <c r="AN7227">
        <v>7223</v>
      </c>
      <c r="AO7227" s="11">
        <v>16838.509999999998</v>
      </c>
      <c r="AP7227" s="9">
        <v>3.1251048937484063</v>
      </c>
    </row>
    <row r="7228" spans="40:42" x14ac:dyDescent="0.3">
      <c r="AN7228">
        <v>7224</v>
      </c>
      <c r="AO7228" s="11">
        <v>28105.61</v>
      </c>
      <c r="AP7228" s="9">
        <v>3.511976578440311</v>
      </c>
    </row>
    <row r="7229" spans="40:42" x14ac:dyDescent="0.3">
      <c r="AN7229">
        <v>7225</v>
      </c>
      <c r="AO7229" s="11">
        <v>17686.32</v>
      </c>
      <c r="AP7229" s="9">
        <v>3.6590832680694434</v>
      </c>
    </row>
    <row r="7230" spans="40:42" x14ac:dyDescent="0.3">
      <c r="AN7230">
        <v>7226</v>
      </c>
      <c r="AO7230" s="11">
        <v>12873.73</v>
      </c>
      <c r="AP7230" s="9">
        <v>2.8484180594773618</v>
      </c>
    </row>
    <row r="7231" spans="40:42" x14ac:dyDescent="0.3">
      <c r="AN7231">
        <v>7227</v>
      </c>
      <c r="AO7231" s="11">
        <v>15051.82</v>
      </c>
      <c r="AP7231" s="9">
        <v>2.6492643731074184</v>
      </c>
    </row>
    <row r="7232" spans="40:42" x14ac:dyDescent="0.3">
      <c r="AN7232">
        <v>7228</v>
      </c>
      <c r="AO7232" s="11">
        <v>20058.14</v>
      </c>
      <c r="AP7232" s="9">
        <v>3.2221080128384281</v>
      </c>
    </row>
    <row r="7233" spans="40:42" x14ac:dyDescent="0.3">
      <c r="AN7233">
        <v>7229</v>
      </c>
      <c r="AO7233" s="11">
        <v>33330</v>
      </c>
      <c r="AP7233" s="9">
        <v>3.3503684765368047</v>
      </c>
    </row>
    <row r="7234" spans="40:42" x14ac:dyDescent="0.3">
      <c r="AN7234">
        <v>7230</v>
      </c>
      <c r="AO7234" s="11">
        <v>29484.15</v>
      </c>
      <c r="AP7234" s="9">
        <v>3.5693078194362666</v>
      </c>
    </row>
    <row r="7235" spans="40:42" x14ac:dyDescent="0.3">
      <c r="AN7235">
        <v>7231</v>
      </c>
      <c r="AO7235" s="11">
        <v>22403.41</v>
      </c>
      <c r="AP7235" s="9">
        <v>2.9858903432510084</v>
      </c>
    </row>
    <row r="7236" spans="40:42" x14ac:dyDescent="0.3">
      <c r="AN7236">
        <v>7232</v>
      </c>
      <c r="AO7236" s="11">
        <v>30490.73</v>
      </c>
      <c r="AP7236" s="9">
        <v>3.6267881850846635</v>
      </c>
    </row>
    <row r="7237" spans="40:42" x14ac:dyDescent="0.3">
      <c r="AN7237">
        <v>7233</v>
      </c>
      <c r="AO7237" s="11">
        <v>29718.81</v>
      </c>
      <c r="AP7237" s="9">
        <v>3.6777050899535833</v>
      </c>
    </row>
    <row r="7238" spans="40:42" x14ac:dyDescent="0.3">
      <c r="AN7238">
        <v>7234</v>
      </c>
      <c r="AO7238" s="11">
        <v>28328.68</v>
      </c>
      <c r="AP7238" s="9">
        <v>3.4212273567586515</v>
      </c>
    </row>
    <row r="7239" spans="40:42" x14ac:dyDescent="0.3">
      <c r="AN7239">
        <v>7235</v>
      </c>
      <c r="AO7239" s="11">
        <v>26805.26</v>
      </c>
      <c r="AP7239" s="9">
        <v>3.5736739870461265</v>
      </c>
    </row>
    <row r="7240" spans="40:42" x14ac:dyDescent="0.3">
      <c r="AN7240">
        <v>7236</v>
      </c>
      <c r="AO7240" s="11">
        <v>24512.76</v>
      </c>
      <c r="AP7240" s="9">
        <v>3.2831126726287305</v>
      </c>
    </row>
    <row r="7241" spans="40:42" x14ac:dyDescent="0.3">
      <c r="AN7241">
        <v>7237</v>
      </c>
      <c r="AO7241" s="11">
        <v>25949.56</v>
      </c>
      <c r="AP7241" s="9">
        <v>3.3658832341596305</v>
      </c>
    </row>
    <row r="7242" spans="40:42" x14ac:dyDescent="0.3">
      <c r="AN7242">
        <v>7238</v>
      </c>
      <c r="AO7242" s="11">
        <v>37535.629999999997</v>
      </c>
      <c r="AP7242" s="9">
        <v>3.8402537015547038</v>
      </c>
    </row>
    <row r="7243" spans="40:42" x14ac:dyDescent="0.3">
      <c r="AN7243">
        <v>7239</v>
      </c>
      <c r="AO7243" s="11">
        <v>30782.2</v>
      </c>
      <c r="AP7243" s="9">
        <v>2.7656426366517555</v>
      </c>
    </row>
    <row r="7244" spans="40:42" x14ac:dyDescent="0.3">
      <c r="AN7244">
        <v>7240</v>
      </c>
      <c r="AO7244" s="11">
        <v>32752.75</v>
      </c>
      <c r="AP7244" s="9">
        <v>4.3237899760979701</v>
      </c>
    </row>
    <row r="7245" spans="40:42" x14ac:dyDescent="0.3">
      <c r="AN7245">
        <v>7241</v>
      </c>
      <c r="AO7245" s="11">
        <v>27791.23</v>
      </c>
      <c r="AP7245" s="9">
        <v>3.8268945591286219</v>
      </c>
    </row>
    <row r="7246" spans="40:42" x14ac:dyDescent="0.3">
      <c r="AN7246">
        <v>7242</v>
      </c>
      <c r="AO7246" s="11">
        <v>32901.230000000003</v>
      </c>
      <c r="AP7246" s="9">
        <v>3.2232598381717001</v>
      </c>
    </row>
    <row r="7247" spans="40:42" x14ac:dyDescent="0.3">
      <c r="AN7247">
        <v>7243</v>
      </c>
      <c r="AO7247" s="11">
        <v>23829.27</v>
      </c>
      <c r="AP7247" s="9">
        <v>3.2397427816666671</v>
      </c>
    </row>
    <row r="7248" spans="40:42" x14ac:dyDescent="0.3">
      <c r="AN7248">
        <v>7244</v>
      </c>
      <c r="AO7248" s="11">
        <v>27807.759999999998</v>
      </c>
      <c r="AP7248" s="9">
        <v>3.1265294289076699</v>
      </c>
    </row>
    <row r="7249" spans="40:42" x14ac:dyDescent="0.3">
      <c r="AN7249">
        <v>7245</v>
      </c>
      <c r="AO7249" s="11">
        <v>22562.63</v>
      </c>
      <c r="AP7249" s="9">
        <v>3.0558409533870412</v>
      </c>
    </row>
    <row r="7250" spans="40:42" x14ac:dyDescent="0.3">
      <c r="AN7250">
        <v>7246</v>
      </c>
      <c r="AO7250" s="11">
        <v>36588.54</v>
      </c>
      <c r="AP7250" s="9">
        <v>4.0767159413293683</v>
      </c>
    </row>
    <row r="7251" spans="40:42" x14ac:dyDescent="0.3">
      <c r="AN7251">
        <v>7247</v>
      </c>
      <c r="AO7251" s="11">
        <v>23923.93</v>
      </c>
      <c r="AP7251" s="9">
        <v>2.8951046293718234</v>
      </c>
    </row>
    <row r="7252" spans="40:42" x14ac:dyDescent="0.3">
      <c r="AN7252">
        <v>7248</v>
      </c>
      <c r="AO7252" s="11">
        <v>25146.59</v>
      </c>
      <c r="AP7252" s="9">
        <v>3.3110311879289487</v>
      </c>
    </row>
    <row r="7253" spans="40:42" x14ac:dyDescent="0.3">
      <c r="AN7253">
        <v>7249</v>
      </c>
      <c r="AO7253" s="11">
        <v>23208.66</v>
      </c>
      <c r="AP7253" s="9">
        <v>2.6413603622083874</v>
      </c>
    </row>
    <row r="7254" spans="40:42" x14ac:dyDescent="0.3">
      <c r="AN7254">
        <v>7250</v>
      </c>
      <c r="AO7254" s="11">
        <v>21754.92</v>
      </c>
      <c r="AP7254" s="9">
        <v>4.1350992340385426</v>
      </c>
    </row>
    <row r="7255" spans="40:42" x14ac:dyDescent="0.3">
      <c r="AN7255">
        <v>7251</v>
      </c>
      <c r="AO7255" s="11">
        <v>16441.46</v>
      </c>
      <c r="AP7255" s="9">
        <v>2.3485958870531674</v>
      </c>
    </row>
    <row r="7256" spans="40:42" x14ac:dyDescent="0.3">
      <c r="AN7256">
        <v>7252</v>
      </c>
      <c r="AO7256" s="11">
        <v>38029.85</v>
      </c>
      <c r="AP7256" s="9">
        <v>3.1126762114993491</v>
      </c>
    </row>
    <row r="7257" spans="40:42" x14ac:dyDescent="0.3">
      <c r="AN7257">
        <v>7253</v>
      </c>
      <c r="AO7257" s="11">
        <v>24579.13</v>
      </c>
      <c r="AP7257" s="9">
        <v>3.3559856714477658</v>
      </c>
    </row>
    <row r="7258" spans="40:42" x14ac:dyDescent="0.3">
      <c r="AN7258">
        <v>7254</v>
      </c>
      <c r="AO7258" s="11">
        <v>22642.3</v>
      </c>
      <c r="AP7258" s="9">
        <v>2.9487008476987815</v>
      </c>
    </row>
    <row r="7259" spans="40:42" x14ac:dyDescent="0.3">
      <c r="AN7259">
        <v>7255</v>
      </c>
      <c r="AO7259" s="11">
        <v>32972.199999999997</v>
      </c>
      <c r="AP7259" s="9">
        <v>3.2433675725509681</v>
      </c>
    </row>
    <row r="7260" spans="40:42" x14ac:dyDescent="0.3">
      <c r="AN7260">
        <v>7256</v>
      </c>
      <c r="AO7260" s="11">
        <v>29325.74</v>
      </c>
      <c r="AP7260" s="9">
        <v>4.2034809639027984</v>
      </c>
    </row>
    <row r="7261" spans="40:42" x14ac:dyDescent="0.3">
      <c r="AN7261">
        <v>7257</v>
      </c>
      <c r="AO7261" s="11">
        <v>22803.94</v>
      </c>
      <c r="AP7261" s="9">
        <v>2.744207217908655</v>
      </c>
    </row>
    <row r="7262" spans="40:42" x14ac:dyDescent="0.3">
      <c r="AN7262">
        <v>7258</v>
      </c>
      <c r="AO7262" s="11">
        <v>24590.880000000001</v>
      </c>
      <c r="AP7262" s="9">
        <v>4.3272773181884743</v>
      </c>
    </row>
    <row r="7263" spans="40:42" x14ac:dyDescent="0.3">
      <c r="AN7263">
        <v>7259</v>
      </c>
      <c r="AO7263" s="11">
        <v>21512.87</v>
      </c>
      <c r="AP7263" s="9">
        <v>3.3681094564228067</v>
      </c>
    </row>
    <row r="7264" spans="40:42" x14ac:dyDescent="0.3">
      <c r="AN7264">
        <v>7260</v>
      </c>
      <c r="AO7264" s="11">
        <v>26078.880000000001</v>
      </c>
      <c r="AP7264" s="9">
        <v>3.61705997364583</v>
      </c>
    </row>
    <row r="7265" spans="40:42" x14ac:dyDescent="0.3">
      <c r="AN7265">
        <v>7261</v>
      </c>
      <c r="AO7265" s="11">
        <v>26777.13</v>
      </c>
      <c r="AP7265" s="9">
        <v>3.554952596404847</v>
      </c>
    </row>
    <row r="7266" spans="40:42" x14ac:dyDescent="0.3">
      <c r="AN7266">
        <v>7262</v>
      </c>
      <c r="AO7266" s="11">
        <v>25026.5</v>
      </c>
      <c r="AP7266" s="9">
        <v>3.2886488399639267</v>
      </c>
    </row>
    <row r="7267" spans="40:42" x14ac:dyDescent="0.3">
      <c r="AN7267">
        <v>7263</v>
      </c>
      <c r="AO7267" s="11">
        <v>35325.33</v>
      </c>
      <c r="AP7267" s="9">
        <v>3.7703922272556327</v>
      </c>
    </row>
    <row r="7268" spans="40:42" x14ac:dyDescent="0.3">
      <c r="AN7268">
        <v>7264</v>
      </c>
      <c r="AO7268" s="11">
        <v>31432.18</v>
      </c>
      <c r="AP7268" s="9">
        <v>3.3710815174029509</v>
      </c>
    </row>
    <row r="7269" spans="40:42" x14ac:dyDescent="0.3">
      <c r="AN7269">
        <v>7265</v>
      </c>
      <c r="AO7269" s="11">
        <v>23090.19</v>
      </c>
      <c r="AP7269" s="9">
        <v>3.4250907084285616</v>
      </c>
    </row>
    <row r="7270" spans="40:42" x14ac:dyDescent="0.3">
      <c r="AN7270">
        <v>7266</v>
      </c>
      <c r="AO7270" s="11">
        <v>20376.98</v>
      </c>
      <c r="AP7270" s="9">
        <v>3.4026146804715456</v>
      </c>
    </row>
    <row r="7271" spans="40:42" x14ac:dyDescent="0.3">
      <c r="AN7271">
        <v>7267</v>
      </c>
      <c r="AO7271" s="11">
        <v>45443.65</v>
      </c>
      <c r="AP7271" s="9">
        <v>3.5307573316117042</v>
      </c>
    </row>
    <row r="7272" spans="40:42" x14ac:dyDescent="0.3">
      <c r="AN7272">
        <v>7268</v>
      </c>
      <c r="AO7272" s="11">
        <v>19764.97</v>
      </c>
      <c r="AP7272" s="9">
        <v>2.8801938314700379</v>
      </c>
    </row>
    <row r="7273" spans="40:42" x14ac:dyDescent="0.3">
      <c r="AN7273">
        <v>7269</v>
      </c>
      <c r="AO7273" s="11">
        <v>26270.84</v>
      </c>
      <c r="AP7273" s="9">
        <v>3.5954378112048704</v>
      </c>
    </row>
    <row r="7274" spans="40:42" x14ac:dyDescent="0.3">
      <c r="AN7274">
        <v>7270</v>
      </c>
      <c r="AO7274" s="11">
        <v>36020.080000000002</v>
      </c>
      <c r="AP7274" s="9">
        <v>3.2532986931268879</v>
      </c>
    </row>
    <row r="7275" spans="40:42" x14ac:dyDescent="0.3">
      <c r="AN7275">
        <v>7271</v>
      </c>
      <c r="AO7275" s="11">
        <v>21302.69</v>
      </c>
      <c r="AP7275" s="9">
        <v>2.9341878169277886</v>
      </c>
    </row>
    <row r="7276" spans="40:42" x14ac:dyDescent="0.3">
      <c r="AN7276">
        <v>7272</v>
      </c>
      <c r="AO7276" s="11">
        <v>30581.360000000001</v>
      </c>
      <c r="AP7276" s="9">
        <v>3.1912548376597236</v>
      </c>
    </row>
    <row r="7277" spans="40:42" x14ac:dyDescent="0.3">
      <c r="AN7277">
        <v>7273</v>
      </c>
      <c r="AO7277" s="11">
        <v>19550.73</v>
      </c>
      <c r="AP7277" s="9">
        <v>3.0111844392577871</v>
      </c>
    </row>
    <row r="7278" spans="40:42" x14ac:dyDescent="0.3">
      <c r="AN7278">
        <v>7274</v>
      </c>
      <c r="AO7278" s="11">
        <v>35935.21</v>
      </c>
      <c r="AP7278" s="9">
        <v>3.0851435287356264</v>
      </c>
    </row>
    <row r="7279" spans="40:42" x14ac:dyDescent="0.3">
      <c r="AN7279">
        <v>7275</v>
      </c>
      <c r="AO7279" s="11">
        <v>23801.81</v>
      </c>
      <c r="AP7279" s="9">
        <v>3.092967877837749</v>
      </c>
    </row>
    <row r="7280" spans="40:42" x14ac:dyDescent="0.3">
      <c r="AN7280">
        <v>7276</v>
      </c>
      <c r="AO7280" s="11">
        <v>30568.7</v>
      </c>
      <c r="AP7280" s="9">
        <v>3.5071510659170499</v>
      </c>
    </row>
    <row r="7281" spans="40:42" x14ac:dyDescent="0.3">
      <c r="AN7281">
        <v>7277</v>
      </c>
      <c r="AO7281" s="11">
        <v>26716.92</v>
      </c>
      <c r="AP7281" s="9">
        <v>3.5743263613250953</v>
      </c>
    </row>
    <row r="7282" spans="40:42" x14ac:dyDescent="0.3">
      <c r="AN7282">
        <v>7278</v>
      </c>
      <c r="AO7282" s="11">
        <v>23455.01</v>
      </c>
      <c r="AP7282" s="9">
        <v>3.0881570822881224</v>
      </c>
    </row>
    <row r="7283" spans="40:42" x14ac:dyDescent="0.3">
      <c r="AN7283">
        <v>7279</v>
      </c>
      <c r="AO7283" s="11">
        <v>16654.96</v>
      </c>
      <c r="AP7283" s="9">
        <v>2.6557909658504424</v>
      </c>
    </row>
    <row r="7284" spans="40:42" x14ac:dyDescent="0.3">
      <c r="AN7284">
        <v>7280</v>
      </c>
      <c r="AO7284" s="11">
        <v>25231.69</v>
      </c>
      <c r="AP7284" s="9">
        <v>3.8862540612904408</v>
      </c>
    </row>
    <row r="7285" spans="40:42" x14ac:dyDescent="0.3">
      <c r="AN7285">
        <v>7281</v>
      </c>
      <c r="AO7285" s="11">
        <v>21165.78</v>
      </c>
      <c r="AP7285" s="9">
        <v>3.5382608864682479</v>
      </c>
    </row>
    <row r="7286" spans="40:42" x14ac:dyDescent="0.3">
      <c r="AN7286">
        <v>7282</v>
      </c>
      <c r="AO7286" s="11">
        <v>21502.1</v>
      </c>
      <c r="AP7286" s="9">
        <v>2.9900632762439669</v>
      </c>
    </row>
    <row r="7287" spans="40:42" x14ac:dyDescent="0.3">
      <c r="AN7287">
        <v>7283</v>
      </c>
      <c r="AO7287" s="11">
        <v>16743.63</v>
      </c>
      <c r="AP7287" s="9">
        <v>3.0444727881909457</v>
      </c>
    </row>
    <row r="7288" spans="40:42" x14ac:dyDescent="0.3">
      <c r="AN7288">
        <v>7284</v>
      </c>
      <c r="AO7288" s="11">
        <v>32745.45</v>
      </c>
      <c r="AP7288" s="9">
        <v>2.6518144680378448</v>
      </c>
    </row>
    <row r="7289" spans="40:42" x14ac:dyDescent="0.3">
      <c r="AN7289">
        <v>7285</v>
      </c>
      <c r="AO7289" s="11">
        <v>26511.200000000001</v>
      </c>
      <c r="AP7289" s="9">
        <v>3.5886806280789219</v>
      </c>
    </row>
    <row r="7290" spans="40:42" x14ac:dyDescent="0.3">
      <c r="AN7290">
        <v>7286</v>
      </c>
      <c r="AO7290" s="11">
        <v>23392.27</v>
      </c>
      <c r="AP7290" s="9">
        <v>3.1146535933468291</v>
      </c>
    </row>
    <row r="7291" spans="40:42" x14ac:dyDescent="0.3">
      <c r="AN7291">
        <v>7287</v>
      </c>
      <c r="AO7291" s="11">
        <v>25008.89</v>
      </c>
      <c r="AP7291" s="9">
        <v>3.0929733320477735</v>
      </c>
    </row>
    <row r="7292" spans="40:42" x14ac:dyDescent="0.3">
      <c r="AN7292">
        <v>7288</v>
      </c>
      <c r="AO7292" s="11">
        <v>21409.05</v>
      </c>
      <c r="AP7292" s="9">
        <v>2.6208640020120262</v>
      </c>
    </row>
    <row r="7293" spans="40:42" x14ac:dyDescent="0.3">
      <c r="AN7293">
        <v>7289</v>
      </c>
      <c r="AO7293" s="11">
        <v>34992.94</v>
      </c>
      <c r="AP7293" s="9">
        <v>4.0455598719106209</v>
      </c>
    </row>
    <row r="7294" spans="40:42" x14ac:dyDescent="0.3">
      <c r="AN7294">
        <v>7290</v>
      </c>
      <c r="AO7294" s="11">
        <v>25301.42</v>
      </c>
      <c r="AP7294" s="9">
        <v>3.6889046442546354</v>
      </c>
    </row>
    <row r="7295" spans="40:42" x14ac:dyDescent="0.3">
      <c r="AN7295">
        <v>7291</v>
      </c>
      <c r="AO7295" s="11">
        <v>18502.18</v>
      </c>
      <c r="AP7295" s="9">
        <v>2.8960540354986022</v>
      </c>
    </row>
    <row r="7296" spans="40:42" x14ac:dyDescent="0.3">
      <c r="AN7296">
        <v>7292</v>
      </c>
      <c r="AO7296" s="11">
        <v>20164.68</v>
      </c>
      <c r="AP7296" s="9">
        <v>3.1810088368353382</v>
      </c>
    </row>
    <row r="7297" spans="40:42" x14ac:dyDescent="0.3">
      <c r="AN7297">
        <v>7293</v>
      </c>
      <c r="AO7297" s="11">
        <v>33218.51</v>
      </c>
      <c r="AP7297" s="9">
        <v>3.5633290741347166</v>
      </c>
    </row>
    <row r="7298" spans="40:42" x14ac:dyDescent="0.3">
      <c r="AN7298">
        <v>7294</v>
      </c>
      <c r="AO7298" s="11">
        <v>23461.49</v>
      </c>
      <c r="AP7298" s="9">
        <v>3.8203704017785256</v>
      </c>
    </row>
    <row r="7299" spans="40:42" x14ac:dyDescent="0.3">
      <c r="AN7299">
        <v>7295</v>
      </c>
      <c r="AO7299" s="11">
        <v>18017.48</v>
      </c>
      <c r="AP7299" s="9">
        <v>3.0321888045421188</v>
      </c>
    </row>
    <row r="7300" spans="40:42" x14ac:dyDescent="0.3">
      <c r="AN7300">
        <v>7296</v>
      </c>
      <c r="AO7300" s="11">
        <v>28350.82</v>
      </c>
      <c r="AP7300" s="9">
        <v>4.1833663167381259</v>
      </c>
    </row>
    <row r="7301" spans="40:42" x14ac:dyDescent="0.3">
      <c r="AN7301">
        <v>7297</v>
      </c>
      <c r="AO7301" s="11">
        <v>17100.919999999998</v>
      </c>
      <c r="AP7301" s="9">
        <v>3.0517649699111549</v>
      </c>
    </row>
    <row r="7302" spans="40:42" x14ac:dyDescent="0.3">
      <c r="AN7302">
        <v>7298</v>
      </c>
      <c r="AO7302" s="11">
        <v>30347.03</v>
      </c>
      <c r="AP7302" s="9">
        <v>3.177088678374306</v>
      </c>
    </row>
    <row r="7303" spans="40:42" x14ac:dyDescent="0.3">
      <c r="AN7303">
        <v>7299</v>
      </c>
      <c r="AO7303" s="11">
        <v>27411.37</v>
      </c>
      <c r="AP7303" s="9">
        <v>3.4244521837370234</v>
      </c>
    </row>
    <row r="7304" spans="40:42" x14ac:dyDescent="0.3">
      <c r="AN7304">
        <v>7300</v>
      </c>
      <c r="AO7304" s="11">
        <v>16310.26</v>
      </c>
      <c r="AP7304" s="9">
        <v>3.4640434433797656</v>
      </c>
    </row>
    <row r="7305" spans="40:42" x14ac:dyDescent="0.3">
      <c r="AN7305">
        <v>7301</v>
      </c>
      <c r="AO7305" s="11">
        <v>28478.71</v>
      </c>
      <c r="AP7305" s="9">
        <v>2.9302546977427117</v>
      </c>
    </row>
    <row r="7306" spans="40:42" x14ac:dyDescent="0.3">
      <c r="AN7306">
        <v>7302</v>
      </c>
      <c r="AO7306" s="11">
        <v>23369.8</v>
      </c>
      <c r="AP7306" s="9">
        <v>3.0759464224145834</v>
      </c>
    </row>
    <row r="7307" spans="40:42" x14ac:dyDescent="0.3">
      <c r="AN7307">
        <v>7303</v>
      </c>
      <c r="AO7307" s="11">
        <v>28395.57</v>
      </c>
      <c r="AP7307" s="9">
        <v>3.6213697575792985</v>
      </c>
    </row>
    <row r="7308" spans="40:42" x14ac:dyDescent="0.3">
      <c r="AN7308">
        <v>7304</v>
      </c>
      <c r="AO7308" s="11">
        <v>22510.16</v>
      </c>
      <c r="AP7308" s="9">
        <v>3.203886869483239</v>
      </c>
    </row>
    <row r="7309" spans="40:42" x14ac:dyDescent="0.3">
      <c r="AN7309">
        <v>7305</v>
      </c>
      <c r="AO7309" s="11">
        <v>29832.5</v>
      </c>
      <c r="AP7309" s="9">
        <v>3.6901007668931483</v>
      </c>
    </row>
    <row r="7310" spans="40:42" x14ac:dyDescent="0.3">
      <c r="AN7310">
        <v>7306</v>
      </c>
      <c r="AO7310" s="11">
        <v>24571.51</v>
      </c>
      <c r="AP7310" s="9">
        <v>2.9649349845688548</v>
      </c>
    </row>
    <row r="7311" spans="40:42" x14ac:dyDescent="0.3">
      <c r="AN7311">
        <v>7307</v>
      </c>
      <c r="AO7311" s="11">
        <v>25839.040000000001</v>
      </c>
      <c r="AP7311" s="9">
        <v>3.4247556980468774</v>
      </c>
    </row>
    <row r="7312" spans="40:42" x14ac:dyDescent="0.3">
      <c r="AN7312">
        <v>7308</v>
      </c>
      <c r="AO7312" s="11">
        <v>19141.84</v>
      </c>
      <c r="AP7312" s="9">
        <v>2.9747065463838505</v>
      </c>
    </row>
    <row r="7313" spans="40:42" x14ac:dyDescent="0.3">
      <c r="AN7313">
        <v>7309</v>
      </c>
      <c r="AO7313" s="11">
        <v>24263.37</v>
      </c>
      <c r="AP7313" s="9">
        <v>3.0400954608368149</v>
      </c>
    </row>
    <row r="7314" spans="40:42" x14ac:dyDescent="0.3">
      <c r="AN7314">
        <v>7310</v>
      </c>
      <c r="AO7314" s="11">
        <v>28425.73</v>
      </c>
      <c r="AP7314" s="9">
        <v>3.7118820613480175</v>
      </c>
    </row>
    <row r="7315" spans="40:42" x14ac:dyDescent="0.3">
      <c r="AN7315">
        <v>7311</v>
      </c>
      <c r="AO7315" s="11">
        <v>36721.03</v>
      </c>
      <c r="AP7315" s="9">
        <v>3.9531668327767395</v>
      </c>
    </row>
    <row r="7316" spans="40:42" x14ac:dyDescent="0.3">
      <c r="AN7316">
        <v>7312</v>
      </c>
      <c r="AO7316" s="11">
        <v>26634.67</v>
      </c>
      <c r="AP7316" s="9">
        <v>2.6784216467025259</v>
      </c>
    </row>
    <row r="7317" spans="40:42" x14ac:dyDescent="0.3">
      <c r="AN7317">
        <v>7313</v>
      </c>
      <c r="AO7317" s="11">
        <v>32624.92</v>
      </c>
      <c r="AP7317" s="9">
        <v>2.8557696138904265</v>
      </c>
    </row>
    <row r="7318" spans="40:42" x14ac:dyDescent="0.3">
      <c r="AN7318">
        <v>7314</v>
      </c>
      <c r="AO7318" s="11">
        <v>35280.5</v>
      </c>
      <c r="AP7318" s="9">
        <v>3.7253636110662871</v>
      </c>
    </row>
    <row r="7319" spans="40:42" x14ac:dyDescent="0.3">
      <c r="AN7319">
        <v>7315</v>
      </c>
      <c r="AO7319" s="11">
        <v>38027.64</v>
      </c>
      <c r="AP7319" s="9">
        <v>3.375974135747263</v>
      </c>
    </row>
    <row r="7320" spans="40:42" x14ac:dyDescent="0.3">
      <c r="AN7320">
        <v>7316</v>
      </c>
      <c r="AO7320" s="11">
        <v>29375.4</v>
      </c>
      <c r="AP7320" s="9">
        <v>3.4168028782321236</v>
      </c>
    </row>
    <row r="7321" spans="40:42" x14ac:dyDescent="0.3">
      <c r="AN7321">
        <v>7317</v>
      </c>
      <c r="AO7321" s="11">
        <v>20089.53</v>
      </c>
      <c r="AP7321" s="9">
        <v>3.4432708715784854</v>
      </c>
    </row>
    <row r="7322" spans="40:42" x14ac:dyDescent="0.3">
      <c r="AN7322">
        <v>7318</v>
      </c>
      <c r="AO7322" s="11">
        <v>31724.5</v>
      </c>
      <c r="AP7322" s="9">
        <v>3.2109925459511515</v>
      </c>
    </row>
    <row r="7323" spans="40:42" x14ac:dyDescent="0.3">
      <c r="AN7323">
        <v>7319</v>
      </c>
      <c r="AO7323" s="11">
        <v>34227.94</v>
      </c>
      <c r="AP7323" s="9">
        <v>3.6346280298989071</v>
      </c>
    </row>
    <row r="7324" spans="40:42" x14ac:dyDescent="0.3">
      <c r="AN7324">
        <v>7320</v>
      </c>
      <c r="AO7324" s="11">
        <v>26238.3</v>
      </c>
      <c r="AP7324" s="9">
        <v>3.1604780396640968</v>
      </c>
    </row>
    <row r="7325" spans="40:42" x14ac:dyDescent="0.3">
      <c r="AN7325">
        <v>7321</v>
      </c>
      <c r="AO7325" s="11">
        <v>29234</v>
      </c>
      <c r="AP7325" s="9">
        <v>2.9470607754279361</v>
      </c>
    </row>
    <row r="7326" spans="40:42" x14ac:dyDescent="0.3">
      <c r="AN7326">
        <v>7322</v>
      </c>
      <c r="AO7326" s="11">
        <v>29984.43</v>
      </c>
      <c r="AP7326" s="9">
        <v>3.8343877326778308</v>
      </c>
    </row>
    <row r="7327" spans="40:42" x14ac:dyDescent="0.3">
      <c r="AN7327">
        <v>7323</v>
      </c>
      <c r="AO7327" s="11">
        <v>32163.27</v>
      </c>
      <c r="AP7327" s="9">
        <v>3.6551417800905273</v>
      </c>
    </row>
    <row r="7328" spans="40:42" x14ac:dyDescent="0.3">
      <c r="AN7328">
        <v>7324</v>
      </c>
      <c r="AO7328" s="11">
        <v>38927.1</v>
      </c>
      <c r="AP7328" s="9">
        <v>3.693915791376694</v>
      </c>
    </row>
    <row r="7329" spans="40:42" x14ac:dyDescent="0.3">
      <c r="AN7329">
        <v>7325</v>
      </c>
      <c r="AO7329" s="11">
        <v>29792.45</v>
      </c>
      <c r="AP7329" s="9">
        <v>3.8421025810672225</v>
      </c>
    </row>
    <row r="7330" spans="40:42" x14ac:dyDescent="0.3">
      <c r="AN7330">
        <v>7326</v>
      </c>
      <c r="AO7330" s="11">
        <v>28876.32</v>
      </c>
      <c r="AP7330" s="9">
        <v>3.3203596807278695</v>
      </c>
    </row>
    <row r="7331" spans="40:42" x14ac:dyDescent="0.3">
      <c r="AN7331">
        <v>7327</v>
      </c>
      <c r="AO7331" s="11">
        <v>41706.79</v>
      </c>
      <c r="AP7331" s="9">
        <v>3.8102885099943746</v>
      </c>
    </row>
    <row r="7332" spans="40:42" x14ac:dyDescent="0.3">
      <c r="AN7332">
        <v>7328</v>
      </c>
      <c r="AO7332" s="11">
        <v>19398.3</v>
      </c>
      <c r="AP7332" s="9">
        <v>3.0480791942951995</v>
      </c>
    </row>
    <row r="7333" spans="40:42" x14ac:dyDescent="0.3">
      <c r="AN7333">
        <v>7329</v>
      </c>
      <c r="AO7333" s="11">
        <v>23957.45</v>
      </c>
      <c r="AP7333" s="9">
        <v>3.0476689961938517</v>
      </c>
    </row>
    <row r="7334" spans="40:42" x14ac:dyDescent="0.3">
      <c r="AN7334">
        <v>7330</v>
      </c>
      <c r="AO7334" s="11">
        <v>32313.18</v>
      </c>
      <c r="AP7334" s="9">
        <v>3.7778980108031774</v>
      </c>
    </row>
    <row r="7335" spans="40:42" x14ac:dyDescent="0.3">
      <c r="AN7335">
        <v>7331</v>
      </c>
      <c r="AO7335" s="11">
        <v>28639.96</v>
      </c>
      <c r="AP7335" s="9">
        <v>3.4065956015205363</v>
      </c>
    </row>
    <row r="7336" spans="40:42" x14ac:dyDescent="0.3">
      <c r="AN7336">
        <v>7332</v>
      </c>
      <c r="AO7336" s="11">
        <v>34992.93</v>
      </c>
      <c r="AP7336" s="9">
        <v>2.7721236424528226</v>
      </c>
    </row>
    <row r="7337" spans="40:42" x14ac:dyDescent="0.3">
      <c r="AN7337">
        <v>7333</v>
      </c>
      <c r="AO7337" s="11">
        <v>21561.55</v>
      </c>
      <c r="AP7337" s="9">
        <v>2.7557455871435583</v>
      </c>
    </row>
    <row r="7338" spans="40:42" x14ac:dyDescent="0.3">
      <c r="AN7338">
        <v>7334</v>
      </c>
      <c r="AO7338" s="11">
        <v>21438.22</v>
      </c>
      <c r="AP7338" s="9">
        <v>3.2053308069266162</v>
      </c>
    </row>
    <row r="7339" spans="40:42" x14ac:dyDescent="0.3">
      <c r="AN7339">
        <v>7335</v>
      </c>
      <c r="AO7339" s="11">
        <v>36606.129999999997</v>
      </c>
      <c r="AP7339" s="9">
        <v>3.4900144051185027</v>
      </c>
    </row>
    <row r="7340" spans="40:42" x14ac:dyDescent="0.3">
      <c r="AN7340">
        <v>7336</v>
      </c>
      <c r="AO7340" s="11">
        <v>29900.68</v>
      </c>
      <c r="AP7340" s="9">
        <v>3.6209294758483761</v>
      </c>
    </row>
    <row r="7341" spans="40:42" x14ac:dyDescent="0.3">
      <c r="AN7341">
        <v>7337</v>
      </c>
      <c r="AO7341" s="11">
        <v>20866.240000000002</v>
      </c>
      <c r="AP7341" s="9">
        <v>3.0043279245235461</v>
      </c>
    </row>
    <row r="7342" spans="40:42" x14ac:dyDescent="0.3">
      <c r="AN7342">
        <v>7338</v>
      </c>
      <c r="AO7342" s="11">
        <v>26422.62</v>
      </c>
      <c r="AP7342" s="9">
        <v>3.2993468333155129</v>
      </c>
    </row>
    <row r="7343" spans="40:42" x14ac:dyDescent="0.3">
      <c r="AN7343">
        <v>7339</v>
      </c>
      <c r="AO7343" s="11">
        <v>19530.599999999999</v>
      </c>
      <c r="AP7343" s="9">
        <v>2.9938578073813584</v>
      </c>
    </row>
    <row r="7344" spans="40:42" x14ac:dyDescent="0.3">
      <c r="AN7344">
        <v>7340</v>
      </c>
      <c r="AO7344" s="11">
        <v>26932.18</v>
      </c>
      <c r="AP7344" s="9">
        <v>3.0788492610576164</v>
      </c>
    </row>
    <row r="7345" spans="40:42" x14ac:dyDescent="0.3">
      <c r="AN7345">
        <v>7341</v>
      </c>
      <c r="AO7345" s="11">
        <v>23395.07</v>
      </c>
      <c r="AP7345" s="9">
        <v>3.2369663894623297</v>
      </c>
    </row>
    <row r="7346" spans="40:42" x14ac:dyDescent="0.3">
      <c r="AN7346">
        <v>7342</v>
      </c>
      <c r="AO7346" s="11">
        <v>23318.53</v>
      </c>
      <c r="AP7346" s="9">
        <v>2.6587144490605561</v>
      </c>
    </row>
    <row r="7347" spans="40:42" x14ac:dyDescent="0.3">
      <c r="AN7347">
        <v>7343</v>
      </c>
      <c r="AO7347" s="11">
        <v>41802.9</v>
      </c>
      <c r="AP7347" s="9">
        <v>4.6255248750603783</v>
      </c>
    </row>
    <row r="7348" spans="40:42" x14ac:dyDescent="0.3">
      <c r="AN7348">
        <v>7344</v>
      </c>
      <c r="AO7348" s="11">
        <v>30632.400000000001</v>
      </c>
      <c r="AP7348" s="9">
        <v>2.7747739616142071</v>
      </c>
    </row>
    <row r="7349" spans="40:42" x14ac:dyDescent="0.3">
      <c r="AN7349">
        <v>7345</v>
      </c>
      <c r="AO7349" s="11">
        <v>20492.95</v>
      </c>
      <c r="AP7349" s="9">
        <v>2.6990154988298314</v>
      </c>
    </row>
    <row r="7350" spans="40:42" x14ac:dyDescent="0.3">
      <c r="AN7350">
        <v>7346</v>
      </c>
      <c r="AO7350" s="11">
        <v>30559.94</v>
      </c>
      <c r="AP7350" s="9">
        <v>4.0156081523454255</v>
      </c>
    </row>
    <row r="7351" spans="40:42" x14ac:dyDescent="0.3">
      <c r="AN7351">
        <v>7347</v>
      </c>
      <c r="AO7351" s="11">
        <v>22148.01</v>
      </c>
      <c r="AP7351" s="9">
        <v>3.3104757913063807</v>
      </c>
    </row>
    <row r="7352" spans="40:42" x14ac:dyDescent="0.3">
      <c r="AN7352">
        <v>7348</v>
      </c>
      <c r="AO7352" s="11">
        <v>19838.7</v>
      </c>
      <c r="AP7352" s="9">
        <v>2.7295760927457917</v>
      </c>
    </row>
    <row r="7353" spans="40:42" x14ac:dyDescent="0.3">
      <c r="AN7353">
        <v>7349</v>
      </c>
      <c r="AO7353" s="11">
        <v>35589.17</v>
      </c>
      <c r="AP7353" s="9">
        <v>3.0197754299308239</v>
      </c>
    </row>
    <row r="7354" spans="40:42" x14ac:dyDescent="0.3">
      <c r="AN7354">
        <v>7350</v>
      </c>
      <c r="AO7354" s="11">
        <v>20746.740000000002</v>
      </c>
      <c r="AP7354" s="9">
        <v>3.1554888843884297</v>
      </c>
    </row>
    <row r="7355" spans="40:42" x14ac:dyDescent="0.3">
      <c r="AN7355">
        <v>7351</v>
      </c>
      <c r="AO7355" s="11">
        <v>29994.639999999999</v>
      </c>
      <c r="AP7355" s="9">
        <v>3.4896436438244582</v>
      </c>
    </row>
    <row r="7356" spans="40:42" x14ac:dyDescent="0.3">
      <c r="AN7356">
        <v>7352</v>
      </c>
      <c r="AO7356" s="11">
        <v>19643.36</v>
      </c>
      <c r="AP7356" s="9">
        <v>2.7324651977637111</v>
      </c>
    </row>
    <row r="7357" spans="40:42" x14ac:dyDescent="0.3">
      <c r="AN7357">
        <v>7353</v>
      </c>
      <c r="AO7357" s="11">
        <v>35249.58</v>
      </c>
      <c r="AP7357" s="9">
        <v>3.8217346163214314</v>
      </c>
    </row>
    <row r="7358" spans="40:42" x14ac:dyDescent="0.3">
      <c r="AN7358">
        <v>7354</v>
      </c>
      <c r="AO7358" s="11">
        <v>23644.93</v>
      </c>
      <c r="AP7358" s="9">
        <v>3.3478104387152574</v>
      </c>
    </row>
    <row r="7359" spans="40:42" x14ac:dyDescent="0.3">
      <c r="AN7359">
        <v>7355</v>
      </c>
      <c r="AO7359" s="11">
        <v>16130.67</v>
      </c>
      <c r="AP7359" s="9">
        <v>2.9668569282352704</v>
      </c>
    </row>
    <row r="7360" spans="40:42" x14ac:dyDescent="0.3">
      <c r="AN7360">
        <v>7356</v>
      </c>
      <c r="AO7360" s="11">
        <v>22899.94</v>
      </c>
      <c r="AP7360" s="9">
        <v>3.085473670147207</v>
      </c>
    </row>
    <row r="7361" spans="40:42" x14ac:dyDescent="0.3">
      <c r="AN7361">
        <v>7357</v>
      </c>
      <c r="AO7361" s="11">
        <v>17733.72</v>
      </c>
      <c r="AP7361" s="9">
        <v>2.6283807481447794</v>
      </c>
    </row>
    <row r="7362" spans="40:42" x14ac:dyDescent="0.3">
      <c r="AN7362">
        <v>7358</v>
      </c>
      <c r="AO7362" s="11">
        <v>27015.47</v>
      </c>
      <c r="AP7362" s="9">
        <v>3.1664831892702052</v>
      </c>
    </row>
    <row r="7363" spans="40:42" x14ac:dyDescent="0.3">
      <c r="AN7363">
        <v>7359</v>
      </c>
      <c r="AO7363" s="11">
        <v>34511.99</v>
      </c>
      <c r="AP7363" s="9">
        <v>3.3953335586080295</v>
      </c>
    </row>
    <row r="7364" spans="40:42" x14ac:dyDescent="0.3">
      <c r="AN7364">
        <v>7360</v>
      </c>
      <c r="AO7364" s="11">
        <v>29184.959999999999</v>
      </c>
      <c r="AP7364" s="9">
        <v>3.327567464219316</v>
      </c>
    </row>
    <row r="7365" spans="40:42" x14ac:dyDescent="0.3">
      <c r="AN7365">
        <v>7361</v>
      </c>
      <c r="AO7365" s="11">
        <v>38343.1</v>
      </c>
      <c r="AP7365" s="9">
        <v>3.6571292947030125</v>
      </c>
    </row>
    <row r="7366" spans="40:42" x14ac:dyDescent="0.3">
      <c r="AN7366">
        <v>7362</v>
      </c>
      <c r="AO7366" s="11">
        <v>21643.360000000001</v>
      </c>
      <c r="AP7366" s="9">
        <v>3.3253117987751954</v>
      </c>
    </row>
    <row r="7367" spans="40:42" x14ac:dyDescent="0.3">
      <c r="AN7367">
        <v>7363</v>
      </c>
      <c r="AO7367" s="11">
        <v>31415.38</v>
      </c>
      <c r="AP7367" s="9">
        <v>3.1267855139094389</v>
      </c>
    </row>
    <row r="7368" spans="40:42" x14ac:dyDescent="0.3">
      <c r="AN7368">
        <v>7364</v>
      </c>
      <c r="AO7368" s="11">
        <v>26561.5</v>
      </c>
      <c r="AP7368" s="9">
        <v>3.1393655746639895</v>
      </c>
    </row>
    <row r="7369" spans="40:42" x14ac:dyDescent="0.3">
      <c r="AN7369">
        <v>7365</v>
      </c>
      <c r="AO7369" s="11">
        <v>23980.87</v>
      </c>
      <c r="AP7369" s="9">
        <v>3.9550651113331901</v>
      </c>
    </row>
    <row r="7370" spans="40:42" x14ac:dyDescent="0.3">
      <c r="AN7370">
        <v>7366</v>
      </c>
      <c r="AO7370" s="11">
        <v>19635.400000000001</v>
      </c>
      <c r="AP7370" s="9">
        <v>3.4366544091224873</v>
      </c>
    </row>
    <row r="7371" spans="40:42" x14ac:dyDescent="0.3">
      <c r="AN7371">
        <v>7367</v>
      </c>
      <c r="AO7371" s="11">
        <v>32469.360000000001</v>
      </c>
      <c r="AP7371" s="9">
        <v>3.639401504916723</v>
      </c>
    </row>
    <row r="7372" spans="40:42" x14ac:dyDescent="0.3">
      <c r="AN7372">
        <v>7368</v>
      </c>
      <c r="AO7372" s="11">
        <v>22614.35</v>
      </c>
      <c r="AP7372" s="9">
        <v>3.264822651942207</v>
      </c>
    </row>
    <row r="7373" spans="40:42" x14ac:dyDescent="0.3">
      <c r="AN7373">
        <v>7369</v>
      </c>
      <c r="AO7373" s="11">
        <v>28426.95</v>
      </c>
      <c r="AP7373" s="9">
        <v>3.2687259669813304</v>
      </c>
    </row>
    <row r="7374" spans="40:42" x14ac:dyDescent="0.3">
      <c r="AN7374">
        <v>7370</v>
      </c>
      <c r="AO7374" s="11">
        <v>30571.62</v>
      </c>
      <c r="AP7374" s="9">
        <v>3.513997977116448</v>
      </c>
    </row>
    <row r="7375" spans="40:42" x14ac:dyDescent="0.3">
      <c r="AN7375">
        <v>7371</v>
      </c>
      <c r="AO7375" s="11">
        <v>28452.62</v>
      </c>
      <c r="AP7375" s="9">
        <v>2.9921623325503526</v>
      </c>
    </row>
    <row r="7376" spans="40:42" x14ac:dyDescent="0.3">
      <c r="AN7376">
        <v>7372</v>
      </c>
      <c r="AO7376" s="11">
        <v>21774.35</v>
      </c>
      <c r="AP7376" s="9">
        <v>3.2843353251687244</v>
      </c>
    </row>
    <row r="7377" spans="40:42" x14ac:dyDescent="0.3">
      <c r="AN7377">
        <v>7373</v>
      </c>
      <c r="AO7377" s="11">
        <v>22203.89</v>
      </c>
      <c r="AP7377" s="9">
        <v>3.0837810682077644</v>
      </c>
    </row>
    <row r="7378" spans="40:42" x14ac:dyDescent="0.3">
      <c r="AN7378">
        <v>7374</v>
      </c>
      <c r="AO7378" s="11">
        <v>27206.31</v>
      </c>
      <c r="AP7378" s="9">
        <v>3.2718554742847492</v>
      </c>
    </row>
    <row r="7379" spans="40:42" x14ac:dyDescent="0.3">
      <c r="AN7379">
        <v>7375</v>
      </c>
      <c r="AO7379" s="11">
        <v>19074.810000000001</v>
      </c>
      <c r="AP7379" s="9">
        <v>3.1864207076382538</v>
      </c>
    </row>
    <row r="7380" spans="40:42" x14ac:dyDescent="0.3">
      <c r="AN7380">
        <v>7376</v>
      </c>
      <c r="AO7380" s="11">
        <v>25084.37</v>
      </c>
      <c r="AP7380" s="9">
        <v>3.2082526808608511</v>
      </c>
    </row>
    <row r="7381" spans="40:42" x14ac:dyDescent="0.3">
      <c r="AN7381">
        <v>7377</v>
      </c>
      <c r="AO7381" s="11">
        <v>27117.86</v>
      </c>
      <c r="AP7381" s="9">
        <v>4.0463915189823885</v>
      </c>
    </row>
    <row r="7382" spans="40:42" x14ac:dyDescent="0.3">
      <c r="AN7382">
        <v>7378</v>
      </c>
      <c r="AO7382" s="11">
        <v>28947.46</v>
      </c>
      <c r="AP7382" s="9">
        <v>2.9355082067271803</v>
      </c>
    </row>
    <row r="7383" spans="40:42" x14ac:dyDescent="0.3">
      <c r="AN7383">
        <v>7379</v>
      </c>
      <c r="AO7383" s="11">
        <v>30178.17</v>
      </c>
      <c r="AP7383" s="9">
        <v>3.5872031845204915</v>
      </c>
    </row>
    <row r="7384" spans="40:42" x14ac:dyDescent="0.3">
      <c r="AN7384">
        <v>7380</v>
      </c>
      <c r="AO7384" s="11">
        <v>24186.01</v>
      </c>
      <c r="AP7384" s="9">
        <v>3.6722997319473634</v>
      </c>
    </row>
    <row r="7385" spans="40:42" x14ac:dyDescent="0.3">
      <c r="AN7385">
        <v>7381</v>
      </c>
      <c r="AO7385" s="11">
        <v>20123</v>
      </c>
      <c r="AP7385" s="9">
        <v>3.302450872555279</v>
      </c>
    </row>
    <row r="7386" spans="40:42" x14ac:dyDescent="0.3">
      <c r="AN7386">
        <v>7382</v>
      </c>
      <c r="AO7386" s="11">
        <v>29145.43</v>
      </c>
      <c r="AP7386" s="9">
        <v>3.6685964494725689</v>
      </c>
    </row>
    <row r="7387" spans="40:42" x14ac:dyDescent="0.3">
      <c r="AN7387">
        <v>7383</v>
      </c>
      <c r="AO7387" s="11">
        <v>24810.13</v>
      </c>
      <c r="AP7387" s="9">
        <v>3.1709091082755587</v>
      </c>
    </row>
    <row r="7388" spans="40:42" x14ac:dyDescent="0.3">
      <c r="AN7388">
        <v>7384</v>
      </c>
      <c r="AO7388" s="11">
        <v>37021.21</v>
      </c>
      <c r="AP7388" s="9">
        <v>3.1598970745738977</v>
      </c>
    </row>
    <row r="7389" spans="40:42" x14ac:dyDescent="0.3">
      <c r="AN7389">
        <v>7385</v>
      </c>
      <c r="AO7389" s="11">
        <v>31637.200000000001</v>
      </c>
      <c r="AP7389" s="9">
        <v>3.0681127032094113</v>
      </c>
    </row>
    <row r="7390" spans="40:42" x14ac:dyDescent="0.3">
      <c r="AN7390">
        <v>7386</v>
      </c>
      <c r="AO7390" s="11">
        <v>39084.97</v>
      </c>
      <c r="AP7390" s="9">
        <v>4.2794293648471342</v>
      </c>
    </row>
    <row r="7391" spans="40:42" x14ac:dyDescent="0.3">
      <c r="AN7391">
        <v>7387</v>
      </c>
      <c r="AO7391" s="11">
        <v>31255.4</v>
      </c>
      <c r="AP7391" s="9">
        <v>3.9215361355549341</v>
      </c>
    </row>
    <row r="7392" spans="40:42" x14ac:dyDescent="0.3">
      <c r="AN7392">
        <v>7388</v>
      </c>
      <c r="AO7392" s="11">
        <v>23505.73</v>
      </c>
      <c r="AP7392" s="9">
        <v>3.827550733542544</v>
      </c>
    </row>
    <row r="7393" spans="40:42" x14ac:dyDescent="0.3">
      <c r="AN7393">
        <v>7389</v>
      </c>
      <c r="AO7393" s="11">
        <v>17372.93</v>
      </c>
      <c r="AP7393" s="9">
        <v>2.8771218241460694</v>
      </c>
    </row>
    <row r="7394" spans="40:42" x14ac:dyDescent="0.3">
      <c r="AN7394">
        <v>7390</v>
      </c>
      <c r="AO7394" s="11">
        <v>28378.81</v>
      </c>
      <c r="AP7394" s="9">
        <v>3.7753009248075649</v>
      </c>
    </row>
    <row r="7395" spans="40:42" x14ac:dyDescent="0.3">
      <c r="AN7395">
        <v>7391</v>
      </c>
      <c r="AO7395" s="11">
        <v>40109.370000000003</v>
      </c>
      <c r="AP7395" s="9">
        <v>3.713843153008257</v>
      </c>
    </row>
    <row r="7396" spans="40:42" x14ac:dyDescent="0.3">
      <c r="AN7396">
        <v>7392</v>
      </c>
      <c r="AO7396" s="11">
        <v>29096.75</v>
      </c>
      <c r="AP7396" s="9">
        <v>3.279824114207786</v>
      </c>
    </row>
    <row r="7397" spans="40:42" x14ac:dyDescent="0.3">
      <c r="AN7397">
        <v>7393</v>
      </c>
      <c r="AO7397" s="11">
        <v>22708.22</v>
      </c>
      <c r="AP7397" s="9">
        <v>2.8241237995236674</v>
      </c>
    </row>
    <row r="7398" spans="40:42" x14ac:dyDescent="0.3">
      <c r="AN7398">
        <v>7394</v>
      </c>
      <c r="AO7398" s="11">
        <v>15939.19</v>
      </c>
      <c r="AP7398" s="9">
        <v>2.8264724419124003</v>
      </c>
    </row>
    <row r="7399" spans="40:42" x14ac:dyDescent="0.3">
      <c r="AN7399">
        <v>7395</v>
      </c>
      <c r="AO7399" s="11">
        <v>38179.919999999998</v>
      </c>
      <c r="AP7399" s="9">
        <v>3.5246101795441476</v>
      </c>
    </row>
    <row r="7400" spans="40:42" x14ac:dyDescent="0.3">
      <c r="AN7400">
        <v>7396</v>
      </c>
      <c r="AO7400" s="11">
        <v>27194.58</v>
      </c>
      <c r="AP7400" s="9">
        <v>3.6722230792523995</v>
      </c>
    </row>
    <row r="7401" spans="40:42" x14ac:dyDescent="0.3">
      <c r="AN7401">
        <v>7397</v>
      </c>
      <c r="AO7401" s="11">
        <v>17504.490000000002</v>
      </c>
      <c r="AP7401" s="9">
        <v>2.8375811849209649</v>
      </c>
    </row>
    <row r="7402" spans="40:42" x14ac:dyDescent="0.3">
      <c r="AN7402">
        <v>7398</v>
      </c>
      <c r="AO7402" s="11">
        <v>28404.720000000001</v>
      </c>
      <c r="AP7402" s="9">
        <v>3.5743661164587985</v>
      </c>
    </row>
    <row r="7403" spans="40:42" x14ac:dyDescent="0.3">
      <c r="AN7403">
        <v>7399</v>
      </c>
      <c r="AO7403" s="11">
        <v>19557.05</v>
      </c>
      <c r="AP7403" s="9">
        <v>3.156436530106526</v>
      </c>
    </row>
    <row r="7404" spans="40:42" x14ac:dyDescent="0.3">
      <c r="AN7404">
        <v>7400</v>
      </c>
      <c r="AO7404" s="11">
        <v>36192.79</v>
      </c>
      <c r="AP7404" s="9">
        <v>3.3902334479843699</v>
      </c>
    </row>
    <row r="7405" spans="40:42" x14ac:dyDescent="0.3">
      <c r="AN7405">
        <v>7401</v>
      </c>
      <c r="AO7405" s="11">
        <v>52093.89</v>
      </c>
      <c r="AP7405" s="9">
        <v>3.7165315720876304</v>
      </c>
    </row>
    <row r="7406" spans="40:42" x14ac:dyDescent="0.3">
      <c r="AN7406">
        <v>7402</v>
      </c>
      <c r="AO7406" s="11">
        <v>23819.439999999999</v>
      </c>
      <c r="AP7406" s="9">
        <v>3.1996605992890719</v>
      </c>
    </row>
    <row r="7407" spans="40:42" x14ac:dyDescent="0.3">
      <c r="AN7407">
        <v>7403</v>
      </c>
      <c r="AO7407" s="11">
        <v>27861.17</v>
      </c>
      <c r="AP7407" s="9">
        <v>3.1377810561387651</v>
      </c>
    </row>
    <row r="7408" spans="40:42" x14ac:dyDescent="0.3">
      <c r="AN7408">
        <v>7404</v>
      </c>
      <c r="AO7408" s="11">
        <v>39712.69</v>
      </c>
      <c r="AP7408" s="9">
        <v>4.085891587608943</v>
      </c>
    </row>
    <row r="7409" spans="40:42" x14ac:dyDescent="0.3">
      <c r="AN7409">
        <v>7405</v>
      </c>
      <c r="AO7409" s="11">
        <v>25957.38</v>
      </c>
      <c r="AP7409" s="9">
        <v>3.3645525078181797</v>
      </c>
    </row>
    <row r="7410" spans="40:42" x14ac:dyDescent="0.3">
      <c r="AN7410">
        <v>7406</v>
      </c>
      <c r="AO7410" s="11">
        <v>25373.9</v>
      </c>
      <c r="AP7410" s="9">
        <v>2.9074540232031825</v>
      </c>
    </row>
    <row r="7411" spans="40:42" x14ac:dyDescent="0.3">
      <c r="AN7411">
        <v>7407</v>
      </c>
      <c r="AO7411" s="11">
        <v>24349.97</v>
      </c>
      <c r="AP7411" s="9">
        <v>3.2096856618628338</v>
      </c>
    </row>
    <row r="7412" spans="40:42" x14ac:dyDescent="0.3">
      <c r="AN7412">
        <v>7408</v>
      </c>
      <c r="AO7412" s="11">
        <v>26217</v>
      </c>
      <c r="AP7412" s="9">
        <v>3.1256099141795959</v>
      </c>
    </row>
    <row r="7413" spans="40:42" x14ac:dyDescent="0.3">
      <c r="AN7413">
        <v>7409</v>
      </c>
      <c r="AO7413" s="11">
        <v>19791.75</v>
      </c>
      <c r="AP7413" s="9">
        <v>3.2275588084842255</v>
      </c>
    </row>
    <row r="7414" spans="40:42" x14ac:dyDescent="0.3">
      <c r="AN7414">
        <v>7410</v>
      </c>
      <c r="AO7414" s="11">
        <v>31634.97</v>
      </c>
      <c r="AP7414" s="9">
        <v>2.9917731227325737</v>
      </c>
    </row>
    <row r="7415" spans="40:42" x14ac:dyDescent="0.3">
      <c r="AN7415">
        <v>7411</v>
      </c>
      <c r="AO7415" s="11">
        <v>25731.040000000001</v>
      </c>
      <c r="AP7415" s="9">
        <v>3.6121146990431399</v>
      </c>
    </row>
    <row r="7416" spans="40:42" x14ac:dyDescent="0.3">
      <c r="AN7416">
        <v>7412</v>
      </c>
      <c r="AO7416" s="11">
        <v>16848.080000000002</v>
      </c>
      <c r="AP7416" s="9">
        <v>3.1284793176457235</v>
      </c>
    </row>
    <row r="7417" spans="40:42" x14ac:dyDescent="0.3">
      <c r="AN7417">
        <v>7413</v>
      </c>
      <c r="AO7417" s="11">
        <v>16794.13</v>
      </c>
      <c r="AP7417" s="9">
        <v>3.0617065119457378</v>
      </c>
    </row>
    <row r="7418" spans="40:42" x14ac:dyDescent="0.3">
      <c r="AN7418">
        <v>7414</v>
      </c>
      <c r="AO7418" s="11">
        <v>22984.52</v>
      </c>
      <c r="AP7418" s="9">
        <v>2.9716715880286859</v>
      </c>
    </row>
    <row r="7419" spans="40:42" x14ac:dyDescent="0.3">
      <c r="AN7419">
        <v>7415</v>
      </c>
      <c r="AO7419" s="11">
        <v>24771.66</v>
      </c>
      <c r="AP7419" s="9">
        <v>3.1851725498944208</v>
      </c>
    </row>
    <row r="7420" spans="40:42" x14ac:dyDescent="0.3">
      <c r="AN7420">
        <v>7416</v>
      </c>
      <c r="AO7420" s="11">
        <v>25094.32</v>
      </c>
      <c r="AP7420" s="9">
        <v>3.3618063672216305</v>
      </c>
    </row>
    <row r="7421" spans="40:42" x14ac:dyDescent="0.3">
      <c r="AN7421">
        <v>7417</v>
      </c>
      <c r="AO7421" s="11">
        <v>24243.99</v>
      </c>
      <c r="AP7421" s="9">
        <v>3.2455007036694603</v>
      </c>
    </row>
    <row r="7422" spans="40:42" x14ac:dyDescent="0.3">
      <c r="AN7422">
        <v>7418</v>
      </c>
      <c r="AO7422" s="11">
        <v>33250.74</v>
      </c>
      <c r="AP7422" s="9">
        <v>3.3379490635498561</v>
      </c>
    </row>
    <row r="7423" spans="40:42" x14ac:dyDescent="0.3">
      <c r="AN7423">
        <v>7419</v>
      </c>
      <c r="AO7423" s="11">
        <v>25845.24</v>
      </c>
      <c r="AP7423" s="9">
        <v>3.4636454787776128</v>
      </c>
    </row>
    <row r="7424" spans="40:42" x14ac:dyDescent="0.3">
      <c r="AN7424">
        <v>7420</v>
      </c>
      <c r="AO7424" s="11">
        <v>34908.54</v>
      </c>
      <c r="AP7424" s="9">
        <v>3.5499257117392538</v>
      </c>
    </row>
    <row r="7425" spans="40:42" x14ac:dyDescent="0.3">
      <c r="AN7425">
        <v>7421</v>
      </c>
      <c r="AO7425" s="11">
        <v>29923.99</v>
      </c>
      <c r="AP7425" s="9">
        <v>3.1410507105337824</v>
      </c>
    </row>
    <row r="7426" spans="40:42" x14ac:dyDescent="0.3">
      <c r="AN7426">
        <v>7422</v>
      </c>
      <c r="AO7426" s="11">
        <v>25941.56</v>
      </c>
      <c r="AP7426" s="9">
        <v>3.4371022880382229</v>
      </c>
    </row>
    <row r="7427" spans="40:42" x14ac:dyDescent="0.3">
      <c r="AN7427">
        <v>7423</v>
      </c>
      <c r="AO7427" s="11">
        <v>20813.77</v>
      </c>
      <c r="AP7427" s="9">
        <v>3.3580765812262121</v>
      </c>
    </row>
    <row r="7428" spans="40:42" x14ac:dyDescent="0.3">
      <c r="AN7428">
        <v>7424</v>
      </c>
      <c r="AO7428" s="11">
        <v>17076</v>
      </c>
      <c r="AP7428" s="9">
        <v>2.9625646778420043</v>
      </c>
    </row>
    <row r="7429" spans="40:42" x14ac:dyDescent="0.3">
      <c r="AN7429">
        <v>7425</v>
      </c>
      <c r="AO7429" s="11">
        <v>25272.68</v>
      </c>
      <c r="AP7429" s="9">
        <v>3.0405333844425737</v>
      </c>
    </row>
    <row r="7430" spans="40:42" x14ac:dyDescent="0.3">
      <c r="AN7430">
        <v>7426</v>
      </c>
      <c r="AO7430" s="11">
        <v>19172.560000000001</v>
      </c>
      <c r="AP7430" s="9">
        <v>3.1513603284616827</v>
      </c>
    </row>
    <row r="7431" spans="40:42" x14ac:dyDescent="0.3">
      <c r="AN7431">
        <v>7427</v>
      </c>
      <c r="AO7431" s="11">
        <v>19356.78</v>
      </c>
      <c r="AP7431" s="9">
        <v>3.8125293162706613</v>
      </c>
    </row>
    <row r="7432" spans="40:42" x14ac:dyDescent="0.3">
      <c r="AN7432">
        <v>7428</v>
      </c>
      <c r="AO7432" s="11">
        <v>26854.55</v>
      </c>
      <c r="AP7432" s="9">
        <v>3.2952561898924517</v>
      </c>
    </row>
    <row r="7433" spans="40:42" x14ac:dyDescent="0.3">
      <c r="AN7433">
        <v>7429</v>
      </c>
      <c r="AO7433" s="11">
        <v>27349.040000000001</v>
      </c>
      <c r="AP7433" s="9">
        <v>3.0717199264707533</v>
      </c>
    </row>
    <row r="7434" spans="40:42" x14ac:dyDescent="0.3">
      <c r="AN7434">
        <v>7430</v>
      </c>
      <c r="AO7434" s="11">
        <v>34994.03</v>
      </c>
      <c r="AP7434" s="9">
        <v>4.3675171584009682</v>
      </c>
    </row>
    <row r="7435" spans="40:42" x14ac:dyDescent="0.3">
      <c r="AN7435">
        <v>7431</v>
      </c>
      <c r="AO7435" s="11">
        <v>38009.85</v>
      </c>
      <c r="AP7435" s="9">
        <v>3.9987053720590029</v>
      </c>
    </row>
    <row r="7436" spans="40:42" x14ac:dyDescent="0.3">
      <c r="AN7436">
        <v>7432</v>
      </c>
      <c r="AO7436" s="11">
        <v>26298.03</v>
      </c>
      <c r="AP7436" s="9">
        <v>2.8192470037067752</v>
      </c>
    </row>
    <row r="7437" spans="40:42" x14ac:dyDescent="0.3">
      <c r="AN7437">
        <v>7433</v>
      </c>
      <c r="AO7437" s="11">
        <v>26812.74</v>
      </c>
      <c r="AP7437" s="9">
        <v>2.9904959401155287</v>
      </c>
    </row>
    <row r="7438" spans="40:42" x14ac:dyDescent="0.3">
      <c r="AN7438">
        <v>7434</v>
      </c>
      <c r="AO7438" s="11">
        <v>32873</v>
      </c>
      <c r="AP7438" s="9">
        <v>3.4529108019270978</v>
      </c>
    </row>
    <row r="7439" spans="40:42" x14ac:dyDescent="0.3">
      <c r="AN7439">
        <v>7435</v>
      </c>
      <c r="AO7439" s="11">
        <v>26402.94</v>
      </c>
      <c r="AP7439" s="9">
        <v>3.3867582490891985</v>
      </c>
    </row>
    <row r="7440" spans="40:42" x14ac:dyDescent="0.3">
      <c r="AN7440">
        <v>7436</v>
      </c>
      <c r="AO7440" s="11">
        <v>25890.86</v>
      </c>
      <c r="AP7440" s="9">
        <v>3.8967028421610421</v>
      </c>
    </row>
    <row r="7441" spans="40:42" x14ac:dyDescent="0.3">
      <c r="AN7441">
        <v>7437</v>
      </c>
      <c r="AO7441" s="11">
        <v>24314.84</v>
      </c>
      <c r="AP7441" s="9">
        <v>3.0640728061969869</v>
      </c>
    </row>
    <row r="7442" spans="40:42" x14ac:dyDescent="0.3">
      <c r="AN7442">
        <v>7438</v>
      </c>
      <c r="AO7442" s="11">
        <v>36265.519999999997</v>
      </c>
      <c r="AP7442" s="9">
        <v>3.4357056244303341</v>
      </c>
    </row>
    <row r="7443" spans="40:42" x14ac:dyDescent="0.3">
      <c r="AN7443">
        <v>7439</v>
      </c>
      <c r="AO7443" s="11">
        <v>35548.410000000003</v>
      </c>
      <c r="AP7443" s="9">
        <v>3.4075618890581341</v>
      </c>
    </row>
    <row r="7444" spans="40:42" x14ac:dyDescent="0.3">
      <c r="AN7444">
        <v>7440</v>
      </c>
      <c r="AO7444" s="11">
        <v>31036.71</v>
      </c>
      <c r="AP7444" s="9">
        <v>3.6759569057839916</v>
      </c>
    </row>
    <row r="7445" spans="40:42" x14ac:dyDescent="0.3">
      <c r="AN7445">
        <v>7441</v>
      </c>
      <c r="AO7445" s="11">
        <v>30912.79</v>
      </c>
      <c r="AP7445" s="9">
        <v>3.9114427195795187</v>
      </c>
    </row>
    <row r="7446" spans="40:42" x14ac:dyDescent="0.3">
      <c r="AN7446">
        <v>7442</v>
      </c>
      <c r="AO7446" s="11">
        <v>17128.400000000001</v>
      </c>
      <c r="AP7446" s="9">
        <v>3.6655119945843206</v>
      </c>
    </row>
    <row r="7447" spans="40:42" x14ac:dyDescent="0.3">
      <c r="AN7447">
        <v>7443</v>
      </c>
      <c r="AO7447" s="11">
        <v>20592.02</v>
      </c>
      <c r="AP7447" s="9">
        <v>3.6736872013511808</v>
      </c>
    </row>
    <row r="7448" spans="40:42" x14ac:dyDescent="0.3">
      <c r="AN7448">
        <v>7444</v>
      </c>
      <c r="AO7448" s="11">
        <v>25783.62</v>
      </c>
      <c r="AP7448" s="9">
        <v>2.9161673936931169</v>
      </c>
    </row>
    <row r="7449" spans="40:42" x14ac:dyDescent="0.3">
      <c r="AN7449">
        <v>7445</v>
      </c>
      <c r="AO7449" s="11">
        <v>36290.78</v>
      </c>
      <c r="AP7449" s="9">
        <v>4.011933157460966</v>
      </c>
    </row>
    <row r="7450" spans="40:42" x14ac:dyDescent="0.3">
      <c r="AN7450">
        <v>7446</v>
      </c>
      <c r="AO7450" s="11">
        <v>34107.86</v>
      </c>
      <c r="AP7450" s="9">
        <v>3.8373657945103057</v>
      </c>
    </row>
    <row r="7451" spans="40:42" x14ac:dyDescent="0.3">
      <c r="AN7451">
        <v>7447</v>
      </c>
      <c r="AO7451" s="11">
        <v>23603.45</v>
      </c>
      <c r="AP7451" s="9">
        <v>2.8772418665859476</v>
      </c>
    </row>
    <row r="7452" spans="40:42" x14ac:dyDescent="0.3">
      <c r="AN7452">
        <v>7448</v>
      </c>
      <c r="AO7452" s="11">
        <v>32474.34</v>
      </c>
      <c r="AP7452" s="9">
        <v>3.8909717153987837</v>
      </c>
    </row>
    <row r="7453" spans="40:42" x14ac:dyDescent="0.3">
      <c r="AN7453">
        <v>7449</v>
      </c>
      <c r="AO7453" s="11">
        <v>26368.71</v>
      </c>
      <c r="AP7453" s="9">
        <v>3.1050387400449533</v>
      </c>
    </row>
    <row r="7454" spans="40:42" x14ac:dyDescent="0.3">
      <c r="AN7454">
        <v>7450</v>
      </c>
      <c r="AO7454" s="11">
        <v>30611.040000000001</v>
      </c>
      <c r="AP7454" s="9">
        <v>3.1608621176243377</v>
      </c>
    </row>
    <row r="7455" spans="40:42" x14ac:dyDescent="0.3">
      <c r="AN7455">
        <v>7451</v>
      </c>
      <c r="AO7455" s="11">
        <v>24599.67</v>
      </c>
      <c r="AP7455" s="9">
        <v>3.2658291301393012</v>
      </c>
    </row>
    <row r="7456" spans="40:42" x14ac:dyDescent="0.3">
      <c r="AN7456">
        <v>7452</v>
      </c>
      <c r="AO7456" s="11">
        <v>37279.69</v>
      </c>
      <c r="AP7456" s="9">
        <v>3.5490643589021946</v>
      </c>
    </row>
    <row r="7457" spans="40:42" x14ac:dyDescent="0.3">
      <c r="AN7457">
        <v>7453</v>
      </c>
      <c r="AO7457" s="11">
        <v>24357.99</v>
      </c>
      <c r="AP7457" s="9">
        <v>3.322771631725876</v>
      </c>
    </row>
    <row r="7458" spans="40:42" x14ac:dyDescent="0.3">
      <c r="AN7458">
        <v>7454</v>
      </c>
      <c r="AO7458" s="11">
        <v>26445.89</v>
      </c>
      <c r="AP7458" s="9">
        <v>3.367271007552652</v>
      </c>
    </row>
    <row r="7459" spans="40:42" x14ac:dyDescent="0.3">
      <c r="AN7459">
        <v>7455</v>
      </c>
      <c r="AO7459" s="11">
        <v>31974.49</v>
      </c>
      <c r="AP7459" s="9">
        <v>4.1000233807811899</v>
      </c>
    </row>
    <row r="7460" spans="40:42" x14ac:dyDescent="0.3">
      <c r="AN7460">
        <v>7456</v>
      </c>
      <c r="AO7460" s="11">
        <v>29909.78</v>
      </c>
      <c r="AP7460" s="9">
        <v>3.0930085905914599</v>
      </c>
    </row>
    <row r="7461" spans="40:42" x14ac:dyDescent="0.3">
      <c r="AN7461">
        <v>7457</v>
      </c>
      <c r="AO7461" s="11">
        <v>18231.09</v>
      </c>
      <c r="AP7461" s="9">
        <v>2.9393173491603091</v>
      </c>
    </row>
    <row r="7462" spans="40:42" x14ac:dyDescent="0.3">
      <c r="AN7462">
        <v>7458</v>
      </c>
      <c r="AO7462" s="11">
        <v>18940.310000000001</v>
      </c>
      <c r="AP7462" s="9">
        <v>2.8933974617340685</v>
      </c>
    </row>
    <row r="7463" spans="40:42" x14ac:dyDescent="0.3">
      <c r="AN7463">
        <v>7459</v>
      </c>
      <c r="AO7463" s="11">
        <v>27939.49</v>
      </c>
      <c r="AP7463" s="9">
        <v>3.2895205936910776</v>
      </c>
    </row>
    <row r="7464" spans="40:42" x14ac:dyDescent="0.3">
      <c r="AN7464">
        <v>7460</v>
      </c>
      <c r="AO7464" s="11">
        <v>26611.7</v>
      </c>
      <c r="AP7464" s="9">
        <v>3.5286337805171546</v>
      </c>
    </row>
    <row r="7465" spans="40:42" x14ac:dyDescent="0.3">
      <c r="AN7465">
        <v>7461</v>
      </c>
      <c r="AO7465" s="11">
        <v>16939.8</v>
      </c>
      <c r="AP7465" s="9">
        <v>3.5788953478578276</v>
      </c>
    </row>
    <row r="7466" spans="40:42" x14ac:dyDescent="0.3">
      <c r="AN7466">
        <v>7462</v>
      </c>
      <c r="AO7466" s="11">
        <v>30355.45</v>
      </c>
      <c r="AP7466" s="9">
        <v>3.4040930741324704</v>
      </c>
    </row>
    <row r="7467" spans="40:42" x14ac:dyDescent="0.3">
      <c r="AN7467">
        <v>7463</v>
      </c>
      <c r="AO7467" s="11">
        <v>37120.39</v>
      </c>
      <c r="AP7467" s="9">
        <v>3.4545849926352252</v>
      </c>
    </row>
    <row r="7468" spans="40:42" x14ac:dyDescent="0.3">
      <c r="AN7468">
        <v>7464</v>
      </c>
      <c r="AO7468" s="11">
        <v>38867.519999999997</v>
      </c>
      <c r="AP7468" s="9">
        <v>3.9437503806220504</v>
      </c>
    </row>
    <row r="7469" spans="40:42" x14ac:dyDescent="0.3">
      <c r="AN7469">
        <v>7465</v>
      </c>
      <c r="AO7469" s="11">
        <v>24335.57</v>
      </c>
      <c r="AP7469" s="9">
        <v>3.0505182567786195</v>
      </c>
    </row>
    <row r="7470" spans="40:42" x14ac:dyDescent="0.3">
      <c r="AN7470">
        <v>7466</v>
      </c>
      <c r="AO7470" s="11">
        <v>21503.3</v>
      </c>
      <c r="AP7470" s="9">
        <v>3.7304338667252273</v>
      </c>
    </row>
    <row r="7471" spans="40:42" x14ac:dyDescent="0.3">
      <c r="AN7471">
        <v>7467</v>
      </c>
      <c r="AO7471" s="11">
        <v>25492.9</v>
      </c>
      <c r="AP7471" s="9">
        <v>3.0810082133289574</v>
      </c>
    </row>
    <row r="7472" spans="40:42" x14ac:dyDescent="0.3">
      <c r="AN7472">
        <v>7468</v>
      </c>
      <c r="AO7472" s="11">
        <v>31206.27</v>
      </c>
      <c r="AP7472" s="9">
        <v>3.692408772702509</v>
      </c>
    </row>
    <row r="7473" spans="40:42" x14ac:dyDescent="0.3">
      <c r="AN7473">
        <v>7469</v>
      </c>
      <c r="AO7473" s="11">
        <v>24841.26</v>
      </c>
      <c r="AP7473" s="9">
        <v>3.4923987100262504</v>
      </c>
    </row>
    <row r="7474" spans="40:42" x14ac:dyDescent="0.3">
      <c r="AN7474">
        <v>7470</v>
      </c>
      <c r="AO7474" s="11">
        <v>31403.25</v>
      </c>
      <c r="AP7474" s="9">
        <v>3.3486688468769623</v>
      </c>
    </row>
    <row r="7475" spans="40:42" x14ac:dyDescent="0.3">
      <c r="AN7475">
        <v>7471</v>
      </c>
      <c r="AO7475" s="11">
        <v>36844.75</v>
      </c>
      <c r="AP7475" s="9">
        <v>3.4068477314241408</v>
      </c>
    </row>
    <row r="7476" spans="40:42" x14ac:dyDescent="0.3">
      <c r="AN7476">
        <v>7472</v>
      </c>
      <c r="AO7476" s="11">
        <v>19174.580000000002</v>
      </c>
      <c r="AP7476" s="9">
        <v>2.9829831611808162</v>
      </c>
    </row>
    <row r="7477" spans="40:42" x14ac:dyDescent="0.3">
      <c r="AN7477">
        <v>7473</v>
      </c>
      <c r="AO7477" s="11">
        <v>24108.75</v>
      </c>
      <c r="AP7477" s="9">
        <v>3.0423858996028241</v>
      </c>
    </row>
    <row r="7478" spans="40:42" x14ac:dyDescent="0.3">
      <c r="AN7478">
        <v>7474</v>
      </c>
      <c r="AO7478" s="11">
        <v>30853.11</v>
      </c>
      <c r="AP7478" s="9">
        <v>3.0932699169337812</v>
      </c>
    </row>
    <row r="7479" spans="40:42" x14ac:dyDescent="0.3">
      <c r="AN7479">
        <v>7475</v>
      </c>
      <c r="AO7479" s="11">
        <v>30566.31</v>
      </c>
      <c r="AP7479" s="9">
        <v>3.2097463710555059</v>
      </c>
    </row>
    <row r="7480" spans="40:42" x14ac:dyDescent="0.3">
      <c r="AN7480">
        <v>7476</v>
      </c>
      <c r="AO7480" s="11">
        <v>19153.59</v>
      </c>
      <c r="AP7480" s="9">
        <v>3.2449889862261987</v>
      </c>
    </row>
    <row r="7481" spans="40:42" x14ac:dyDescent="0.3">
      <c r="AN7481">
        <v>7477</v>
      </c>
      <c r="AO7481" s="11">
        <v>45167.75</v>
      </c>
      <c r="AP7481" s="9">
        <v>3.3794239648143445</v>
      </c>
    </row>
    <row r="7482" spans="40:42" x14ac:dyDescent="0.3">
      <c r="AN7482">
        <v>7478</v>
      </c>
      <c r="AO7482" s="11">
        <v>23482.02</v>
      </c>
      <c r="AP7482" s="9">
        <v>3.104321728333967</v>
      </c>
    </row>
    <row r="7483" spans="40:42" x14ac:dyDescent="0.3">
      <c r="AN7483">
        <v>7479</v>
      </c>
      <c r="AO7483" s="11">
        <v>21001.68</v>
      </c>
      <c r="AP7483" s="9">
        <v>2.4597747710624116</v>
      </c>
    </row>
    <row r="7484" spans="40:42" x14ac:dyDescent="0.3">
      <c r="AN7484">
        <v>7480</v>
      </c>
      <c r="AO7484" s="11">
        <v>30522.31</v>
      </c>
      <c r="AP7484" s="9">
        <v>3.3970162449662835</v>
      </c>
    </row>
    <row r="7485" spans="40:42" x14ac:dyDescent="0.3">
      <c r="AN7485">
        <v>7481</v>
      </c>
      <c r="AO7485" s="11">
        <v>29108.29</v>
      </c>
      <c r="AP7485" s="9">
        <v>3.1816503486127408</v>
      </c>
    </row>
    <row r="7486" spans="40:42" x14ac:dyDescent="0.3">
      <c r="AN7486">
        <v>7482</v>
      </c>
      <c r="AO7486" s="11">
        <v>22154.04</v>
      </c>
      <c r="AP7486" s="9">
        <v>2.5714272343817854</v>
      </c>
    </row>
    <row r="7487" spans="40:42" x14ac:dyDescent="0.3">
      <c r="AN7487">
        <v>7483</v>
      </c>
      <c r="AO7487" s="11">
        <v>14956.66</v>
      </c>
      <c r="AP7487" s="9">
        <v>2.5829289441302974</v>
      </c>
    </row>
    <row r="7488" spans="40:42" x14ac:dyDescent="0.3">
      <c r="AN7488">
        <v>7484</v>
      </c>
      <c r="AO7488" s="11">
        <v>20223.599999999999</v>
      </c>
      <c r="AP7488" s="9">
        <v>2.6882484829000504</v>
      </c>
    </row>
    <row r="7489" spans="40:42" x14ac:dyDescent="0.3">
      <c r="AN7489">
        <v>7485</v>
      </c>
      <c r="AO7489" s="11">
        <v>26373.79</v>
      </c>
      <c r="AP7489" s="9">
        <v>3.6652263726623207</v>
      </c>
    </row>
    <row r="7490" spans="40:42" x14ac:dyDescent="0.3">
      <c r="AN7490">
        <v>7486</v>
      </c>
      <c r="AO7490" s="11">
        <v>33659.31</v>
      </c>
      <c r="AP7490" s="9">
        <v>4.0738861408441291</v>
      </c>
    </row>
    <row r="7491" spans="40:42" x14ac:dyDescent="0.3">
      <c r="AN7491">
        <v>7487</v>
      </c>
      <c r="AO7491" s="11">
        <v>19103.95</v>
      </c>
      <c r="AP7491" s="9">
        <v>2.6498157221791523</v>
      </c>
    </row>
    <row r="7492" spans="40:42" x14ac:dyDescent="0.3">
      <c r="AN7492">
        <v>7488</v>
      </c>
      <c r="AO7492" s="11">
        <v>25488.82</v>
      </c>
      <c r="AP7492" s="9">
        <v>3.6812242371993809</v>
      </c>
    </row>
    <row r="7493" spans="40:42" x14ac:dyDescent="0.3">
      <c r="AN7493">
        <v>7489</v>
      </c>
      <c r="AO7493" s="11">
        <v>17155.16</v>
      </c>
      <c r="AP7493" s="9">
        <v>3.3383674456820072</v>
      </c>
    </row>
    <row r="7494" spans="40:42" x14ac:dyDescent="0.3">
      <c r="AN7494">
        <v>7490</v>
      </c>
      <c r="AO7494" s="11">
        <v>28562.9</v>
      </c>
      <c r="AP7494" s="9">
        <v>3.3482534716207359</v>
      </c>
    </row>
    <row r="7495" spans="40:42" x14ac:dyDescent="0.3">
      <c r="AN7495">
        <v>7491</v>
      </c>
      <c r="AO7495" s="11">
        <v>24342.98</v>
      </c>
      <c r="AP7495" s="9">
        <v>3.4760944801449787</v>
      </c>
    </row>
    <row r="7496" spans="40:42" x14ac:dyDescent="0.3">
      <c r="AN7496">
        <v>7492</v>
      </c>
      <c r="AO7496" s="11">
        <v>25467.83</v>
      </c>
      <c r="AP7496" s="9">
        <v>2.8156516147898651</v>
      </c>
    </row>
    <row r="7497" spans="40:42" x14ac:dyDescent="0.3">
      <c r="AN7497">
        <v>7493</v>
      </c>
      <c r="AO7497" s="11">
        <v>23162.61</v>
      </c>
      <c r="AP7497" s="9">
        <v>3.3589265931423666</v>
      </c>
    </row>
    <row r="7498" spans="40:42" x14ac:dyDescent="0.3">
      <c r="AN7498">
        <v>7494</v>
      </c>
      <c r="AO7498" s="11">
        <v>32860.26</v>
      </c>
      <c r="AP7498" s="9">
        <v>3.8030401800664935</v>
      </c>
    </row>
    <row r="7499" spans="40:42" x14ac:dyDescent="0.3">
      <c r="AN7499">
        <v>7495</v>
      </c>
      <c r="AO7499" s="11">
        <v>33114.720000000001</v>
      </c>
      <c r="AP7499" s="9">
        <v>2.8281480886049191</v>
      </c>
    </row>
    <row r="7500" spans="40:42" x14ac:dyDescent="0.3">
      <c r="AN7500">
        <v>7496</v>
      </c>
      <c r="AO7500" s="11">
        <v>33362.160000000003</v>
      </c>
      <c r="AP7500" s="9">
        <v>3.5713459641293195</v>
      </c>
    </row>
    <row r="7501" spans="40:42" x14ac:dyDescent="0.3">
      <c r="AN7501">
        <v>7497</v>
      </c>
      <c r="AO7501" s="11">
        <v>23899.53</v>
      </c>
      <c r="AP7501" s="9">
        <v>3.2363747719709277</v>
      </c>
    </row>
    <row r="7502" spans="40:42" x14ac:dyDescent="0.3">
      <c r="AN7502">
        <v>7498</v>
      </c>
      <c r="AO7502" s="11">
        <v>45640.05</v>
      </c>
      <c r="AP7502" s="9">
        <v>3.6522563941366251</v>
      </c>
    </row>
    <row r="7503" spans="40:42" x14ac:dyDescent="0.3">
      <c r="AN7503">
        <v>7499</v>
      </c>
      <c r="AO7503" s="11">
        <v>32313.52</v>
      </c>
      <c r="AP7503" s="9">
        <v>3.0631425085002215</v>
      </c>
    </row>
    <row r="7504" spans="40:42" x14ac:dyDescent="0.3">
      <c r="AN7504">
        <v>7500</v>
      </c>
      <c r="AO7504" s="11">
        <v>22697.05</v>
      </c>
      <c r="AP7504" s="9">
        <v>2.8485697813532411</v>
      </c>
    </row>
    <row r="7505" spans="40:42" x14ac:dyDescent="0.3">
      <c r="AN7505">
        <v>7501</v>
      </c>
      <c r="AO7505" s="11">
        <v>19160.57</v>
      </c>
      <c r="AP7505" s="9">
        <v>3.4554217045509024</v>
      </c>
    </row>
    <row r="7506" spans="40:42" x14ac:dyDescent="0.3">
      <c r="AN7506">
        <v>7502</v>
      </c>
      <c r="AO7506" s="11">
        <v>34023.360000000001</v>
      </c>
      <c r="AP7506" s="9">
        <v>3.8119689320803714</v>
      </c>
    </row>
    <row r="7507" spans="40:42" x14ac:dyDescent="0.3">
      <c r="AN7507">
        <v>7503</v>
      </c>
      <c r="AO7507" s="11">
        <v>18334.669999999998</v>
      </c>
      <c r="AP7507" s="9">
        <v>3.7709062627709895</v>
      </c>
    </row>
    <row r="7508" spans="40:42" x14ac:dyDescent="0.3">
      <c r="AN7508">
        <v>7504</v>
      </c>
      <c r="AO7508" s="11">
        <v>22178.74</v>
      </c>
      <c r="AP7508" s="9">
        <v>3.3731284918729245</v>
      </c>
    </row>
    <row r="7509" spans="40:42" x14ac:dyDescent="0.3">
      <c r="AN7509">
        <v>7505</v>
      </c>
      <c r="AO7509" s="11">
        <v>27670.32</v>
      </c>
      <c r="AP7509" s="9">
        <v>3.4471167945299199</v>
      </c>
    </row>
    <row r="7510" spans="40:42" x14ac:dyDescent="0.3">
      <c r="AN7510">
        <v>7506</v>
      </c>
      <c r="AO7510" s="11">
        <v>21644.959999999999</v>
      </c>
      <c r="AP7510" s="9">
        <v>2.9757899966542962</v>
      </c>
    </row>
    <row r="7511" spans="40:42" x14ac:dyDescent="0.3">
      <c r="AN7511">
        <v>7507</v>
      </c>
      <c r="AO7511" s="11">
        <v>31632.66</v>
      </c>
      <c r="AP7511" s="9">
        <v>3.326598494828378</v>
      </c>
    </row>
    <row r="7512" spans="40:42" x14ac:dyDescent="0.3">
      <c r="AN7512">
        <v>7508</v>
      </c>
      <c r="AO7512" s="11">
        <v>34907.68</v>
      </c>
      <c r="AP7512" s="9">
        <v>3.4397374853967642</v>
      </c>
    </row>
    <row r="7513" spans="40:42" x14ac:dyDescent="0.3">
      <c r="AN7513">
        <v>7509</v>
      </c>
      <c r="AO7513" s="11">
        <v>20932.05</v>
      </c>
      <c r="AP7513" s="9">
        <v>3.012876554898543</v>
      </c>
    </row>
    <row r="7514" spans="40:42" x14ac:dyDescent="0.3">
      <c r="AN7514">
        <v>7510</v>
      </c>
      <c r="AO7514" s="11">
        <v>15491.7</v>
      </c>
      <c r="AP7514" s="9">
        <v>3.1757154525389066</v>
      </c>
    </row>
    <row r="7515" spans="40:42" x14ac:dyDescent="0.3">
      <c r="AN7515">
        <v>7511</v>
      </c>
      <c r="AO7515" s="11">
        <v>30179.95</v>
      </c>
      <c r="AP7515" s="9">
        <v>3.2283573098683189</v>
      </c>
    </row>
    <row r="7516" spans="40:42" x14ac:dyDescent="0.3">
      <c r="AN7516">
        <v>7512</v>
      </c>
      <c r="AO7516" s="11">
        <v>42123.15</v>
      </c>
      <c r="AP7516" s="9">
        <v>3.4738767989752977</v>
      </c>
    </row>
    <row r="7517" spans="40:42" x14ac:dyDescent="0.3">
      <c r="AN7517">
        <v>7513</v>
      </c>
      <c r="AO7517" s="11">
        <v>38722.67</v>
      </c>
      <c r="AP7517" s="9">
        <v>3.1094210410261085</v>
      </c>
    </row>
    <row r="7518" spans="40:42" x14ac:dyDescent="0.3">
      <c r="AN7518">
        <v>7514</v>
      </c>
      <c r="AO7518" s="11">
        <v>26279.64</v>
      </c>
      <c r="AP7518" s="9">
        <v>3.4554817802560231</v>
      </c>
    </row>
    <row r="7519" spans="40:42" x14ac:dyDescent="0.3">
      <c r="AN7519">
        <v>7515</v>
      </c>
      <c r="AO7519" s="11">
        <v>33422.629999999997</v>
      </c>
      <c r="AP7519" s="9">
        <v>3.9624005162270488</v>
      </c>
    </row>
    <row r="7520" spans="40:42" x14ac:dyDescent="0.3">
      <c r="AN7520">
        <v>7516</v>
      </c>
      <c r="AO7520" s="11">
        <v>26224.51</v>
      </c>
      <c r="AP7520" s="9">
        <v>3.7554452484832881</v>
      </c>
    </row>
    <row r="7521" spans="40:42" x14ac:dyDescent="0.3">
      <c r="AN7521">
        <v>7517</v>
      </c>
      <c r="AO7521" s="11">
        <v>23410.05</v>
      </c>
      <c r="AP7521" s="9">
        <v>3.3528785420102558</v>
      </c>
    </row>
    <row r="7522" spans="40:42" x14ac:dyDescent="0.3">
      <c r="AN7522">
        <v>7518</v>
      </c>
      <c r="AO7522" s="11">
        <v>14192.97</v>
      </c>
      <c r="AP7522" s="9">
        <v>3.5940710406804857</v>
      </c>
    </row>
    <row r="7523" spans="40:42" x14ac:dyDescent="0.3">
      <c r="AN7523">
        <v>7519</v>
      </c>
      <c r="AO7523" s="11">
        <v>21874.23</v>
      </c>
      <c r="AP7523" s="9">
        <v>3.3564885600754453</v>
      </c>
    </row>
    <row r="7524" spans="40:42" x14ac:dyDescent="0.3">
      <c r="AN7524">
        <v>7520</v>
      </c>
      <c r="AO7524" s="11">
        <v>34480.379999999997</v>
      </c>
      <c r="AP7524" s="9">
        <v>3.658478678193064</v>
      </c>
    </row>
    <row r="7525" spans="40:42" x14ac:dyDescent="0.3">
      <c r="AN7525">
        <v>7521</v>
      </c>
      <c r="AO7525" s="11">
        <v>24864.59</v>
      </c>
      <c r="AP7525" s="9">
        <v>3.2599674020081624</v>
      </c>
    </row>
    <row r="7526" spans="40:42" x14ac:dyDescent="0.3">
      <c r="AN7526">
        <v>7522</v>
      </c>
      <c r="AO7526" s="11">
        <v>21307.01</v>
      </c>
      <c r="AP7526" s="9">
        <v>2.8729911862037549</v>
      </c>
    </row>
    <row r="7527" spans="40:42" x14ac:dyDescent="0.3">
      <c r="AN7527">
        <v>7523</v>
      </c>
      <c r="AO7527" s="11">
        <v>28890.720000000001</v>
      </c>
      <c r="AP7527" s="9">
        <v>3.2548123842924062</v>
      </c>
    </row>
    <row r="7528" spans="40:42" x14ac:dyDescent="0.3">
      <c r="AN7528">
        <v>7524</v>
      </c>
      <c r="AO7528" s="11">
        <v>21028.89</v>
      </c>
      <c r="AP7528" s="9">
        <v>3.4093198818802692</v>
      </c>
    </row>
    <row r="7529" spans="40:42" x14ac:dyDescent="0.3">
      <c r="AN7529">
        <v>7525</v>
      </c>
      <c r="AO7529" s="11">
        <v>26245.64</v>
      </c>
      <c r="AP7529" s="9">
        <v>3.3364481973450459</v>
      </c>
    </row>
    <row r="7530" spans="40:42" x14ac:dyDescent="0.3">
      <c r="AN7530">
        <v>7526</v>
      </c>
      <c r="AO7530" s="11">
        <v>24903.14</v>
      </c>
      <c r="AP7530" s="9">
        <v>3.0971552739555102</v>
      </c>
    </row>
    <row r="7531" spans="40:42" x14ac:dyDescent="0.3">
      <c r="AN7531">
        <v>7527</v>
      </c>
      <c r="AO7531" s="11">
        <v>34393.74</v>
      </c>
      <c r="AP7531" s="9">
        <v>3.7186486421361877</v>
      </c>
    </row>
    <row r="7532" spans="40:42" x14ac:dyDescent="0.3">
      <c r="AN7532">
        <v>7528</v>
      </c>
      <c r="AO7532" s="11">
        <v>17879.5</v>
      </c>
      <c r="AP7532" s="9">
        <v>3.1412092249676942</v>
      </c>
    </row>
    <row r="7533" spans="40:42" x14ac:dyDescent="0.3">
      <c r="AN7533">
        <v>7529</v>
      </c>
      <c r="AO7533" s="11">
        <v>24007.13</v>
      </c>
      <c r="AP7533" s="9">
        <v>3.5776335276793447</v>
      </c>
    </row>
    <row r="7534" spans="40:42" x14ac:dyDescent="0.3">
      <c r="AN7534">
        <v>7530</v>
      </c>
      <c r="AO7534" s="11">
        <v>32995.360000000001</v>
      </c>
      <c r="AP7534" s="9">
        <v>3.729781040313771</v>
      </c>
    </row>
    <row r="7535" spans="40:42" x14ac:dyDescent="0.3">
      <c r="AN7535">
        <v>7531</v>
      </c>
      <c r="AO7535" s="11">
        <v>31790.560000000001</v>
      </c>
      <c r="AP7535" s="9">
        <v>2.9806731015800563</v>
      </c>
    </row>
    <row r="7536" spans="40:42" x14ac:dyDescent="0.3">
      <c r="AN7536">
        <v>7532</v>
      </c>
      <c r="AO7536" s="11">
        <v>27476.39</v>
      </c>
      <c r="AP7536" s="9">
        <v>3.3208995268077919</v>
      </c>
    </row>
    <row r="7537" spans="40:42" x14ac:dyDescent="0.3">
      <c r="AN7537">
        <v>7533</v>
      </c>
      <c r="AO7537" s="11">
        <v>34081.35</v>
      </c>
      <c r="AP7537" s="9">
        <v>3.7150135684168761</v>
      </c>
    </row>
    <row r="7538" spans="40:42" x14ac:dyDescent="0.3">
      <c r="AN7538">
        <v>7534</v>
      </c>
      <c r="AO7538" s="11">
        <v>24668.53</v>
      </c>
      <c r="AP7538" s="9">
        <v>2.7775449303883817</v>
      </c>
    </row>
    <row r="7539" spans="40:42" x14ac:dyDescent="0.3">
      <c r="AN7539">
        <v>7535</v>
      </c>
      <c r="AO7539" s="11">
        <v>26588.28</v>
      </c>
      <c r="AP7539" s="9">
        <v>3.2822541202185911</v>
      </c>
    </row>
    <row r="7540" spans="40:42" x14ac:dyDescent="0.3">
      <c r="AN7540">
        <v>7536</v>
      </c>
      <c r="AO7540" s="11">
        <v>22658.19</v>
      </c>
      <c r="AP7540" s="9">
        <v>3.0739735572965157</v>
      </c>
    </row>
    <row r="7541" spans="40:42" x14ac:dyDescent="0.3">
      <c r="AN7541">
        <v>7537</v>
      </c>
      <c r="AO7541" s="11">
        <v>27077.27</v>
      </c>
      <c r="AP7541" s="9">
        <v>3.3231903486126626</v>
      </c>
    </row>
    <row r="7542" spans="40:42" x14ac:dyDescent="0.3">
      <c r="AN7542">
        <v>7538</v>
      </c>
      <c r="AO7542" s="11">
        <v>38238.31</v>
      </c>
      <c r="AP7542" s="9">
        <v>3.6563869030731984</v>
      </c>
    </row>
    <row r="7543" spans="40:42" x14ac:dyDescent="0.3">
      <c r="AN7543">
        <v>7539</v>
      </c>
      <c r="AO7543" s="11">
        <v>32480.58</v>
      </c>
      <c r="AP7543" s="9">
        <v>4.5889221144011731</v>
      </c>
    </row>
    <row r="7544" spans="40:42" x14ac:dyDescent="0.3">
      <c r="AN7544">
        <v>7540</v>
      </c>
      <c r="AO7544" s="11">
        <v>16681.330000000002</v>
      </c>
      <c r="AP7544" s="9">
        <v>3.5054785486884485</v>
      </c>
    </row>
    <row r="7545" spans="40:42" x14ac:dyDescent="0.3">
      <c r="AN7545">
        <v>7541</v>
      </c>
      <c r="AO7545" s="11">
        <v>17445.47</v>
      </c>
      <c r="AP7545" s="9">
        <v>3.3382414774205791</v>
      </c>
    </row>
    <row r="7546" spans="40:42" x14ac:dyDescent="0.3">
      <c r="AN7546">
        <v>7542</v>
      </c>
      <c r="AO7546" s="11">
        <v>36478.629999999997</v>
      </c>
      <c r="AP7546" s="9">
        <v>3.8781560144018297</v>
      </c>
    </row>
    <row r="7547" spans="40:42" x14ac:dyDescent="0.3">
      <c r="AN7547">
        <v>7543</v>
      </c>
      <c r="AO7547" s="11">
        <v>17794.580000000002</v>
      </c>
      <c r="AP7547" s="9">
        <v>3.0034178685437785</v>
      </c>
    </row>
    <row r="7548" spans="40:42" x14ac:dyDescent="0.3">
      <c r="AN7548">
        <v>7544</v>
      </c>
      <c r="AO7548" s="11">
        <v>46803.03</v>
      </c>
      <c r="AP7548" s="9">
        <v>3.5648539365401133</v>
      </c>
    </row>
    <row r="7549" spans="40:42" x14ac:dyDescent="0.3">
      <c r="AN7549">
        <v>7545</v>
      </c>
      <c r="AO7549" s="11">
        <v>29026.16</v>
      </c>
      <c r="AP7549" s="9">
        <v>3.8672203012059128</v>
      </c>
    </row>
    <row r="7550" spans="40:42" x14ac:dyDescent="0.3">
      <c r="AN7550">
        <v>7546</v>
      </c>
      <c r="AO7550" s="11">
        <v>37195.11</v>
      </c>
      <c r="AP7550" s="9">
        <v>4.4420306980413242</v>
      </c>
    </row>
    <row r="7551" spans="40:42" x14ac:dyDescent="0.3">
      <c r="AN7551">
        <v>7547</v>
      </c>
      <c r="AO7551" s="11">
        <v>44156.4</v>
      </c>
      <c r="AP7551" s="9">
        <v>4.8549169770583847</v>
      </c>
    </row>
    <row r="7552" spans="40:42" x14ac:dyDescent="0.3">
      <c r="AN7552">
        <v>7548</v>
      </c>
      <c r="AO7552" s="11">
        <v>33439.550000000003</v>
      </c>
      <c r="AP7552" s="9">
        <v>3.3889126168238239</v>
      </c>
    </row>
    <row r="7553" spans="40:42" x14ac:dyDescent="0.3">
      <c r="AN7553">
        <v>7549</v>
      </c>
      <c r="AO7553" s="11">
        <v>14790.12</v>
      </c>
      <c r="AP7553" s="9">
        <v>3.4750228392387927</v>
      </c>
    </row>
    <row r="7554" spans="40:42" x14ac:dyDescent="0.3">
      <c r="AN7554">
        <v>7550</v>
      </c>
      <c r="AO7554" s="11">
        <v>33873.74</v>
      </c>
      <c r="AP7554" s="9">
        <v>3.8090662406895808</v>
      </c>
    </row>
    <row r="7555" spans="40:42" x14ac:dyDescent="0.3">
      <c r="AN7555">
        <v>7551</v>
      </c>
      <c r="AO7555" s="11">
        <v>32853.01</v>
      </c>
      <c r="AP7555" s="9">
        <v>3.6391348194349784</v>
      </c>
    </row>
    <row r="7556" spans="40:42" x14ac:dyDescent="0.3">
      <c r="AN7556">
        <v>7552</v>
      </c>
      <c r="AO7556" s="11">
        <v>41733.03</v>
      </c>
      <c r="AP7556" s="9">
        <v>3.727543989304257</v>
      </c>
    </row>
    <row r="7557" spans="40:42" x14ac:dyDescent="0.3">
      <c r="AN7557">
        <v>7553</v>
      </c>
      <c r="AO7557" s="11">
        <v>29992.26</v>
      </c>
      <c r="AP7557" s="9">
        <v>3.3294369895932689</v>
      </c>
    </row>
    <row r="7558" spans="40:42" x14ac:dyDescent="0.3">
      <c r="AN7558">
        <v>7554</v>
      </c>
      <c r="AO7558" s="11">
        <v>29429.61</v>
      </c>
      <c r="AP7558" s="9">
        <v>4.6766274580893983</v>
      </c>
    </row>
    <row r="7559" spans="40:42" x14ac:dyDescent="0.3">
      <c r="AN7559">
        <v>7555</v>
      </c>
      <c r="AO7559" s="11">
        <v>28460.57</v>
      </c>
      <c r="AP7559" s="9">
        <v>3.4463743983282682</v>
      </c>
    </row>
    <row r="7560" spans="40:42" x14ac:dyDescent="0.3">
      <c r="AN7560">
        <v>7556</v>
      </c>
      <c r="AO7560" s="11">
        <v>31869.67</v>
      </c>
      <c r="AP7560" s="9">
        <v>3.8919316724050161</v>
      </c>
    </row>
    <row r="7561" spans="40:42" x14ac:dyDescent="0.3">
      <c r="AN7561">
        <v>7557</v>
      </c>
      <c r="AO7561" s="11">
        <v>28287.5</v>
      </c>
      <c r="AP7561" s="9">
        <v>3.4388528967411314</v>
      </c>
    </row>
    <row r="7562" spans="40:42" x14ac:dyDescent="0.3">
      <c r="AN7562">
        <v>7558</v>
      </c>
      <c r="AO7562" s="11">
        <v>40571.93</v>
      </c>
      <c r="AP7562" s="9">
        <v>3.5055038632090594</v>
      </c>
    </row>
    <row r="7563" spans="40:42" x14ac:dyDescent="0.3">
      <c r="AN7563">
        <v>7559</v>
      </c>
      <c r="AO7563" s="11">
        <v>25273.19</v>
      </c>
      <c r="AP7563" s="9">
        <v>2.7139243503238344</v>
      </c>
    </row>
    <row r="7564" spans="40:42" x14ac:dyDescent="0.3">
      <c r="AN7564">
        <v>7560</v>
      </c>
      <c r="AO7564" s="11">
        <v>24067.439999999999</v>
      </c>
      <c r="AP7564" s="9">
        <v>3.4177626379582939</v>
      </c>
    </row>
    <row r="7565" spans="40:42" x14ac:dyDescent="0.3">
      <c r="AN7565">
        <v>7561</v>
      </c>
      <c r="AO7565" s="11">
        <v>47585.27</v>
      </c>
      <c r="AP7565" s="9">
        <v>3.5628334947013043</v>
      </c>
    </row>
    <row r="7566" spans="40:42" x14ac:dyDescent="0.3">
      <c r="AN7566">
        <v>7562</v>
      </c>
      <c r="AO7566" s="11">
        <v>31099.95</v>
      </c>
      <c r="AP7566" s="9">
        <v>3.493515341153095</v>
      </c>
    </row>
    <row r="7567" spans="40:42" x14ac:dyDescent="0.3">
      <c r="AN7567">
        <v>7563</v>
      </c>
      <c r="AO7567" s="11">
        <v>27431.11</v>
      </c>
      <c r="AP7567" s="9">
        <v>3.3211319120252023</v>
      </c>
    </row>
    <row r="7568" spans="40:42" x14ac:dyDescent="0.3">
      <c r="AN7568">
        <v>7564</v>
      </c>
      <c r="AO7568" s="11">
        <v>25528.46</v>
      </c>
      <c r="AP7568" s="9">
        <v>3.3222517241115215</v>
      </c>
    </row>
    <row r="7569" spans="40:42" x14ac:dyDescent="0.3">
      <c r="AN7569">
        <v>7565</v>
      </c>
      <c r="AO7569" s="11">
        <v>28929.29</v>
      </c>
      <c r="AP7569" s="9">
        <v>2.833769785130301</v>
      </c>
    </row>
    <row r="7570" spans="40:42" x14ac:dyDescent="0.3">
      <c r="AN7570">
        <v>7566</v>
      </c>
      <c r="AO7570" s="11">
        <v>22648.99</v>
      </c>
      <c r="AP7570" s="9">
        <v>2.9820466162204946</v>
      </c>
    </row>
    <row r="7571" spans="40:42" x14ac:dyDescent="0.3">
      <c r="AN7571">
        <v>7567</v>
      </c>
      <c r="AO7571" s="11">
        <v>22287.26</v>
      </c>
      <c r="AP7571" s="9">
        <v>2.9978159319367714</v>
      </c>
    </row>
    <row r="7572" spans="40:42" x14ac:dyDescent="0.3">
      <c r="AN7572">
        <v>7568</v>
      </c>
      <c r="AO7572" s="11">
        <v>37134.14</v>
      </c>
      <c r="AP7572" s="9">
        <v>3.4722378543380854</v>
      </c>
    </row>
    <row r="7573" spans="40:42" x14ac:dyDescent="0.3">
      <c r="AN7573">
        <v>7569</v>
      </c>
      <c r="AO7573" s="11">
        <v>35620.03</v>
      </c>
      <c r="AP7573" s="9">
        <v>3.0384795770091846</v>
      </c>
    </row>
    <row r="7574" spans="40:42" x14ac:dyDescent="0.3">
      <c r="AN7574">
        <v>7570</v>
      </c>
      <c r="AO7574" s="11">
        <v>17138.689999999999</v>
      </c>
      <c r="AP7574" s="9">
        <v>3.1098862172755899</v>
      </c>
    </row>
    <row r="7575" spans="40:42" x14ac:dyDescent="0.3">
      <c r="AN7575">
        <v>7571</v>
      </c>
      <c r="AO7575" s="11">
        <v>20850.03</v>
      </c>
      <c r="AP7575" s="9">
        <v>2.9162965329357573</v>
      </c>
    </row>
    <row r="7576" spans="40:42" x14ac:dyDescent="0.3">
      <c r="AN7576">
        <v>7572</v>
      </c>
      <c r="AO7576" s="11">
        <v>28427.98</v>
      </c>
      <c r="AP7576" s="9">
        <v>3.3611960014753213</v>
      </c>
    </row>
    <row r="7577" spans="40:42" x14ac:dyDescent="0.3">
      <c r="AN7577">
        <v>7573</v>
      </c>
      <c r="AO7577" s="11">
        <v>25850.19</v>
      </c>
      <c r="AP7577" s="9">
        <v>2.9175582561695386</v>
      </c>
    </row>
    <row r="7578" spans="40:42" x14ac:dyDescent="0.3">
      <c r="AN7578">
        <v>7574</v>
      </c>
      <c r="AO7578" s="11">
        <v>14922.86</v>
      </c>
      <c r="AP7578" s="9">
        <v>3.3661376547371136</v>
      </c>
    </row>
    <row r="7579" spans="40:42" x14ac:dyDescent="0.3">
      <c r="AN7579">
        <v>7575</v>
      </c>
      <c r="AO7579" s="11">
        <v>23453.4</v>
      </c>
      <c r="AP7579" s="9">
        <v>3.5201786905169601</v>
      </c>
    </row>
    <row r="7580" spans="40:42" x14ac:dyDescent="0.3">
      <c r="AN7580">
        <v>7576</v>
      </c>
      <c r="AO7580" s="11">
        <v>31523.14</v>
      </c>
      <c r="AP7580" s="9">
        <v>3.7031327402235954</v>
      </c>
    </row>
    <row r="7581" spans="40:42" x14ac:dyDescent="0.3">
      <c r="AN7581">
        <v>7577</v>
      </c>
      <c r="AO7581" s="11">
        <v>37360.83</v>
      </c>
      <c r="AP7581" s="9">
        <v>3.6920773854394247</v>
      </c>
    </row>
    <row r="7582" spans="40:42" x14ac:dyDescent="0.3">
      <c r="AN7582">
        <v>7578</v>
      </c>
      <c r="AO7582" s="11">
        <v>16867.45</v>
      </c>
      <c r="AP7582" s="9">
        <v>2.8524191893365982</v>
      </c>
    </row>
    <row r="7583" spans="40:42" x14ac:dyDescent="0.3">
      <c r="AN7583">
        <v>7579</v>
      </c>
      <c r="AO7583" s="11">
        <v>27459.15</v>
      </c>
      <c r="AP7583" s="9">
        <v>2.7876595316505712</v>
      </c>
    </row>
    <row r="7584" spans="40:42" x14ac:dyDescent="0.3">
      <c r="AN7584">
        <v>7580</v>
      </c>
      <c r="AO7584" s="11">
        <v>32006.95</v>
      </c>
      <c r="AP7584" s="9">
        <v>3.3871961608206611</v>
      </c>
    </row>
    <row r="7585" spans="40:42" x14ac:dyDescent="0.3">
      <c r="AN7585">
        <v>7581</v>
      </c>
      <c r="AO7585" s="11">
        <v>27024.45</v>
      </c>
      <c r="AP7585" s="9">
        <v>4.2430096103332318</v>
      </c>
    </row>
    <row r="7586" spans="40:42" x14ac:dyDescent="0.3">
      <c r="AN7586">
        <v>7582</v>
      </c>
      <c r="AO7586" s="11">
        <v>25851.72</v>
      </c>
      <c r="AP7586" s="9">
        <v>3.7241184379964483</v>
      </c>
    </row>
    <row r="7587" spans="40:42" x14ac:dyDescent="0.3">
      <c r="AN7587">
        <v>7583</v>
      </c>
      <c r="AO7587" s="11">
        <v>33394.089999999997</v>
      </c>
      <c r="AP7587" s="9">
        <v>3.6920292902495842</v>
      </c>
    </row>
    <row r="7588" spans="40:42" x14ac:dyDescent="0.3">
      <c r="AN7588">
        <v>7584</v>
      </c>
      <c r="AO7588" s="11">
        <v>55946.36</v>
      </c>
      <c r="AP7588" s="9">
        <v>3.8706966523111772</v>
      </c>
    </row>
    <row r="7589" spans="40:42" x14ac:dyDescent="0.3">
      <c r="AN7589">
        <v>7585</v>
      </c>
      <c r="AO7589" s="11">
        <v>18954.93</v>
      </c>
      <c r="AP7589" s="9">
        <v>3.1755095208603765</v>
      </c>
    </row>
    <row r="7590" spans="40:42" x14ac:dyDescent="0.3">
      <c r="AN7590">
        <v>7586</v>
      </c>
      <c r="AO7590" s="11">
        <v>19849.439999999999</v>
      </c>
      <c r="AP7590" s="9">
        <v>3.3183937685187646</v>
      </c>
    </row>
    <row r="7591" spans="40:42" x14ac:dyDescent="0.3">
      <c r="AN7591">
        <v>7587</v>
      </c>
      <c r="AO7591" s="11">
        <v>22953.279999999999</v>
      </c>
      <c r="AP7591" s="9">
        <v>4.0468157979664143</v>
      </c>
    </row>
    <row r="7592" spans="40:42" x14ac:dyDescent="0.3">
      <c r="AN7592">
        <v>7588</v>
      </c>
      <c r="AO7592" s="11">
        <v>27335.13</v>
      </c>
      <c r="AP7592" s="9">
        <v>3.1464165892728495</v>
      </c>
    </row>
    <row r="7593" spans="40:42" x14ac:dyDescent="0.3">
      <c r="AN7593">
        <v>7589</v>
      </c>
      <c r="AO7593" s="11">
        <v>30268.33</v>
      </c>
      <c r="AP7593" s="9">
        <v>3.1963029925139392</v>
      </c>
    </row>
    <row r="7594" spans="40:42" x14ac:dyDescent="0.3">
      <c r="AN7594">
        <v>7590</v>
      </c>
      <c r="AO7594" s="11">
        <v>38328.720000000001</v>
      </c>
      <c r="AP7594" s="9">
        <v>4.2327409434315566</v>
      </c>
    </row>
    <row r="7595" spans="40:42" x14ac:dyDescent="0.3">
      <c r="AN7595">
        <v>7591</v>
      </c>
      <c r="AO7595" s="11">
        <v>19704.78</v>
      </c>
      <c r="AP7595" s="9">
        <v>3.0355082400183964</v>
      </c>
    </row>
    <row r="7596" spans="40:42" x14ac:dyDescent="0.3">
      <c r="AN7596">
        <v>7592</v>
      </c>
      <c r="AO7596" s="11">
        <v>29873.11</v>
      </c>
      <c r="AP7596" s="9">
        <v>3.6238320080467461</v>
      </c>
    </row>
    <row r="7597" spans="40:42" x14ac:dyDescent="0.3">
      <c r="AN7597">
        <v>7593</v>
      </c>
      <c r="AO7597" s="11">
        <v>47037.98</v>
      </c>
      <c r="AP7597" s="9">
        <v>4.2676981118036394</v>
      </c>
    </row>
    <row r="7598" spans="40:42" x14ac:dyDescent="0.3">
      <c r="AN7598">
        <v>7594</v>
      </c>
      <c r="AO7598" s="11">
        <v>9635.27</v>
      </c>
      <c r="AP7598" s="9">
        <v>2.7869801729143671</v>
      </c>
    </row>
    <row r="7599" spans="40:42" x14ac:dyDescent="0.3">
      <c r="AN7599">
        <v>7595</v>
      </c>
      <c r="AO7599" s="11">
        <v>28065.41</v>
      </c>
      <c r="AP7599" s="9">
        <v>4.0795662431249102</v>
      </c>
    </row>
    <row r="7600" spans="40:42" x14ac:dyDescent="0.3">
      <c r="AN7600">
        <v>7596</v>
      </c>
      <c r="AO7600" s="11">
        <v>23842.04</v>
      </c>
      <c r="AP7600" s="9">
        <v>3.9548326502075644</v>
      </c>
    </row>
    <row r="7601" spans="40:42" x14ac:dyDescent="0.3">
      <c r="AN7601">
        <v>7597</v>
      </c>
      <c r="AO7601" s="11">
        <v>28960.85</v>
      </c>
      <c r="AP7601" s="9">
        <v>3.2764602792262019</v>
      </c>
    </row>
    <row r="7602" spans="40:42" x14ac:dyDescent="0.3">
      <c r="AN7602">
        <v>7598</v>
      </c>
      <c r="AO7602" s="11">
        <v>16499.650000000001</v>
      </c>
      <c r="AP7602" s="9">
        <v>3.0768738631005159</v>
      </c>
    </row>
    <row r="7603" spans="40:42" x14ac:dyDescent="0.3">
      <c r="AN7603">
        <v>7599</v>
      </c>
      <c r="AO7603" s="11">
        <v>32848.019999999997</v>
      </c>
      <c r="AP7603" s="9">
        <v>3.5815032306086576</v>
      </c>
    </row>
    <row r="7604" spans="40:42" x14ac:dyDescent="0.3">
      <c r="AN7604">
        <v>7600</v>
      </c>
      <c r="AO7604" s="11">
        <v>19542.84</v>
      </c>
      <c r="AP7604" s="9">
        <v>3.2697324063622317</v>
      </c>
    </row>
    <row r="7605" spans="40:42" x14ac:dyDescent="0.3">
      <c r="AN7605">
        <v>7601</v>
      </c>
      <c r="AO7605" s="11">
        <v>25593.279999999999</v>
      </c>
      <c r="AP7605" s="9">
        <v>2.9040639172378171</v>
      </c>
    </row>
    <row r="7606" spans="40:42" x14ac:dyDescent="0.3">
      <c r="AN7606">
        <v>7602</v>
      </c>
      <c r="AO7606" s="11">
        <v>21456.23</v>
      </c>
      <c r="AP7606" s="9">
        <v>3.4961297604269546</v>
      </c>
    </row>
    <row r="7607" spans="40:42" x14ac:dyDescent="0.3">
      <c r="AN7607">
        <v>7603</v>
      </c>
      <c r="AO7607" s="11">
        <v>37263.07</v>
      </c>
      <c r="AP7607" s="9">
        <v>3.2669582849558605</v>
      </c>
    </row>
    <row r="7608" spans="40:42" x14ac:dyDescent="0.3">
      <c r="AN7608">
        <v>7604</v>
      </c>
      <c r="AO7608" s="11">
        <v>25181.8</v>
      </c>
      <c r="AP7608" s="9">
        <v>2.9509101498429091</v>
      </c>
    </row>
    <row r="7609" spans="40:42" x14ac:dyDescent="0.3">
      <c r="AN7609">
        <v>7605</v>
      </c>
      <c r="AO7609" s="11">
        <v>34275.440000000002</v>
      </c>
      <c r="AP7609" s="9">
        <v>3.3957305690810689</v>
      </c>
    </row>
    <row r="7610" spans="40:42" x14ac:dyDescent="0.3">
      <c r="AN7610">
        <v>7606</v>
      </c>
      <c r="AO7610" s="11">
        <v>22401.06</v>
      </c>
      <c r="AP7610" s="9">
        <v>3.1327771094706081</v>
      </c>
    </row>
    <row r="7611" spans="40:42" x14ac:dyDescent="0.3">
      <c r="AN7611">
        <v>7607</v>
      </c>
      <c r="AO7611" s="11">
        <v>24442.1</v>
      </c>
      <c r="AP7611" s="9">
        <v>4.0595969403511996</v>
      </c>
    </row>
    <row r="7612" spans="40:42" x14ac:dyDescent="0.3">
      <c r="AN7612">
        <v>7608</v>
      </c>
      <c r="AO7612" s="11">
        <v>31827.200000000001</v>
      </c>
      <c r="AP7612" s="9">
        <v>2.9224282780712665</v>
      </c>
    </row>
    <row r="7613" spans="40:42" x14ac:dyDescent="0.3">
      <c r="AN7613">
        <v>7609</v>
      </c>
      <c r="AO7613" s="11">
        <v>19036.93</v>
      </c>
      <c r="AP7613" s="9">
        <v>2.7835644370782893</v>
      </c>
    </row>
    <row r="7614" spans="40:42" x14ac:dyDescent="0.3">
      <c r="AN7614">
        <v>7610</v>
      </c>
      <c r="AO7614" s="11">
        <v>25276.59</v>
      </c>
      <c r="AP7614" s="9">
        <v>3.2814656783869309</v>
      </c>
    </row>
    <row r="7615" spans="40:42" x14ac:dyDescent="0.3">
      <c r="AN7615">
        <v>7611</v>
      </c>
      <c r="AO7615" s="11">
        <v>37656.33</v>
      </c>
      <c r="AP7615" s="9">
        <v>3.4034110509332494</v>
      </c>
    </row>
    <row r="7616" spans="40:42" x14ac:dyDescent="0.3">
      <c r="AN7616">
        <v>7612</v>
      </c>
      <c r="AO7616" s="11">
        <v>21115.45</v>
      </c>
      <c r="AP7616" s="9">
        <v>2.9653116642329485</v>
      </c>
    </row>
    <row r="7617" spans="40:42" x14ac:dyDescent="0.3">
      <c r="AN7617">
        <v>7613</v>
      </c>
      <c r="AO7617" s="11">
        <v>18075.27</v>
      </c>
      <c r="AP7617" s="9">
        <v>3.3395225560226134</v>
      </c>
    </row>
    <row r="7618" spans="40:42" x14ac:dyDescent="0.3">
      <c r="AN7618">
        <v>7614</v>
      </c>
      <c r="AO7618" s="11">
        <v>45267.82</v>
      </c>
      <c r="AP7618" s="9">
        <v>4.6648210547486686</v>
      </c>
    </row>
    <row r="7619" spans="40:42" x14ac:dyDescent="0.3">
      <c r="AN7619">
        <v>7615</v>
      </c>
      <c r="AO7619" s="11">
        <v>19868.03</v>
      </c>
      <c r="AP7619" s="9">
        <v>4.0685818034893062</v>
      </c>
    </row>
    <row r="7620" spans="40:42" x14ac:dyDescent="0.3">
      <c r="AN7620">
        <v>7616</v>
      </c>
      <c r="AO7620" s="11">
        <v>24890.81</v>
      </c>
      <c r="AP7620" s="9">
        <v>3.1083162322908904</v>
      </c>
    </row>
    <row r="7621" spans="40:42" x14ac:dyDescent="0.3">
      <c r="AN7621">
        <v>7617</v>
      </c>
      <c r="AO7621" s="11">
        <v>39126.71</v>
      </c>
      <c r="AP7621" s="9">
        <v>3.1348415041450721</v>
      </c>
    </row>
    <row r="7622" spans="40:42" x14ac:dyDescent="0.3">
      <c r="AN7622">
        <v>7618</v>
      </c>
      <c r="AO7622" s="11">
        <v>20287.29</v>
      </c>
      <c r="AP7622" s="9">
        <v>3.070721662395377</v>
      </c>
    </row>
    <row r="7623" spans="40:42" x14ac:dyDescent="0.3">
      <c r="AN7623">
        <v>7619</v>
      </c>
      <c r="AO7623" s="11">
        <v>20921.62</v>
      </c>
      <c r="AP7623" s="9">
        <v>3.3085697074322682</v>
      </c>
    </row>
    <row r="7624" spans="40:42" x14ac:dyDescent="0.3">
      <c r="AN7624">
        <v>7620</v>
      </c>
      <c r="AO7624" s="11">
        <v>29244.65</v>
      </c>
      <c r="AP7624" s="9">
        <v>3.1487844865145376</v>
      </c>
    </row>
    <row r="7625" spans="40:42" x14ac:dyDescent="0.3">
      <c r="AN7625">
        <v>7621</v>
      </c>
      <c r="AO7625" s="11">
        <v>28206.38</v>
      </c>
      <c r="AP7625" s="9">
        <v>3.2522202247577847</v>
      </c>
    </row>
    <row r="7626" spans="40:42" x14ac:dyDescent="0.3">
      <c r="AN7626">
        <v>7622</v>
      </c>
      <c r="AO7626" s="11">
        <v>22471.19</v>
      </c>
      <c r="AP7626" s="9">
        <v>3.1355244997117384</v>
      </c>
    </row>
    <row r="7627" spans="40:42" x14ac:dyDescent="0.3">
      <c r="AN7627">
        <v>7623</v>
      </c>
      <c r="AO7627" s="11">
        <v>24997.23</v>
      </c>
      <c r="AP7627" s="9">
        <v>3.3778433771156355</v>
      </c>
    </row>
    <row r="7628" spans="40:42" x14ac:dyDescent="0.3">
      <c r="AN7628">
        <v>7624</v>
      </c>
      <c r="AO7628" s="11">
        <v>31929.62</v>
      </c>
      <c r="AP7628" s="9">
        <v>3.9127962386298152</v>
      </c>
    </row>
    <row r="7629" spans="40:42" x14ac:dyDescent="0.3">
      <c r="AN7629">
        <v>7625</v>
      </c>
      <c r="AO7629" s="11">
        <v>30848.15</v>
      </c>
      <c r="AP7629" s="9">
        <v>3.6316088430951567</v>
      </c>
    </row>
    <row r="7630" spans="40:42" x14ac:dyDescent="0.3">
      <c r="AN7630">
        <v>7626</v>
      </c>
      <c r="AO7630" s="11">
        <v>26126.52</v>
      </c>
      <c r="AP7630" s="9">
        <v>3.1501413373956848</v>
      </c>
    </row>
    <row r="7631" spans="40:42" x14ac:dyDescent="0.3">
      <c r="AN7631">
        <v>7627</v>
      </c>
      <c r="AO7631" s="11">
        <v>37949.42</v>
      </c>
      <c r="AP7631" s="9">
        <v>3.7241299313901375</v>
      </c>
    </row>
    <row r="7632" spans="40:42" x14ac:dyDescent="0.3">
      <c r="AN7632">
        <v>7628</v>
      </c>
      <c r="AO7632" s="11">
        <v>21923.53</v>
      </c>
      <c r="AP7632" s="9">
        <v>2.9417636774671378</v>
      </c>
    </row>
    <row r="7633" spans="40:42" x14ac:dyDescent="0.3">
      <c r="AN7633">
        <v>7629</v>
      </c>
      <c r="AO7633" s="11">
        <v>18669.259999999998</v>
      </c>
      <c r="AP7633" s="9">
        <v>2.9237241160898648</v>
      </c>
    </row>
    <row r="7634" spans="40:42" x14ac:dyDescent="0.3">
      <c r="AN7634">
        <v>7630</v>
      </c>
      <c r="AO7634" s="11">
        <v>27571.95</v>
      </c>
      <c r="AP7634" s="9">
        <v>3.2317128940816913</v>
      </c>
    </row>
    <row r="7635" spans="40:42" x14ac:dyDescent="0.3">
      <c r="AN7635">
        <v>7631</v>
      </c>
      <c r="AO7635" s="11">
        <v>21785.38</v>
      </c>
      <c r="AP7635" s="9">
        <v>3.6285332380265962</v>
      </c>
    </row>
    <row r="7636" spans="40:42" x14ac:dyDescent="0.3">
      <c r="AN7636">
        <v>7632</v>
      </c>
      <c r="AO7636" s="11">
        <v>24424.67</v>
      </c>
      <c r="AP7636" s="9">
        <v>4.0231713949751464</v>
      </c>
    </row>
    <row r="7637" spans="40:42" x14ac:dyDescent="0.3">
      <c r="AN7637">
        <v>7633</v>
      </c>
      <c r="AO7637" s="11">
        <v>25574.83</v>
      </c>
      <c r="AP7637" s="9">
        <v>3.3244059436136721</v>
      </c>
    </row>
    <row r="7638" spans="40:42" x14ac:dyDescent="0.3">
      <c r="AN7638">
        <v>7634</v>
      </c>
      <c r="AO7638" s="11">
        <v>19041.88</v>
      </c>
      <c r="AP7638" s="9">
        <v>3.5773173494084287</v>
      </c>
    </row>
    <row r="7639" spans="40:42" x14ac:dyDescent="0.3">
      <c r="AN7639">
        <v>7635</v>
      </c>
      <c r="AO7639" s="11">
        <v>33211.599999999999</v>
      </c>
      <c r="AP7639" s="9">
        <v>4.0041331502118025</v>
      </c>
    </row>
    <row r="7640" spans="40:42" x14ac:dyDescent="0.3">
      <c r="AN7640">
        <v>7636</v>
      </c>
      <c r="AO7640" s="11">
        <v>35806.68</v>
      </c>
      <c r="AP7640" s="9">
        <v>4.1197207305803705</v>
      </c>
    </row>
    <row r="7641" spans="40:42" x14ac:dyDescent="0.3">
      <c r="AN7641">
        <v>7637</v>
      </c>
      <c r="AO7641" s="11">
        <v>16288.45</v>
      </c>
      <c r="AP7641" s="9">
        <v>2.7881985329485945</v>
      </c>
    </row>
    <row r="7642" spans="40:42" x14ac:dyDescent="0.3">
      <c r="AN7642">
        <v>7638</v>
      </c>
      <c r="AO7642" s="11">
        <v>20064.84</v>
      </c>
      <c r="AP7642" s="9">
        <v>3.3533271433596581</v>
      </c>
    </row>
    <row r="7643" spans="40:42" x14ac:dyDescent="0.3">
      <c r="AN7643">
        <v>7639</v>
      </c>
      <c r="AO7643" s="11">
        <v>29296.959999999999</v>
      </c>
      <c r="AP7643" s="9">
        <v>3.6876434822235837</v>
      </c>
    </row>
    <row r="7644" spans="40:42" x14ac:dyDescent="0.3">
      <c r="AN7644">
        <v>7640</v>
      </c>
      <c r="AO7644" s="11">
        <v>35270.33</v>
      </c>
      <c r="AP7644" s="9">
        <v>3.8892591745618645</v>
      </c>
    </row>
    <row r="7645" spans="40:42" x14ac:dyDescent="0.3">
      <c r="AN7645">
        <v>7641</v>
      </c>
      <c r="AO7645" s="11">
        <v>30960.43</v>
      </c>
      <c r="AP7645" s="9">
        <v>3.4568383499380677</v>
      </c>
    </row>
    <row r="7646" spans="40:42" x14ac:dyDescent="0.3">
      <c r="AN7646">
        <v>7642</v>
      </c>
      <c r="AO7646" s="11">
        <v>28869.84</v>
      </c>
      <c r="AP7646" s="9">
        <v>3.5463395847984605</v>
      </c>
    </row>
    <row r="7647" spans="40:42" x14ac:dyDescent="0.3">
      <c r="AN7647">
        <v>7643</v>
      </c>
      <c r="AO7647" s="11">
        <v>28974.49</v>
      </c>
      <c r="AP7647" s="9">
        <v>2.9057954342095043</v>
      </c>
    </row>
    <row r="7648" spans="40:42" x14ac:dyDescent="0.3">
      <c r="AN7648">
        <v>7644</v>
      </c>
      <c r="AO7648" s="11">
        <v>33193.49</v>
      </c>
      <c r="AP7648" s="9">
        <v>3.5411635406786552</v>
      </c>
    </row>
    <row r="7649" spans="40:42" x14ac:dyDescent="0.3">
      <c r="AN7649">
        <v>7645</v>
      </c>
      <c r="AO7649" s="11">
        <v>26073.59</v>
      </c>
      <c r="AP7649" s="9">
        <v>3.6086999471683634</v>
      </c>
    </row>
    <row r="7650" spans="40:42" x14ac:dyDescent="0.3">
      <c r="AN7650">
        <v>7646</v>
      </c>
      <c r="AO7650" s="11">
        <v>32019.62</v>
      </c>
      <c r="AP7650" s="9">
        <v>3.0460934133184745</v>
      </c>
    </row>
    <row r="7651" spans="40:42" x14ac:dyDescent="0.3">
      <c r="AN7651">
        <v>7647</v>
      </c>
      <c r="AO7651" s="11">
        <v>39930</v>
      </c>
      <c r="AP7651" s="9">
        <v>3.1571713109990371</v>
      </c>
    </row>
    <row r="7652" spans="40:42" x14ac:dyDescent="0.3">
      <c r="AN7652">
        <v>7648</v>
      </c>
      <c r="AO7652" s="11">
        <v>30093.17</v>
      </c>
      <c r="AP7652" s="9">
        <v>3.8560470685280062</v>
      </c>
    </row>
    <row r="7653" spans="40:42" x14ac:dyDescent="0.3">
      <c r="AN7653">
        <v>7649</v>
      </c>
      <c r="AO7653" s="11">
        <v>28176.49</v>
      </c>
      <c r="AP7653" s="9">
        <v>3.2338401963969909</v>
      </c>
    </row>
    <row r="7654" spans="40:42" x14ac:dyDescent="0.3">
      <c r="AN7654">
        <v>7650</v>
      </c>
      <c r="AO7654" s="11">
        <v>34581.870000000003</v>
      </c>
      <c r="AP7654" s="9">
        <v>3.7485434172842367</v>
      </c>
    </row>
    <row r="7655" spans="40:42" x14ac:dyDescent="0.3">
      <c r="AN7655">
        <v>7651</v>
      </c>
      <c r="AO7655" s="11">
        <v>35528.6</v>
      </c>
      <c r="AP7655" s="9">
        <v>3.6193934325823238</v>
      </c>
    </row>
    <row r="7656" spans="40:42" x14ac:dyDescent="0.3">
      <c r="AN7656">
        <v>7652</v>
      </c>
      <c r="AO7656" s="11">
        <v>33877.18</v>
      </c>
      <c r="AP7656" s="9">
        <v>3.4334693630094404</v>
      </c>
    </row>
    <row r="7657" spans="40:42" x14ac:dyDescent="0.3">
      <c r="AN7657">
        <v>7653</v>
      </c>
      <c r="AO7657" s="11">
        <v>39880.29</v>
      </c>
      <c r="AP7657" s="9">
        <v>4.7976155230988065</v>
      </c>
    </row>
    <row r="7658" spans="40:42" x14ac:dyDescent="0.3">
      <c r="AN7658">
        <v>7654</v>
      </c>
      <c r="AO7658" s="11">
        <v>23439.9</v>
      </c>
      <c r="AP7658" s="9">
        <v>3.2979206143751085</v>
      </c>
    </row>
    <row r="7659" spans="40:42" x14ac:dyDescent="0.3">
      <c r="AN7659">
        <v>7655</v>
      </c>
      <c r="AO7659" s="11">
        <v>20546.14</v>
      </c>
      <c r="AP7659" s="9">
        <v>2.7365950401763093</v>
      </c>
    </row>
    <row r="7660" spans="40:42" x14ac:dyDescent="0.3">
      <c r="AN7660">
        <v>7656</v>
      </c>
      <c r="AO7660" s="11">
        <v>28185.279999999999</v>
      </c>
      <c r="AP7660" s="9">
        <v>2.8799677245523165</v>
      </c>
    </row>
    <row r="7661" spans="40:42" x14ac:dyDescent="0.3">
      <c r="AN7661">
        <v>7657</v>
      </c>
      <c r="AO7661" s="11">
        <v>20595.87</v>
      </c>
      <c r="AP7661" s="9">
        <v>2.978733726613513</v>
      </c>
    </row>
    <row r="7662" spans="40:42" x14ac:dyDescent="0.3">
      <c r="AN7662">
        <v>7658</v>
      </c>
      <c r="AO7662" s="11">
        <v>18621.830000000002</v>
      </c>
      <c r="AP7662" s="9">
        <v>2.7083215596492214</v>
      </c>
    </row>
    <row r="7663" spans="40:42" x14ac:dyDescent="0.3">
      <c r="AN7663">
        <v>7659</v>
      </c>
      <c r="AO7663" s="11">
        <v>17522.93</v>
      </c>
      <c r="AP7663" s="9">
        <v>4.1749547831895528</v>
      </c>
    </row>
    <row r="7664" spans="40:42" x14ac:dyDescent="0.3">
      <c r="AN7664">
        <v>7660</v>
      </c>
      <c r="AO7664" s="11">
        <v>20170.68</v>
      </c>
      <c r="AP7664" s="9">
        <v>3.3148208220662068</v>
      </c>
    </row>
    <row r="7665" spans="40:42" x14ac:dyDescent="0.3">
      <c r="AN7665">
        <v>7661</v>
      </c>
      <c r="AO7665" s="11">
        <v>19208.03</v>
      </c>
      <c r="AP7665" s="9">
        <v>3.112112231842453</v>
      </c>
    </row>
    <row r="7666" spans="40:42" x14ac:dyDescent="0.3">
      <c r="AN7666">
        <v>7662</v>
      </c>
      <c r="AO7666" s="11">
        <v>27454.33</v>
      </c>
      <c r="AP7666" s="9">
        <v>4.473265009324356</v>
      </c>
    </row>
    <row r="7667" spans="40:42" x14ac:dyDescent="0.3">
      <c r="AN7667">
        <v>7663</v>
      </c>
      <c r="AO7667" s="11">
        <v>21882.63</v>
      </c>
      <c r="AP7667" s="9">
        <v>3.0473355479127808</v>
      </c>
    </row>
    <row r="7668" spans="40:42" x14ac:dyDescent="0.3">
      <c r="AN7668">
        <v>7664</v>
      </c>
      <c r="AO7668" s="11">
        <v>24610</v>
      </c>
      <c r="AP7668" s="9">
        <v>3.2939027507386469</v>
      </c>
    </row>
    <row r="7669" spans="40:42" x14ac:dyDescent="0.3">
      <c r="AN7669">
        <v>7665</v>
      </c>
      <c r="AO7669" s="11">
        <v>26074.400000000001</v>
      </c>
      <c r="AP7669" s="9">
        <v>3.5101839530683683</v>
      </c>
    </row>
    <row r="7670" spans="40:42" x14ac:dyDescent="0.3">
      <c r="AN7670">
        <v>7666</v>
      </c>
      <c r="AO7670" s="11">
        <v>17641.2</v>
      </c>
      <c r="AP7670" s="9">
        <v>4.0310408143646086</v>
      </c>
    </row>
    <row r="7671" spans="40:42" x14ac:dyDescent="0.3">
      <c r="AN7671">
        <v>7667</v>
      </c>
      <c r="AO7671" s="11">
        <v>22712.13</v>
      </c>
      <c r="AP7671" s="9">
        <v>2.8127732369228484</v>
      </c>
    </row>
    <row r="7672" spans="40:42" x14ac:dyDescent="0.3">
      <c r="AN7672">
        <v>7668</v>
      </c>
      <c r="AO7672" s="11">
        <v>32321.22</v>
      </c>
      <c r="AP7672" s="9">
        <v>3.1846623996162506</v>
      </c>
    </row>
    <row r="7673" spans="40:42" x14ac:dyDescent="0.3">
      <c r="AN7673">
        <v>7669</v>
      </c>
      <c r="AO7673" s="11">
        <v>22916.400000000001</v>
      </c>
      <c r="AP7673" s="9">
        <v>3.239089222956745</v>
      </c>
    </row>
    <row r="7674" spans="40:42" x14ac:dyDescent="0.3">
      <c r="AN7674">
        <v>7670</v>
      </c>
      <c r="AO7674" s="11">
        <v>15263.24</v>
      </c>
      <c r="AP7674" s="9">
        <v>2.6233546367359217</v>
      </c>
    </row>
    <row r="7675" spans="40:42" x14ac:dyDescent="0.3">
      <c r="AN7675">
        <v>7671</v>
      </c>
      <c r="AO7675" s="11">
        <v>20952.18</v>
      </c>
      <c r="AP7675" s="9">
        <v>3.2114783315095128</v>
      </c>
    </row>
    <row r="7676" spans="40:42" x14ac:dyDescent="0.3">
      <c r="AN7676">
        <v>7672</v>
      </c>
      <c r="AO7676" s="11">
        <v>24479.919999999998</v>
      </c>
      <c r="AP7676" s="9">
        <v>2.8266545358586002</v>
      </c>
    </row>
    <row r="7677" spans="40:42" x14ac:dyDescent="0.3">
      <c r="AN7677">
        <v>7673</v>
      </c>
      <c r="AO7677" s="11">
        <v>21976.42</v>
      </c>
      <c r="AP7677" s="9">
        <v>2.9571097220745353</v>
      </c>
    </row>
    <row r="7678" spans="40:42" x14ac:dyDescent="0.3">
      <c r="AN7678">
        <v>7674</v>
      </c>
      <c r="AO7678" s="11">
        <v>28537.52</v>
      </c>
      <c r="AP7678" s="9">
        <v>3.3923421176355477</v>
      </c>
    </row>
    <row r="7679" spans="40:42" x14ac:dyDescent="0.3">
      <c r="AN7679">
        <v>7675</v>
      </c>
      <c r="AO7679" s="11">
        <v>44401.39</v>
      </c>
      <c r="AP7679" s="9">
        <v>4.1391337408921132</v>
      </c>
    </row>
    <row r="7680" spans="40:42" x14ac:dyDescent="0.3">
      <c r="AN7680">
        <v>7676</v>
      </c>
      <c r="AO7680" s="11">
        <v>21517.98</v>
      </c>
      <c r="AP7680" s="9">
        <v>4.1352415631460309</v>
      </c>
    </row>
    <row r="7681" spans="40:42" x14ac:dyDescent="0.3">
      <c r="AN7681">
        <v>7677</v>
      </c>
      <c r="AO7681" s="11">
        <v>22694.66</v>
      </c>
      <c r="AP7681" s="9">
        <v>3.0266627735203149</v>
      </c>
    </row>
    <row r="7682" spans="40:42" x14ac:dyDescent="0.3">
      <c r="AN7682">
        <v>7678</v>
      </c>
      <c r="AO7682" s="11">
        <v>32266.22</v>
      </c>
      <c r="AP7682" s="9">
        <v>3.2362677805551474</v>
      </c>
    </row>
    <row r="7683" spans="40:42" x14ac:dyDescent="0.3">
      <c r="AN7683">
        <v>7679</v>
      </c>
      <c r="AO7683" s="11">
        <v>18198.14</v>
      </c>
      <c r="AP7683" s="9">
        <v>3.4239085302109133</v>
      </c>
    </row>
    <row r="7684" spans="40:42" x14ac:dyDescent="0.3">
      <c r="AN7684">
        <v>7680</v>
      </c>
      <c r="AO7684" s="11">
        <v>29281.42</v>
      </c>
      <c r="AP7684" s="9">
        <v>3.5601102054204814</v>
      </c>
    </row>
    <row r="7685" spans="40:42" x14ac:dyDescent="0.3">
      <c r="AN7685">
        <v>7681</v>
      </c>
      <c r="AO7685" s="11">
        <v>26393.62</v>
      </c>
      <c r="AP7685" s="9">
        <v>3.1779696351903155</v>
      </c>
    </row>
    <row r="7686" spans="40:42" x14ac:dyDescent="0.3">
      <c r="AN7686">
        <v>7682</v>
      </c>
      <c r="AO7686" s="11">
        <v>20346.259999999998</v>
      </c>
      <c r="AP7686" s="9">
        <v>3.1470826009070021</v>
      </c>
    </row>
    <row r="7687" spans="40:42" x14ac:dyDescent="0.3">
      <c r="AN7687">
        <v>7683</v>
      </c>
      <c r="AO7687" s="11">
        <v>28436.62</v>
      </c>
      <c r="AP7687" s="9">
        <v>3.1687916606240409</v>
      </c>
    </row>
    <row r="7688" spans="40:42" x14ac:dyDescent="0.3">
      <c r="AN7688">
        <v>7684</v>
      </c>
      <c r="AO7688" s="11">
        <v>36880.35</v>
      </c>
      <c r="AP7688" s="9">
        <v>3.5194631278245287</v>
      </c>
    </row>
    <row r="7689" spans="40:42" x14ac:dyDescent="0.3">
      <c r="AN7689">
        <v>7685</v>
      </c>
      <c r="AO7689" s="11">
        <v>31636.880000000001</v>
      </c>
      <c r="AP7689" s="9">
        <v>3.5674408137733682</v>
      </c>
    </row>
    <row r="7690" spans="40:42" x14ac:dyDescent="0.3">
      <c r="AN7690">
        <v>7686</v>
      </c>
      <c r="AO7690" s="11">
        <v>37481.279999999999</v>
      </c>
      <c r="AP7690" s="9">
        <v>4.0072570814943447</v>
      </c>
    </row>
    <row r="7691" spans="40:42" x14ac:dyDescent="0.3">
      <c r="AN7691">
        <v>7687</v>
      </c>
      <c r="AO7691" s="11">
        <v>25693.26</v>
      </c>
      <c r="AP7691" s="9">
        <v>3.4554198845965556</v>
      </c>
    </row>
    <row r="7692" spans="40:42" x14ac:dyDescent="0.3">
      <c r="AN7692">
        <v>7688</v>
      </c>
      <c r="AO7692" s="11">
        <v>42082.47</v>
      </c>
      <c r="AP7692" s="9">
        <v>3.8109246691373131</v>
      </c>
    </row>
    <row r="7693" spans="40:42" x14ac:dyDescent="0.3">
      <c r="AN7693">
        <v>7689</v>
      </c>
      <c r="AO7693" s="11">
        <v>19529.04</v>
      </c>
      <c r="AP7693" s="9">
        <v>3.1420809638872438</v>
      </c>
    </row>
    <row r="7694" spans="40:42" x14ac:dyDescent="0.3">
      <c r="AN7694">
        <v>7690</v>
      </c>
      <c r="AO7694" s="11">
        <v>22696.38</v>
      </c>
      <c r="AP7694" s="9">
        <v>2.9357849638376634</v>
      </c>
    </row>
    <row r="7695" spans="40:42" x14ac:dyDescent="0.3">
      <c r="AN7695">
        <v>7691</v>
      </c>
      <c r="AO7695" s="11">
        <v>26863.7</v>
      </c>
      <c r="AP7695" s="9">
        <v>4.6018664326037957</v>
      </c>
    </row>
    <row r="7696" spans="40:42" x14ac:dyDescent="0.3">
      <c r="AN7696">
        <v>7692</v>
      </c>
      <c r="AO7696" s="11">
        <v>27776.240000000002</v>
      </c>
      <c r="AP7696" s="9">
        <v>3.2214292654519179</v>
      </c>
    </row>
    <row r="7697" spans="40:42" x14ac:dyDescent="0.3">
      <c r="AN7697">
        <v>7693</v>
      </c>
      <c r="AO7697" s="11">
        <v>18025.45</v>
      </c>
      <c r="AP7697" s="9">
        <v>2.8198134066886604</v>
      </c>
    </row>
    <row r="7698" spans="40:42" x14ac:dyDescent="0.3">
      <c r="AN7698">
        <v>7694</v>
      </c>
      <c r="AO7698" s="11">
        <v>18709.32</v>
      </c>
      <c r="AP7698" s="9">
        <v>3.0545513046981729</v>
      </c>
    </row>
    <row r="7699" spans="40:42" x14ac:dyDescent="0.3">
      <c r="AN7699">
        <v>7695</v>
      </c>
      <c r="AO7699" s="11">
        <v>34135.949999999997</v>
      </c>
      <c r="AP7699" s="9">
        <v>3.7980825337945125</v>
      </c>
    </row>
    <row r="7700" spans="40:42" x14ac:dyDescent="0.3">
      <c r="AN7700">
        <v>7696</v>
      </c>
      <c r="AO7700" s="11">
        <v>41446.559999999998</v>
      </c>
      <c r="AP7700" s="9">
        <v>3.3513421250214708</v>
      </c>
    </row>
    <row r="7701" spans="40:42" x14ac:dyDescent="0.3">
      <c r="AN7701">
        <v>7697</v>
      </c>
      <c r="AO7701" s="11">
        <v>17304.28</v>
      </c>
      <c r="AP7701" s="9">
        <v>3.0154837124502629</v>
      </c>
    </row>
    <row r="7702" spans="40:42" x14ac:dyDescent="0.3">
      <c r="AN7702">
        <v>7698</v>
      </c>
      <c r="AO7702" s="11">
        <v>44815.7</v>
      </c>
      <c r="AP7702" s="9">
        <v>3.7860926371168482</v>
      </c>
    </row>
    <row r="7703" spans="40:42" x14ac:dyDescent="0.3">
      <c r="AN7703">
        <v>7699</v>
      </c>
      <c r="AO7703" s="11">
        <v>29974.29</v>
      </c>
      <c r="AP7703" s="9">
        <v>3.1487079042697164</v>
      </c>
    </row>
    <row r="7704" spans="40:42" x14ac:dyDescent="0.3">
      <c r="AN7704">
        <v>7700</v>
      </c>
      <c r="AO7704" s="11">
        <v>30091.17</v>
      </c>
      <c r="AP7704" s="9">
        <v>3.5143774554237406</v>
      </c>
    </row>
    <row r="7705" spans="40:42" x14ac:dyDescent="0.3">
      <c r="AN7705">
        <v>7701</v>
      </c>
      <c r="AO7705" s="11">
        <v>24050.86</v>
      </c>
      <c r="AP7705" s="9">
        <v>3.4662709250819552</v>
      </c>
    </row>
    <row r="7706" spans="40:42" x14ac:dyDescent="0.3">
      <c r="AN7706">
        <v>7702</v>
      </c>
      <c r="AO7706" s="11">
        <v>25861.040000000001</v>
      </c>
      <c r="AP7706" s="9">
        <v>3.0981701270003201</v>
      </c>
    </row>
    <row r="7707" spans="40:42" x14ac:dyDescent="0.3">
      <c r="AN7707">
        <v>7703</v>
      </c>
      <c r="AO7707" s="11">
        <v>29878.98</v>
      </c>
      <c r="AP7707" s="9">
        <v>3.8043132968043891</v>
      </c>
    </row>
    <row r="7708" spans="40:42" x14ac:dyDescent="0.3">
      <c r="AN7708">
        <v>7704</v>
      </c>
      <c r="AO7708" s="11">
        <v>26092.880000000001</v>
      </c>
      <c r="AP7708" s="9">
        <v>3.5313434974812483</v>
      </c>
    </row>
    <row r="7709" spans="40:42" x14ac:dyDescent="0.3">
      <c r="AN7709">
        <v>7705</v>
      </c>
      <c r="AO7709" s="11">
        <v>25165.62</v>
      </c>
      <c r="AP7709" s="9">
        <v>3.702349216495779</v>
      </c>
    </row>
    <row r="7710" spans="40:42" x14ac:dyDescent="0.3">
      <c r="AN7710">
        <v>7706</v>
      </c>
      <c r="AO7710" s="11">
        <v>26815.08</v>
      </c>
      <c r="AP7710" s="9">
        <v>3.1166687934622459</v>
      </c>
    </row>
    <row r="7711" spans="40:42" x14ac:dyDescent="0.3">
      <c r="AN7711">
        <v>7707</v>
      </c>
      <c r="AO7711" s="11">
        <v>31033.53</v>
      </c>
      <c r="AP7711" s="9">
        <v>3.5531832411562192</v>
      </c>
    </row>
    <row r="7712" spans="40:42" x14ac:dyDescent="0.3">
      <c r="AN7712">
        <v>7708</v>
      </c>
      <c r="AO7712" s="11">
        <v>33546.89</v>
      </c>
      <c r="AP7712" s="9">
        <v>3.225092964973673</v>
      </c>
    </row>
    <row r="7713" spans="40:42" x14ac:dyDescent="0.3">
      <c r="AN7713">
        <v>7709</v>
      </c>
      <c r="AO7713" s="11">
        <v>21226.43</v>
      </c>
      <c r="AP7713" s="9">
        <v>2.8809443266337</v>
      </c>
    </row>
    <row r="7714" spans="40:42" x14ac:dyDescent="0.3">
      <c r="AN7714">
        <v>7710</v>
      </c>
      <c r="AO7714" s="11">
        <v>40624.46</v>
      </c>
      <c r="AP7714" s="9">
        <v>4.1989835081068509</v>
      </c>
    </row>
    <row r="7715" spans="40:42" x14ac:dyDescent="0.3">
      <c r="AN7715">
        <v>7711</v>
      </c>
      <c r="AO7715" s="11">
        <v>31189.45</v>
      </c>
      <c r="AP7715" s="9">
        <v>3.9317410577606062</v>
      </c>
    </row>
    <row r="7716" spans="40:42" x14ac:dyDescent="0.3">
      <c r="AN7716">
        <v>7712</v>
      </c>
      <c r="AO7716" s="11">
        <v>32253.07</v>
      </c>
      <c r="AP7716" s="9">
        <v>3.3422766560345885</v>
      </c>
    </row>
    <row r="7717" spans="40:42" x14ac:dyDescent="0.3">
      <c r="AN7717">
        <v>7713</v>
      </c>
      <c r="AO7717" s="11">
        <v>15798.98</v>
      </c>
      <c r="AP7717" s="9">
        <v>2.9080317477069983</v>
      </c>
    </row>
    <row r="7718" spans="40:42" x14ac:dyDescent="0.3">
      <c r="AN7718">
        <v>7714</v>
      </c>
      <c r="AO7718" s="11">
        <v>29750.18</v>
      </c>
      <c r="AP7718" s="9">
        <v>3.30431727047791</v>
      </c>
    </row>
    <row r="7719" spans="40:42" x14ac:dyDescent="0.3">
      <c r="AN7719">
        <v>7715</v>
      </c>
      <c r="AO7719" s="11">
        <v>26331.8</v>
      </c>
      <c r="AP7719" s="9">
        <v>3.6438852034310187</v>
      </c>
    </row>
    <row r="7720" spans="40:42" x14ac:dyDescent="0.3">
      <c r="AN7720">
        <v>7716</v>
      </c>
      <c r="AO7720" s="11">
        <v>38311.89</v>
      </c>
      <c r="AP7720" s="9">
        <v>3.9051903104112129</v>
      </c>
    </row>
    <row r="7721" spans="40:42" x14ac:dyDescent="0.3">
      <c r="AN7721">
        <v>7717</v>
      </c>
      <c r="AO7721" s="11">
        <v>19432.87</v>
      </c>
      <c r="AP7721" s="9">
        <v>2.6861009558730089</v>
      </c>
    </row>
    <row r="7722" spans="40:42" x14ac:dyDescent="0.3">
      <c r="AN7722">
        <v>7718</v>
      </c>
      <c r="AO7722" s="11">
        <v>26718.32</v>
      </c>
      <c r="AP7722" s="9">
        <v>3.6420473349149289</v>
      </c>
    </row>
    <row r="7723" spans="40:42" x14ac:dyDescent="0.3">
      <c r="AN7723">
        <v>7719</v>
      </c>
      <c r="AO7723" s="11">
        <v>20466.23</v>
      </c>
      <c r="AP7723" s="9">
        <v>2.8385569524869014</v>
      </c>
    </row>
    <row r="7724" spans="40:42" x14ac:dyDescent="0.3">
      <c r="AN7724">
        <v>7720</v>
      </c>
      <c r="AO7724" s="11">
        <v>30001.17</v>
      </c>
      <c r="AP7724" s="9">
        <v>3.2408989814649161</v>
      </c>
    </row>
    <row r="7725" spans="40:42" x14ac:dyDescent="0.3">
      <c r="AN7725">
        <v>7721</v>
      </c>
      <c r="AO7725" s="11">
        <v>26428.54</v>
      </c>
      <c r="AP7725" s="9">
        <v>4.0180711653956713</v>
      </c>
    </row>
    <row r="7726" spans="40:42" x14ac:dyDescent="0.3">
      <c r="AN7726">
        <v>7722</v>
      </c>
      <c r="AO7726" s="11">
        <v>30040.42</v>
      </c>
      <c r="AP7726" s="9">
        <v>3.217515634336455</v>
      </c>
    </row>
    <row r="7727" spans="40:42" x14ac:dyDescent="0.3">
      <c r="AN7727">
        <v>7723</v>
      </c>
      <c r="AO7727" s="11">
        <v>35234.620000000003</v>
      </c>
      <c r="AP7727" s="9">
        <v>3.4465654776481736</v>
      </c>
    </row>
    <row r="7728" spans="40:42" x14ac:dyDescent="0.3">
      <c r="AN7728">
        <v>7724</v>
      </c>
      <c r="AO7728" s="11">
        <v>19709.73</v>
      </c>
      <c r="AP7728" s="9">
        <v>3.3837979521700516</v>
      </c>
    </row>
    <row r="7729" spans="40:42" x14ac:dyDescent="0.3">
      <c r="AN7729">
        <v>7725</v>
      </c>
      <c r="AO7729" s="11">
        <v>56084.05</v>
      </c>
      <c r="AP7729" s="9">
        <v>3.9337775210626336</v>
      </c>
    </row>
    <row r="7730" spans="40:42" x14ac:dyDescent="0.3">
      <c r="AN7730">
        <v>7726</v>
      </c>
      <c r="AO7730" s="11">
        <v>24406.06</v>
      </c>
      <c r="AP7730" s="9">
        <v>3.3324638769761705</v>
      </c>
    </row>
    <row r="7731" spans="40:42" x14ac:dyDescent="0.3">
      <c r="AN7731">
        <v>7727</v>
      </c>
      <c r="AO7731" s="11">
        <v>22818.12</v>
      </c>
      <c r="AP7731" s="9">
        <v>3.1885545512077811</v>
      </c>
    </row>
    <row r="7732" spans="40:42" x14ac:dyDescent="0.3">
      <c r="AN7732">
        <v>7728</v>
      </c>
      <c r="AO7732" s="11">
        <v>37770.730000000003</v>
      </c>
      <c r="AP7732" s="9">
        <v>4.5160638709096466</v>
      </c>
    </row>
    <row r="7733" spans="40:42" x14ac:dyDescent="0.3">
      <c r="AN7733">
        <v>7729</v>
      </c>
      <c r="AO7733" s="11">
        <v>26849.81</v>
      </c>
      <c r="AP7733" s="9">
        <v>3.1488302487238529</v>
      </c>
    </row>
    <row r="7734" spans="40:42" x14ac:dyDescent="0.3">
      <c r="AN7734">
        <v>7730</v>
      </c>
      <c r="AO7734" s="11">
        <v>22915.360000000001</v>
      </c>
      <c r="AP7734" s="9">
        <v>2.9393448768318677</v>
      </c>
    </row>
    <row r="7735" spans="40:42" x14ac:dyDescent="0.3">
      <c r="AN7735">
        <v>7731</v>
      </c>
      <c r="AO7735" s="11">
        <v>48952.39</v>
      </c>
      <c r="AP7735" s="9">
        <v>3.7037449935548974</v>
      </c>
    </row>
    <row r="7736" spans="40:42" x14ac:dyDescent="0.3">
      <c r="AN7736">
        <v>7732</v>
      </c>
      <c r="AO7736" s="11">
        <v>28734.59</v>
      </c>
      <c r="AP7736" s="9">
        <v>3.5203248926302648</v>
      </c>
    </row>
    <row r="7737" spans="40:42" x14ac:dyDescent="0.3">
      <c r="AN7737">
        <v>7733</v>
      </c>
      <c r="AO7737" s="11">
        <v>25143.77</v>
      </c>
      <c r="AP7737" s="9">
        <v>2.9995694029396192</v>
      </c>
    </row>
    <row r="7738" spans="40:42" x14ac:dyDescent="0.3">
      <c r="AN7738">
        <v>7734</v>
      </c>
      <c r="AO7738" s="11">
        <v>23847.31</v>
      </c>
      <c r="AP7738" s="9">
        <v>3.2863541983709275</v>
      </c>
    </row>
    <row r="7739" spans="40:42" x14ac:dyDescent="0.3">
      <c r="AN7739">
        <v>7735</v>
      </c>
      <c r="AO7739" s="11">
        <v>41565.07</v>
      </c>
      <c r="AP7739" s="9">
        <v>3.3463887302720123</v>
      </c>
    </row>
    <row r="7740" spans="40:42" x14ac:dyDescent="0.3">
      <c r="AN7740">
        <v>7736</v>
      </c>
      <c r="AO7740" s="11">
        <v>21768.49</v>
      </c>
      <c r="AP7740" s="9">
        <v>3.1530804403244761</v>
      </c>
    </row>
    <row r="7741" spans="40:42" x14ac:dyDescent="0.3">
      <c r="AN7741">
        <v>7737</v>
      </c>
      <c r="AO7741" s="11">
        <v>37080.82</v>
      </c>
      <c r="AP7741" s="9">
        <v>3.489053195729849</v>
      </c>
    </row>
    <row r="7742" spans="40:42" x14ac:dyDescent="0.3">
      <c r="AN7742">
        <v>7738</v>
      </c>
      <c r="AO7742" s="11">
        <v>33831.279999999999</v>
      </c>
      <c r="AP7742" s="9">
        <v>3.6371516412761036</v>
      </c>
    </row>
    <row r="7743" spans="40:42" x14ac:dyDescent="0.3">
      <c r="AN7743">
        <v>7739</v>
      </c>
      <c r="AO7743" s="11">
        <v>35268.050000000003</v>
      </c>
      <c r="AP7743" s="9">
        <v>4.0349445888930973</v>
      </c>
    </row>
    <row r="7744" spans="40:42" x14ac:dyDescent="0.3">
      <c r="AN7744">
        <v>7740</v>
      </c>
      <c r="AO7744" s="11">
        <v>14313.48</v>
      </c>
      <c r="AP7744" s="9">
        <v>3.2504052800800123</v>
      </c>
    </row>
    <row r="7745" spans="40:42" x14ac:dyDescent="0.3">
      <c r="AN7745">
        <v>7741</v>
      </c>
      <c r="AO7745" s="11">
        <v>15619.28</v>
      </c>
      <c r="AP7745" s="9">
        <v>3.0593786334893416</v>
      </c>
    </row>
    <row r="7746" spans="40:42" x14ac:dyDescent="0.3">
      <c r="AN7746">
        <v>7742</v>
      </c>
      <c r="AO7746" s="11">
        <v>23476.45</v>
      </c>
      <c r="AP7746" s="9">
        <v>3.5163827072041558</v>
      </c>
    </row>
    <row r="7747" spans="40:42" x14ac:dyDescent="0.3">
      <c r="AN7747">
        <v>7743</v>
      </c>
      <c r="AO7747" s="11">
        <v>26068.41</v>
      </c>
      <c r="AP7747" s="9">
        <v>3.2145517570728988</v>
      </c>
    </row>
    <row r="7748" spans="40:42" x14ac:dyDescent="0.3">
      <c r="AN7748">
        <v>7744</v>
      </c>
      <c r="AO7748" s="11">
        <v>26074.3</v>
      </c>
      <c r="AP7748" s="9">
        <v>2.7004460156789314</v>
      </c>
    </row>
    <row r="7749" spans="40:42" x14ac:dyDescent="0.3">
      <c r="AN7749">
        <v>7745</v>
      </c>
      <c r="AO7749" s="11">
        <v>36296.71</v>
      </c>
      <c r="AP7749" s="9">
        <v>4.1241750046706489</v>
      </c>
    </row>
    <row r="7750" spans="40:42" x14ac:dyDescent="0.3">
      <c r="AN7750">
        <v>7746</v>
      </c>
      <c r="AO7750" s="11">
        <v>24460.18</v>
      </c>
      <c r="AP7750" s="9">
        <v>3.537067886751756</v>
      </c>
    </row>
    <row r="7751" spans="40:42" x14ac:dyDescent="0.3">
      <c r="AN7751">
        <v>7747</v>
      </c>
      <c r="AO7751" s="11">
        <v>31770.959999999999</v>
      </c>
      <c r="AP7751" s="9">
        <v>3.5980156330607667</v>
      </c>
    </row>
    <row r="7752" spans="40:42" x14ac:dyDescent="0.3">
      <c r="AN7752">
        <v>7748</v>
      </c>
      <c r="AO7752" s="11">
        <v>27158.06</v>
      </c>
      <c r="AP7752" s="9">
        <v>3.3611600732871723</v>
      </c>
    </row>
    <row r="7753" spans="40:42" x14ac:dyDescent="0.3">
      <c r="AN7753">
        <v>7749</v>
      </c>
      <c r="AO7753" s="11">
        <v>26241.78</v>
      </c>
      <c r="AP7753" s="9">
        <v>4.0317295039700811</v>
      </c>
    </row>
    <row r="7754" spans="40:42" x14ac:dyDescent="0.3">
      <c r="AN7754">
        <v>7750</v>
      </c>
      <c r="AO7754" s="11">
        <v>15979.95</v>
      </c>
      <c r="AP7754" s="9">
        <v>3.0814081867767213</v>
      </c>
    </row>
    <row r="7755" spans="40:42" x14ac:dyDescent="0.3">
      <c r="AN7755">
        <v>7751</v>
      </c>
      <c r="AO7755" s="11">
        <v>27840</v>
      </c>
      <c r="AP7755" s="9">
        <v>3.3233911506468456</v>
      </c>
    </row>
    <row r="7756" spans="40:42" x14ac:dyDescent="0.3">
      <c r="AN7756">
        <v>7752</v>
      </c>
      <c r="AO7756" s="11">
        <v>21365.919999999998</v>
      </c>
      <c r="AP7756" s="9">
        <v>3.0613107502424635</v>
      </c>
    </row>
    <row r="7757" spans="40:42" x14ac:dyDescent="0.3">
      <c r="AN7757">
        <v>7753</v>
      </c>
      <c r="AO7757" s="11">
        <v>31314.85</v>
      </c>
      <c r="AP7757" s="9">
        <v>3.41044626068516</v>
      </c>
    </row>
    <row r="7758" spans="40:42" x14ac:dyDescent="0.3">
      <c r="AN7758">
        <v>7754</v>
      </c>
      <c r="AO7758" s="11">
        <v>23962.92</v>
      </c>
      <c r="AP7758" s="9">
        <v>2.9825889567185806</v>
      </c>
    </row>
    <row r="7759" spans="40:42" x14ac:dyDescent="0.3">
      <c r="AN7759">
        <v>7755</v>
      </c>
      <c r="AO7759" s="11">
        <v>22358.76</v>
      </c>
      <c r="AP7759" s="9">
        <v>3.3692860174326502</v>
      </c>
    </row>
    <row r="7760" spans="40:42" x14ac:dyDescent="0.3">
      <c r="AN7760">
        <v>7756</v>
      </c>
      <c r="AO7760" s="11">
        <v>21681.61</v>
      </c>
      <c r="AP7760" s="9">
        <v>3.6260704364816569</v>
      </c>
    </row>
    <row r="7761" spans="40:42" x14ac:dyDescent="0.3">
      <c r="AN7761">
        <v>7757</v>
      </c>
      <c r="AO7761" s="11">
        <v>36515.949999999997</v>
      </c>
      <c r="AP7761" s="9">
        <v>3.0525054052275959</v>
      </c>
    </row>
    <row r="7762" spans="40:42" x14ac:dyDescent="0.3">
      <c r="AN7762">
        <v>7758</v>
      </c>
      <c r="AO7762" s="11">
        <v>25760.47</v>
      </c>
      <c r="AP7762" s="9">
        <v>3.704369612115578</v>
      </c>
    </row>
    <row r="7763" spans="40:42" x14ac:dyDescent="0.3">
      <c r="AN7763">
        <v>7759</v>
      </c>
      <c r="AO7763" s="11">
        <v>29205.040000000001</v>
      </c>
      <c r="AP7763" s="9">
        <v>3.6252700107815388</v>
      </c>
    </row>
    <row r="7764" spans="40:42" x14ac:dyDescent="0.3">
      <c r="AN7764">
        <v>7760</v>
      </c>
      <c r="AO7764" s="11">
        <v>27175.22</v>
      </c>
      <c r="AP7764" s="9">
        <v>3.1433221521001204</v>
      </c>
    </row>
    <row r="7765" spans="40:42" x14ac:dyDescent="0.3">
      <c r="AN7765">
        <v>7761</v>
      </c>
      <c r="AO7765" s="11">
        <v>24096.63</v>
      </c>
      <c r="AP7765" s="9">
        <v>3.2604798169147728</v>
      </c>
    </row>
    <row r="7766" spans="40:42" x14ac:dyDescent="0.3">
      <c r="AN7766">
        <v>7762</v>
      </c>
      <c r="AO7766" s="11">
        <v>22578.42</v>
      </c>
      <c r="AP7766" s="9">
        <v>3.5988407143771362</v>
      </c>
    </row>
    <row r="7767" spans="40:42" x14ac:dyDescent="0.3">
      <c r="AN7767">
        <v>7763</v>
      </c>
      <c r="AO7767" s="11">
        <v>19986.740000000002</v>
      </c>
      <c r="AP7767" s="9">
        <v>3.1011170039214515</v>
      </c>
    </row>
    <row r="7768" spans="40:42" x14ac:dyDescent="0.3">
      <c r="AN7768">
        <v>7764</v>
      </c>
      <c r="AO7768" s="11">
        <v>24275.25</v>
      </c>
      <c r="AP7768" s="9">
        <v>3.4642879169741518</v>
      </c>
    </row>
    <row r="7769" spans="40:42" x14ac:dyDescent="0.3">
      <c r="AN7769">
        <v>7765</v>
      </c>
      <c r="AO7769" s="11">
        <v>29014.240000000002</v>
      </c>
      <c r="AP7769" s="9">
        <v>3.9231136644494997</v>
      </c>
    </row>
    <row r="7770" spans="40:42" x14ac:dyDescent="0.3">
      <c r="AN7770">
        <v>7766</v>
      </c>
      <c r="AO7770" s="11">
        <v>26759.16</v>
      </c>
      <c r="AP7770" s="9">
        <v>3.2317818354669483</v>
      </c>
    </row>
    <row r="7771" spans="40:42" x14ac:dyDescent="0.3">
      <c r="AN7771">
        <v>7767</v>
      </c>
      <c r="AO7771" s="11">
        <v>20112.849999999999</v>
      </c>
      <c r="AP7771" s="9">
        <v>3.1760912491872477</v>
      </c>
    </row>
    <row r="7772" spans="40:42" x14ac:dyDescent="0.3">
      <c r="AN7772">
        <v>7768</v>
      </c>
      <c r="AO7772" s="11">
        <v>20149.84</v>
      </c>
      <c r="AP7772" s="9">
        <v>3.2252177642943969</v>
      </c>
    </row>
    <row r="7773" spans="40:42" x14ac:dyDescent="0.3">
      <c r="AN7773">
        <v>7769</v>
      </c>
      <c r="AO7773" s="11">
        <v>18719.66</v>
      </c>
      <c r="AP7773" s="9">
        <v>3.3804520385825172</v>
      </c>
    </row>
    <row r="7774" spans="40:42" x14ac:dyDescent="0.3">
      <c r="AN7774">
        <v>7770</v>
      </c>
      <c r="AO7774" s="11">
        <v>32103.82</v>
      </c>
      <c r="AP7774" s="9">
        <v>4.3973514369390223</v>
      </c>
    </row>
    <row r="7775" spans="40:42" x14ac:dyDescent="0.3">
      <c r="AN7775">
        <v>7771</v>
      </c>
      <c r="AO7775" s="11">
        <v>27768.97</v>
      </c>
      <c r="AP7775" s="9">
        <v>3.9597266776088271</v>
      </c>
    </row>
    <row r="7776" spans="40:42" x14ac:dyDescent="0.3">
      <c r="AN7776">
        <v>7772</v>
      </c>
      <c r="AO7776" s="11">
        <v>24132.46</v>
      </c>
      <c r="AP7776" s="9">
        <v>3.0691064468219804</v>
      </c>
    </row>
    <row r="7777" spans="40:42" x14ac:dyDescent="0.3">
      <c r="AN7777">
        <v>7773</v>
      </c>
      <c r="AO7777" s="11">
        <v>31165.26</v>
      </c>
      <c r="AP7777" s="9">
        <v>3.2219693702978582</v>
      </c>
    </row>
    <row r="7778" spans="40:42" x14ac:dyDescent="0.3">
      <c r="AN7778">
        <v>7774</v>
      </c>
      <c r="AO7778" s="11">
        <v>31058.26</v>
      </c>
      <c r="AP7778" s="9">
        <v>3.5021364247802311</v>
      </c>
    </row>
    <row r="7779" spans="40:42" x14ac:dyDescent="0.3">
      <c r="AN7779">
        <v>7775</v>
      </c>
      <c r="AO7779" s="11">
        <v>26753.09</v>
      </c>
      <c r="AP7779" s="9">
        <v>3.2575389167105864</v>
      </c>
    </row>
    <row r="7780" spans="40:42" x14ac:dyDescent="0.3">
      <c r="AN7780">
        <v>7776</v>
      </c>
      <c r="AO7780" s="11">
        <v>47530.64</v>
      </c>
      <c r="AP7780" s="9">
        <v>3.612298828754207</v>
      </c>
    </row>
    <row r="7781" spans="40:42" x14ac:dyDescent="0.3">
      <c r="AN7781">
        <v>7777</v>
      </c>
      <c r="AO7781" s="11">
        <v>19592.240000000002</v>
      </c>
      <c r="AP7781" s="9">
        <v>3.2395644370684002</v>
      </c>
    </row>
    <row r="7782" spans="40:42" x14ac:dyDescent="0.3">
      <c r="AN7782">
        <v>7778</v>
      </c>
      <c r="AO7782" s="11">
        <v>24808.22</v>
      </c>
      <c r="AP7782" s="9">
        <v>3.3301653596285918</v>
      </c>
    </row>
    <row r="7783" spans="40:42" x14ac:dyDescent="0.3">
      <c r="AN7783">
        <v>7779</v>
      </c>
      <c r="AO7783" s="11">
        <v>22330.84</v>
      </c>
      <c r="AP7783" s="9">
        <v>3.0328270864732527</v>
      </c>
    </row>
    <row r="7784" spans="40:42" x14ac:dyDescent="0.3">
      <c r="AN7784">
        <v>7780</v>
      </c>
      <c r="AO7784" s="11">
        <v>25067.55</v>
      </c>
      <c r="AP7784" s="9">
        <v>3.5090838483975442</v>
      </c>
    </row>
    <row r="7785" spans="40:42" x14ac:dyDescent="0.3">
      <c r="AN7785">
        <v>7781</v>
      </c>
      <c r="AO7785" s="11">
        <v>21706.36</v>
      </c>
      <c r="AP7785" s="9">
        <v>3.082518140516747</v>
      </c>
    </row>
    <row r="7786" spans="40:42" x14ac:dyDescent="0.3">
      <c r="AN7786">
        <v>7782</v>
      </c>
      <c r="AO7786" s="11">
        <v>26055.58</v>
      </c>
      <c r="AP7786" s="9">
        <v>3.1776746492643375</v>
      </c>
    </row>
    <row r="7787" spans="40:42" x14ac:dyDescent="0.3">
      <c r="AN7787">
        <v>7783</v>
      </c>
      <c r="AO7787" s="11">
        <v>28078.85</v>
      </c>
      <c r="AP7787" s="9">
        <v>3.1918919131929839</v>
      </c>
    </row>
    <row r="7788" spans="40:42" x14ac:dyDescent="0.3">
      <c r="AN7788">
        <v>7784</v>
      </c>
      <c r="AO7788" s="11">
        <v>21371.91</v>
      </c>
      <c r="AP7788" s="9">
        <v>2.8893486223446572</v>
      </c>
    </row>
    <row r="7789" spans="40:42" x14ac:dyDescent="0.3">
      <c r="AN7789">
        <v>7785</v>
      </c>
      <c r="AO7789" s="11">
        <v>26189.89</v>
      </c>
      <c r="AP7789" s="9">
        <v>3.1683290094668295</v>
      </c>
    </row>
    <row r="7790" spans="40:42" x14ac:dyDescent="0.3">
      <c r="AN7790">
        <v>7786</v>
      </c>
      <c r="AO7790" s="11">
        <v>17614.98</v>
      </c>
      <c r="AP7790" s="9">
        <v>3.395144977927496</v>
      </c>
    </row>
    <row r="7791" spans="40:42" x14ac:dyDescent="0.3">
      <c r="AN7791">
        <v>7787</v>
      </c>
      <c r="AO7791" s="11">
        <v>28979.98</v>
      </c>
      <c r="AP7791" s="9">
        <v>3.3357859327957287</v>
      </c>
    </row>
    <row r="7792" spans="40:42" x14ac:dyDescent="0.3">
      <c r="AN7792">
        <v>7788</v>
      </c>
      <c r="AO7792" s="11">
        <v>25405.47</v>
      </c>
      <c r="AP7792" s="9">
        <v>3.7634061688080793</v>
      </c>
    </row>
    <row r="7793" spans="40:42" x14ac:dyDescent="0.3">
      <c r="AN7793">
        <v>7789</v>
      </c>
      <c r="AO7793" s="11">
        <v>29127.58</v>
      </c>
      <c r="AP7793" s="9">
        <v>3.8232635445720096</v>
      </c>
    </row>
    <row r="7794" spans="40:42" x14ac:dyDescent="0.3">
      <c r="AN7794">
        <v>7790</v>
      </c>
      <c r="AO7794" s="11">
        <v>20820.66</v>
      </c>
      <c r="AP7794" s="9">
        <v>3.3230583252780068</v>
      </c>
    </row>
    <row r="7795" spans="40:42" x14ac:dyDescent="0.3">
      <c r="AN7795">
        <v>7791</v>
      </c>
      <c r="AO7795" s="11">
        <v>30332.98</v>
      </c>
      <c r="AP7795" s="9">
        <v>3.011033470000072</v>
      </c>
    </row>
    <row r="7796" spans="40:42" x14ac:dyDescent="0.3">
      <c r="AN7796">
        <v>7792</v>
      </c>
      <c r="AO7796" s="11">
        <v>36811.339999999997</v>
      </c>
      <c r="AP7796" s="9">
        <v>3.9571743653206637</v>
      </c>
    </row>
    <row r="7797" spans="40:42" x14ac:dyDescent="0.3">
      <c r="AN7797">
        <v>7793</v>
      </c>
      <c r="AO7797" s="11">
        <v>12517.28</v>
      </c>
      <c r="AP7797" s="9">
        <v>3.0075311138649292</v>
      </c>
    </row>
    <row r="7798" spans="40:42" x14ac:dyDescent="0.3">
      <c r="AN7798">
        <v>7794</v>
      </c>
      <c r="AO7798" s="11">
        <v>18149.55</v>
      </c>
      <c r="AP7798" s="9">
        <v>3.3249095730437119</v>
      </c>
    </row>
    <row r="7799" spans="40:42" x14ac:dyDescent="0.3">
      <c r="AN7799">
        <v>7795</v>
      </c>
      <c r="AO7799" s="11">
        <v>55519.54</v>
      </c>
      <c r="AP7799" s="9">
        <v>4.4405046502243026</v>
      </c>
    </row>
    <row r="7800" spans="40:42" x14ac:dyDescent="0.3">
      <c r="AN7800">
        <v>7796</v>
      </c>
      <c r="AO7800" s="11">
        <v>29291.360000000001</v>
      </c>
      <c r="AP7800" s="9">
        <v>3.215592457674918</v>
      </c>
    </row>
    <row r="7801" spans="40:42" x14ac:dyDescent="0.3">
      <c r="AN7801">
        <v>7797</v>
      </c>
      <c r="AO7801" s="11">
        <v>18005.150000000001</v>
      </c>
      <c r="AP7801" s="9">
        <v>2.8608827484932404</v>
      </c>
    </row>
    <row r="7802" spans="40:42" x14ac:dyDescent="0.3">
      <c r="AN7802">
        <v>7798</v>
      </c>
      <c r="AO7802" s="11">
        <v>28373</v>
      </c>
      <c r="AP7802" s="9">
        <v>3.804615816499374</v>
      </c>
    </row>
    <row r="7803" spans="40:42" x14ac:dyDescent="0.3">
      <c r="AN7803">
        <v>7799</v>
      </c>
      <c r="AO7803" s="11">
        <v>39455.410000000003</v>
      </c>
      <c r="AP7803" s="9">
        <v>4.1856569401906238</v>
      </c>
    </row>
    <row r="7804" spans="40:42" x14ac:dyDescent="0.3">
      <c r="AN7804">
        <v>7800</v>
      </c>
      <c r="AO7804" s="11">
        <v>37896.269999999997</v>
      </c>
      <c r="AP7804" s="9">
        <v>3.6591160774283948</v>
      </c>
    </row>
    <row r="7805" spans="40:42" x14ac:dyDescent="0.3">
      <c r="AN7805">
        <v>7801</v>
      </c>
      <c r="AO7805" s="11">
        <v>23853.62</v>
      </c>
      <c r="AP7805" s="9">
        <v>3.3157395315826084</v>
      </c>
    </row>
    <row r="7806" spans="40:42" x14ac:dyDescent="0.3">
      <c r="AN7806">
        <v>7802</v>
      </c>
      <c r="AO7806" s="11">
        <v>22442.98</v>
      </c>
      <c r="AP7806" s="9">
        <v>3.0253176944855995</v>
      </c>
    </row>
    <row r="7807" spans="40:42" x14ac:dyDescent="0.3">
      <c r="AN7807">
        <v>7803</v>
      </c>
      <c r="AO7807" s="11">
        <v>22793.67</v>
      </c>
      <c r="AP7807" s="9">
        <v>3.6147036282110179</v>
      </c>
    </row>
    <row r="7808" spans="40:42" x14ac:dyDescent="0.3">
      <c r="AN7808">
        <v>7804</v>
      </c>
      <c r="AO7808" s="11">
        <v>36940.78</v>
      </c>
      <c r="AP7808" s="9">
        <v>3.3466786043196368</v>
      </c>
    </row>
    <row r="7809" spans="40:42" x14ac:dyDescent="0.3">
      <c r="AN7809">
        <v>7805</v>
      </c>
      <c r="AO7809" s="11">
        <v>28109.15</v>
      </c>
      <c r="AP7809" s="9">
        <v>2.7278763877403294</v>
      </c>
    </row>
    <row r="7810" spans="40:42" x14ac:dyDescent="0.3">
      <c r="AN7810">
        <v>7806</v>
      </c>
      <c r="AO7810" s="11">
        <v>24356.58</v>
      </c>
      <c r="AP7810" s="9">
        <v>3.5334460913446821</v>
      </c>
    </row>
    <row r="7811" spans="40:42" x14ac:dyDescent="0.3">
      <c r="AN7811">
        <v>7807</v>
      </c>
      <c r="AO7811" s="11">
        <v>17213.650000000001</v>
      </c>
      <c r="AP7811" s="9">
        <v>3.2369696334116003</v>
      </c>
    </row>
    <row r="7812" spans="40:42" x14ac:dyDescent="0.3">
      <c r="AN7812">
        <v>7808</v>
      </c>
      <c r="AO7812" s="11">
        <v>33609.96</v>
      </c>
      <c r="AP7812" s="9">
        <v>3.9114533251005565</v>
      </c>
    </row>
    <row r="7813" spans="40:42" x14ac:dyDescent="0.3">
      <c r="AN7813">
        <v>7809</v>
      </c>
      <c r="AO7813" s="11">
        <v>36065.919999999998</v>
      </c>
      <c r="AP7813" s="9">
        <v>3.674634367908491</v>
      </c>
    </row>
    <row r="7814" spans="40:42" x14ac:dyDescent="0.3">
      <c r="AN7814">
        <v>7810</v>
      </c>
      <c r="AO7814" s="11">
        <v>25777.7</v>
      </c>
      <c r="AP7814" s="9">
        <v>3.0538205351601122</v>
      </c>
    </row>
    <row r="7815" spans="40:42" x14ac:dyDescent="0.3">
      <c r="AN7815">
        <v>7811</v>
      </c>
      <c r="AO7815" s="11">
        <v>36229.910000000003</v>
      </c>
      <c r="AP7815" s="9">
        <v>4.2680484706112436</v>
      </c>
    </row>
    <row r="7816" spans="40:42" x14ac:dyDescent="0.3">
      <c r="AN7816">
        <v>7812</v>
      </c>
      <c r="AO7816" s="11">
        <v>16730.98</v>
      </c>
      <c r="AP7816" s="9">
        <v>3.6865179902453975</v>
      </c>
    </row>
    <row r="7817" spans="40:42" x14ac:dyDescent="0.3">
      <c r="AN7817">
        <v>7813</v>
      </c>
      <c r="AO7817" s="11">
        <v>22533.72</v>
      </c>
      <c r="AP7817" s="9">
        <v>3.3935946130955488</v>
      </c>
    </row>
    <row r="7818" spans="40:42" x14ac:dyDescent="0.3">
      <c r="AN7818">
        <v>7814</v>
      </c>
      <c r="AO7818" s="11">
        <v>24680.6</v>
      </c>
      <c r="AP7818" s="9">
        <v>3.0722949191173861</v>
      </c>
    </row>
    <row r="7819" spans="40:42" x14ac:dyDescent="0.3">
      <c r="AN7819">
        <v>7815</v>
      </c>
      <c r="AO7819" s="11">
        <v>19818.27</v>
      </c>
      <c r="AP7819" s="9">
        <v>3.6044996517536805</v>
      </c>
    </row>
    <row r="7820" spans="40:42" x14ac:dyDescent="0.3">
      <c r="AN7820">
        <v>7816</v>
      </c>
      <c r="AO7820" s="11">
        <v>18458.240000000002</v>
      </c>
      <c r="AP7820" s="9">
        <v>3.3373706117737383</v>
      </c>
    </row>
    <row r="7821" spans="40:42" x14ac:dyDescent="0.3">
      <c r="AN7821">
        <v>7817</v>
      </c>
      <c r="AO7821" s="11">
        <v>35965.120000000003</v>
      </c>
      <c r="AP7821" s="9">
        <v>3.7953902063810911</v>
      </c>
    </row>
    <row r="7822" spans="40:42" x14ac:dyDescent="0.3">
      <c r="AN7822">
        <v>7818</v>
      </c>
      <c r="AO7822" s="11">
        <v>21172.41</v>
      </c>
      <c r="AP7822" s="9">
        <v>3.5343034485705571</v>
      </c>
    </row>
    <row r="7823" spans="40:42" x14ac:dyDescent="0.3">
      <c r="AN7823">
        <v>7819</v>
      </c>
      <c r="AO7823" s="11">
        <v>35110.81</v>
      </c>
      <c r="AP7823" s="9">
        <v>3.7096899102881817</v>
      </c>
    </row>
    <row r="7824" spans="40:42" x14ac:dyDescent="0.3">
      <c r="AN7824">
        <v>7820</v>
      </c>
      <c r="AO7824" s="11">
        <v>27284.560000000001</v>
      </c>
      <c r="AP7824" s="9">
        <v>3.7060415545022365</v>
      </c>
    </row>
    <row r="7825" spans="40:42" x14ac:dyDescent="0.3">
      <c r="AN7825">
        <v>7821</v>
      </c>
      <c r="AO7825" s="11">
        <v>35574.26</v>
      </c>
      <c r="AP7825" s="9">
        <v>3.2367358896377389</v>
      </c>
    </row>
    <row r="7826" spans="40:42" x14ac:dyDescent="0.3">
      <c r="AN7826">
        <v>7822</v>
      </c>
      <c r="AO7826" s="11">
        <v>25234.67</v>
      </c>
      <c r="AP7826" s="9">
        <v>3.5528561861363666</v>
      </c>
    </row>
    <row r="7827" spans="40:42" x14ac:dyDescent="0.3">
      <c r="AN7827">
        <v>7823</v>
      </c>
      <c r="AO7827" s="11">
        <v>40639.949999999997</v>
      </c>
      <c r="AP7827" s="9">
        <v>4.6234727016758272</v>
      </c>
    </row>
    <row r="7828" spans="40:42" x14ac:dyDescent="0.3">
      <c r="AN7828">
        <v>7824</v>
      </c>
      <c r="AO7828" s="11">
        <v>44386.6</v>
      </c>
      <c r="AP7828" s="9">
        <v>4.343866460198246</v>
      </c>
    </row>
    <row r="7829" spans="40:42" x14ac:dyDescent="0.3">
      <c r="AN7829">
        <v>7825</v>
      </c>
      <c r="AO7829" s="11">
        <v>26809.06</v>
      </c>
      <c r="AP7829" s="9">
        <v>3.6745221213932076</v>
      </c>
    </row>
    <row r="7830" spans="40:42" x14ac:dyDescent="0.3">
      <c r="AN7830">
        <v>7826</v>
      </c>
      <c r="AO7830" s="11">
        <v>35007.160000000003</v>
      </c>
      <c r="AP7830" s="9">
        <v>3.8204827181514434</v>
      </c>
    </row>
    <row r="7831" spans="40:42" x14ac:dyDescent="0.3">
      <c r="AN7831">
        <v>7827</v>
      </c>
      <c r="AO7831" s="11">
        <v>34492.25</v>
      </c>
      <c r="AP7831" s="9">
        <v>3.0177957924269529</v>
      </c>
    </row>
    <row r="7832" spans="40:42" x14ac:dyDescent="0.3">
      <c r="AN7832">
        <v>7828</v>
      </c>
      <c r="AO7832" s="11">
        <v>20056.419999999998</v>
      </c>
      <c r="AP7832" s="9">
        <v>3.4042107574008953</v>
      </c>
    </row>
    <row r="7833" spans="40:42" x14ac:dyDescent="0.3">
      <c r="AN7833">
        <v>7829</v>
      </c>
      <c r="AO7833" s="11">
        <v>24565.47</v>
      </c>
      <c r="AP7833" s="9">
        <v>2.9329833863484556</v>
      </c>
    </row>
    <row r="7834" spans="40:42" x14ac:dyDescent="0.3">
      <c r="AN7834">
        <v>7830</v>
      </c>
      <c r="AO7834" s="11">
        <v>37174.28</v>
      </c>
      <c r="AP7834" s="9">
        <v>3.6135545330840966</v>
      </c>
    </row>
    <row r="7835" spans="40:42" x14ac:dyDescent="0.3">
      <c r="AN7835">
        <v>7831</v>
      </c>
      <c r="AO7835" s="11">
        <v>45496.58</v>
      </c>
      <c r="AP7835" s="9">
        <v>3.547696629635563</v>
      </c>
    </row>
    <row r="7836" spans="40:42" x14ac:dyDescent="0.3">
      <c r="AN7836">
        <v>7832</v>
      </c>
      <c r="AO7836" s="11">
        <v>36787.31</v>
      </c>
      <c r="AP7836" s="9">
        <v>3.4356050477517215</v>
      </c>
    </row>
    <row r="7837" spans="40:42" x14ac:dyDescent="0.3">
      <c r="AN7837">
        <v>7833</v>
      </c>
      <c r="AO7837" s="11">
        <v>30316.54</v>
      </c>
      <c r="AP7837" s="9">
        <v>3.5009683102623947</v>
      </c>
    </row>
    <row r="7838" spans="40:42" x14ac:dyDescent="0.3">
      <c r="AN7838">
        <v>7834</v>
      </c>
      <c r="AO7838" s="11">
        <v>36212.769999999997</v>
      </c>
      <c r="AP7838" s="9">
        <v>3.2489373241328705</v>
      </c>
    </row>
    <row r="7839" spans="40:42" x14ac:dyDescent="0.3">
      <c r="AN7839">
        <v>7835</v>
      </c>
      <c r="AO7839" s="11">
        <v>16512.27</v>
      </c>
      <c r="AP7839" s="9">
        <v>2.8987474600950023</v>
      </c>
    </row>
    <row r="7840" spans="40:42" x14ac:dyDescent="0.3">
      <c r="AN7840">
        <v>7836</v>
      </c>
      <c r="AO7840" s="11">
        <v>19426.189999999999</v>
      </c>
      <c r="AP7840" s="9">
        <v>2.9372635673979364</v>
      </c>
    </row>
    <row r="7841" spans="40:42" x14ac:dyDescent="0.3">
      <c r="AN7841">
        <v>7837</v>
      </c>
      <c r="AO7841" s="11">
        <v>21928.3</v>
      </c>
      <c r="AP7841" s="9">
        <v>3.5708417737332527</v>
      </c>
    </row>
    <row r="7842" spans="40:42" x14ac:dyDescent="0.3">
      <c r="AN7842">
        <v>7838</v>
      </c>
      <c r="AO7842" s="11">
        <v>19219.07</v>
      </c>
      <c r="AP7842" s="9">
        <v>3.1695717100840226</v>
      </c>
    </row>
    <row r="7843" spans="40:42" x14ac:dyDescent="0.3">
      <c r="AN7843">
        <v>7839</v>
      </c>
      <c r="AO7843" s="11">
        <v>41216.69</v>
      </c>
      <c r="AP7843" s="9">
        <v>3.3759399943289012</v>
      </c>
    </row>
    <row r="7844" spans="40:42" x14ac:dyDescent="0.3">
      <c r="AN7844">
        <v>7840</v>
      </c>
      <c r="AO7844" s="11">
        <v>13321.88</v>
      </c>
      <c r="AP7844" s="9">
        <v>3.0683157139160255</v>
      </c>
    </row>
    <row r="7845" spans="40:42" x14ac:dyDescent="0.3">
      <c r="AN7845">
        <v>7841</v>
      </c>
      <c r="AO7845" s="11">
        <v>18172.099999999999</v>
      </c>
      <c r="AP7845" s="9">
        <v>3.4887593246866944</v>
      </c>
    </row>
    <row r="7846" spans="40:42" x14ac:dyDescent="0.3">
      <c r="AN7846">
        <v>7842</v>
      </c>
      <c r="AO7846" s="11">
        <v>22250.51</v>
      </c>
      <c r="AP7846" s="9">
        <v>3.6409710013705623</v>
      </c>
    </row>
    <row r="7847" spans="40:42" x14ac:dyDescent="0.3">
      <c r="AN7847">
        <v>7843</v>
      </c>
      <c r="AO7847" s="11">
        <v>43367.57</v>
      </c>
      <c r="AP7847" s="9">
        <v>4.0361709215121886</v>
      </c>
    </row>
    <row r="7848" spans="40:42" x14ac:dyDescent="0.3">
      <c r="AN7848">
        <v>7844</v>
      </c>
      <c r="AO7848" s="11">
        <v>26181.54</v>
      </c>
      <c r="AP7848" s="9">
        <v>3.2290424221851453</v>
      </c>
    </row>
    <row r="7849" spans="40:42" x14ac:dyDescent="0.3">
      <c r="AN7849">
        <v>7845</v>
      </c>
      <c r="AO7849" s="11">
        <v>24745.82</v>
      </c>
      <c r="AP7849" s="9">
        <v>3.9907616976231677</v>
      </c>
    </row>
    <row r="7850" spans="40:42" x14ac:dyDescent="0.3">
      <c r="AN7850">
        <v>7846</v>
      </c>
      <c r="AO7850" s="11">
        <v>19410.13</v>
      </c>
      <c r="AP7850" s="9">
        <v>2.7371384959240195</v>
      </c>
    </row>
    <row r="7851" spans="40:42" x14ac:dyDescent="0.3">
      <c r="AN7851">
        <v>7847</v>
      </c>
      <c r="AO7851" s="11">
        <v>23172.62</v>
      </c>
      <c r="AP7851" s="9">
        <v>3.5828517699011977</v>
      </c>
    </row>
    <row r="7852" spans="40:42" x14ac:dyDescent="0.3">
      <c r="AN7852">
        <v>7848</v>
      </c>
      <c r="AO7852" s="11">
        <v>21826.959999999999</v>
      </c>
      <c r="AP7852" s="9">
        <v>2.8992580844216933</v>
      </c>
    </row>
    <row r="7853" spans="40:42" x14ac:dyDescent="0.3">
      <c r="AN7853">
        <v>7849</v>
      </c>
      <c r="AO7853" s="11">
        <v>24583.38</v>
      </c>
      <c r="AP7853" s="9">
        <v>3.602479464035123</v>
      </c>
    </row>
    <row r="7854" spans="40:42" x14ac:dyDescent="0.3">
      <c r="AN7854">
        <v>7850</v>
      </c>
      <c r="AO7854" s="11">
        <v>15673.33</v>
      </c>
      <c r="AP7854" s="9">
        <v>3.2494155403948914</v>
      </c>
    </row>
    <row r="7855" spans="40:42" x14ac:dyDescent="0.3">
      <c r="AN7855">
        <v>7851</v>
      </c>
      <c r="AO7855" s="11">
        <v>27056.92</v>
      </c>
      <c r="AP7855" s="9">
        <v>3.0560081975322828</v>
      </c>
    </row>
    <row r="7856" spans="40:42" x14ac:dyDescent="0.3">
      <c r="AN7856">
        <v>7852</v>
      </c>
      <c r="AO7856" s="11">
        <v>20511.759999999998</v>
      </c>
      <c r="AP7856" s="9">
        <v>3.13949643348001</v>
      </c>
    </row>
    <row r="7857" spans="40:42" x14ac:dyDescent="0.3">
      <c r="AN7857">
        <v>7853</v>
      </c>
      <c r="AO7857" s="11">
        <v>27986.35</v>
      </c>
      <c r="AP7857" s="9">
        <v>3.3671954807716724</v>
      </c>
    </row>
    <row r="7858" spans="40:42" x14ac:dyDescent="0.3">
      <c r="AN7858">
        <v>7854</v>
      </c>
      <c r="AO7858" s="11">
        <v>27907.83</v>
      </c>
      <c r="AP7858" s="9">
        <v>3.2479847776460007</v>
      </c>
    </row>
    <row r="7859" spans="40:42" x14ac:dyDescent="0.3">
      <c r="AN7859">
        <v>7855</v>
      </c>
      <c r="AO7859" s="11">
        <v>42027.88</v>
      </c>
      <c r="AP7859" s="9">
        <v>3.5171155082261079</v>
      </c>
    </row>
    <row r="7860" spans="40:42" x14ac:dyDescent="0.3">
      <c r="AN7860">
        <v>7856</v>
      </c>
      <c r="AO7860" s="11">
        <v>31253.040000000001</v>
      </c>
      <c r="AP7860" s="9">
        <v>2.954050116615349</v>
      </c>
    </row>
    <row r="7861" spans="40:42" x14ac:dyDescent="0.3">
      <c r="AN7861">
        <v>7857</v>
      </c>
      <c r="AO7861" s="11">
        <v>31565.89</v>
      </c>
      <c r="AP7861" s="9">
        <v>4.2364127735297865</v>
      </c>
    </row>
    <row r="7862" spans="40:42" x14ac:dyDescent="0.3">
      <c r="AN7862">
        <v>7858</v>
      </c>
      <c r="AO7862" s="11">
        <v>22849.07</v>
      </c>
      <c r="AP7862" s="9">
        <v>3.6594922119376538</v>
      </c>
    </row>
    <row r="7863" spans="40:42" x14ac:dyDescent="0.3">
      <c r="AN7863">
        <v>7859</v>
      </c>
      <c r="AO7863" s="11">
        <v>20960.12</v>
      </c>
      <c r="AP7863" s="9">
        <v>2.8693247362283505</v>
      </c>
    </row>
    <row r="7864" spans="40:42" x14ac:dyDescent="0.3">
      <c r="AN7864">
        <v>7860</v>
      </c>
      <c r="AO7864" s="11">
        <v>34782.33</v>
      </c>
      <c r="AP7864" s="9">
        <v>3.8347008403178968</v>
      </c>
    </row>
    <row r="7865" spans="40:42" x14ac:dyDescent="0.3">
      <c r="AN7865">
        <v>7861</v>
      </c>
      <c r="AO7865" s="11">
        <v>22848.39</v>
      </c>
      <c r="AP7865" s="9">
        <v>3.0921912716574687</v>
      </c>
    </row>
    <row r="7866" spans="40:42" x14ac:dyDescent="0.3">
      <c r="AN7866">
        <v>7862</v>
      </c>
      <c r="AO7866" s="11">
        <v>36516.160000000003</v>
      </c>
      <c r="AP7866" s="9">
        <v>4.3468895972896222</v>
      </c>
    </row>
    <row r="7867" spans="40:42" x14ac:dyDescent="0.3">
      <c r="AN7867">
        <v>7863</v>
      </c>
      <c r="AO7867" s="11">
        <v>18812.099999999999</v>
      </c>
      <c r="AP7867" s="9">
        <v>2.8775974437454153</v>
      </c>
    </row>
    <row r="7868" spans="40:42" x14ac:dyDescent="0.3">
      <c r="AN7868">
        <v>7864</v>
      </c>
      <c r="AO7868" s="11">
        <v>16676.330000000002</v>
      </c>
      <c r="AP7868" s="9">
        <v>3.1799310942418595</v>
      </c>
    </row>
    <row r="7869" spans="40:42" x14ac:dyDescent="0.3">
      <c r="AN7869">
        <v>7865</v>
      </c>
      <c r="AO7869" s="11">
        <v>20851.64</v>
      </c>
      <c r="AP7869" s="9">
        <v>3.4967071028334846</v>
      </c>
    </row>
    <row r="7870" spans="40:42" x14ac:dyDescent="0.3">
      <c r="AN7870">
        <v>7866</v>
      </c>
      <c r="AO7870" s="11">
        <v>22504.799999999999</v>
      </c>
      <c r="AP7870" s="9">
        <v>3.3085775357167519</v>
      </c>
    </row>
    <row r="7871" spans="40:42" x14ac:dyDescent="0.3">
      <c r="AN7871">
        <v>7867</v>
      </c>
      <c r="AO7871" s="11">
        <v>45533.68</v>
      </c>
      <c r="AP7871" s="9">
        <v>4.5782679680099578</v>
      </c>
    </row>
    <row r="7872" spans="40:42" x14ac:dyDescent="0.3">
      <c r="AN7872">
        <v>7868</v>
      </c>
      <c r="AO7872" s="11">
        <v>24711.14</v>
      </c>
      <c r="AP7872" s="9">
        <v>3.0339627201705603</v>
      </c>
    </row>
    <row r="7873" spans="40:42" x14ac:dyDescent="0.3">
      <c r="AN7873">
        <v>7869</v>
      </c>
      <c r="AO7873" s="11">
        <v>23611.200000000001</v>
      </c>
      <c r="AP7873" s="9">
        <v>3.4284154109717111</v>
      </c>
    </row>
    <row r="7874" spans="40:42" x14ac:dyDescent="0.3">
      <c r="AN7874">
        <v>7870</v>
      </c>
      <c r="AO7874" s="11">
        <v>32255.75</v>
      </c>
      <c r="AP7874" s="9">
        <v>4.1513336055306391</v>
      </c>
    </row>
    <row r="7875" spans="40:42" x14ac:dyDescent="0.3">
      <c r="AN7875">
        <v>7871</v>
      </c>
      <c r="AO7875" s="11">
        <v>28419.99</v>
      </c>
      <c r="AP7875" s="9">
        <v>3.7802326913509643</v>
      </c>
    </row>
    <row r="7876" spans="40:42" x14ac:dyDescent="0.3">
      <c r="AN7876">
        <v>7872</v>
      </c>
      <c r="AO7876" s="11">
        <v>22034.69</v>
      </c>
      <c r="AP7876" s="9">
        <v>2.9560867475065806</v>
      </c>
    </row>
    <row r="7877" spans="40:42" x14ac:dyDescent="0.3">
      <c r="AN7877">
        <v>7873</v>
      </c>
      <c r="AO7877" s="11">
        <v>26897.02</v>
      </c>
      <c r="AP7877" s="9">
        <v>3.5238597086804568</v>
      </c>
    </row>
    <row r="7878" spans="40:42" x14ac:dyDescent="0.3">
      <c r="AN7878">
        <v>7874</v>
      </c>
      <c r="AO7878" s="11">
        <v>19945</v>
      </c>
      <c r="AP7878" s="9">
        <v>3.0644926237841443</v>
      </c>
    </row>
    <row r="7879" spans="40:42" x14ac:dyDescent="0.3">
      <c r="AN7879">
        <v>7875</v>
      </c>
      <c r="AO7879" s="11">
        <v>27256.66</v>
      </c>
      <c r="AP7879" s="9">
        <v>3.0100796664743794</v>
      </c>
    </row>
    <row r="7880" spans="40:42" x14ac:dyDescent="0.3">
      <c r="AN7880">
        <v>7876</v>
      </c>
      <c r="AO7880" s="11">
        <v>32585.57</v>
      </c>
      <c r="AP7880" s="9">
        <v>3.7155373577838535</v>
      </c>
    </row>
    <row r="7881" spans="40:42" x14ac:dyDescent="0.3">
      <c r="AN7881">
        <v>7877</v>
      </c>
      <c r="AO7881" s="11">
        <v>25132.27</v>
      </c>
      <c r="AP7881" s="9">
        <v>3.5384512410989459</v>
      </c>
    </row>
    <row r="7882" spans="40:42" x14ac:dyDescent="0.3">
      <c r="AN7882">
        <v>7878</v>
      </c>
      <c r="AO7882" s="11">
        <v>19180.400000000001</v>
      </c>
      <c r="AP7882" s="9">
        <v>3.2059804785133768</v>
      </c>
    </row>
    <row r="7883" spans="40:42" x14ac:dyDescent="0.3">
      <c r="AN7883">
        <v>7879</v>
      </c>
      <c r="AO7883" s="11">
        <v>47080.57</v>
      </c>
      <c r="AP7883" s="9">
        <v>4.3186927159940387</v>
      </c>
    </row>
    <row r="7884" spans="40:42" x14ac:dyDescent="0.3">
      <c r="AN7884">
        <v>7880</v>
      </c>
      <c r="AO7884" s="11">
        <v>22174.55</v>
      </c>
      <c r="AP7884" s="9">
        <v>3.1209213565614782</v>
      </c>
    </row>
    <row r="7885" spans="40:42" x14ac:dyDescent="0.3">
      <c r="AN7885">
        <v>7881</v>
      </c>
      <c r="AO7885" s="11">
        <v>20061.88</v>
      </c>
      <c r="AP7885" s="9">
        <v>3.502940566131298</v>
      </c>
    </row>
    <row r="7886" spans="40:42" x14ac:dyDescent="0.3">
      <c r="AN7886">
        <v>7882</v>
      </c>
      <c r="AO7886" s="11">
        <v>35628.089999999997</v>
      </c>
      <c r="AP7886" s="9">
        <v>3.3027525756088343</v>
      </c>
    </row>
    <row r="7887" spans="40:42" x14ac:dyDescent="0.3">
      <c r="AN7887">
        <v>7883</v>
      </c>
      <c r="AO7887" s="11">
        <v>21794.83</v>
      </c>
      <c r="AP7887" s="9">
        <v>3.6504144681999922</v>
      </c>
    </row>
    <row r="7888" spans="40:42" x14ac:dyDescent="0.3">
      <c r="AN7888">
        <v>7884</v>
      </c>
      <c r="AO7888" s="11">
        <v>25584.35</v>
      </c>
      <c r="AP7888" s="9">
        <v>3.2466284671627683</v>
      </c>
    </row>
    <row r="7889" spans="40:42" x14ac:dyDescent="0.3">
      <c r="AN7889">
        <v>7885</v>
      </c>
      <c r="AO7889" s="11">
        <v>24855.96</v>
      </c>
      <c r="AP7889" s="9">
        <v>3.0318531178123678</v>
      </c>
    </row>
    <row r="7890" spans="40:42" x14ac:dyDescent="0.3">
      <c r="AN7890">
        <v>7886</v>
      </c>
      <c r="AO7890" s="11">
        <v>29745.56</v>
      </c>
      <c r="AP7890" s="9">
        <v>4.0861830508065369</v>
      </c>
    </row>
    <row r="7891" spans="40:42" x14ac:dyDescent="0.3">
      <c r="AN7891">
        <v>7887</v>
      </c>
      <c r="AO7891" s="11">
        <v>43315.67</v>
      </c>
      <c r="AP7891" s="9">
        <v>4.0518199664155317</v>
      </c>
    </row>
    <row r="7892" spans="40:42" x14ac:dyDescent="0.3">
      <c r="AN7892">
        <v>7888</v>
      </c>
      <c r="AO7892" s="11">
        <v>22216.84</v>
      </c>
      <c r="AP7892" s="9">
        <v>4.3133283192695329</v>
      </c>
    </row>
    <row r="7893" spans="40:42" x14ac:dyDescent="0.3">
      <c r="AN7893">
        <v>7889</v>
      </c>
      <c r="AO7893" s="11">
        <v>36700.18</v>
      </c>
      <c r="AP7893" s="9">
        <v>3.0536101888050124</v>
      </c>
    </row>
    <row r="7894" spans="40:42" x14ac:dyDescent="0.3">
      <c r="AN7894">
        <v>7890</v>
      </c>
      <c r="AO7894" s="11">
        <v>27608.639999999999</v>
      </c>
      <c r="AP7894" s="9">
        <v>3.2549499065840068</v>
      </c>
    </row>
    <row r="7895" spans="40:42" x14ac:dyDescent="0.3">
      <c r="AN7895">
        <v>7891</v>
      </c>
      <c r="AO7895" s="11">
        <v>26806.17</v>
      </c>
      <c r="AP7895" s="9">
        <v>3.2048759918086165</v>
      </c>
    </row>
    <row r="7896" spans="40:42" x14ac:dyDescent="0.3">
      <c r="AN7896">
        <v>7892</v>
      </c>
      <c r="AO7896" s="11">
        <v>24466.7</v>
      </c>
      <c r="AP7896" s="9">
        <v>3.5831963008606706</v>
      </c>
    </row>
    <row r="7897" spans="40:42" x14ac:dyDescent="0.3">
      <c r="AN7897">
        <v>7893</v>
      </c>
      <c r="AO7897" s="11">
        <v>30881.41</v>
      </c>
      <c r="AP7897" s="9">
        <v>3.7831557052599671</v>
      </c>
    </row>
    <row r="7898" spans="40:42" x14ac:dyDescent="0.3">
      <c r="AN7898">
        <v>7894</v>
      </c>
      <c r="AO7898" s="11">
        <v>39432.1</v>
      </c>
      <c r="AP7898" s="9">
        <v>3.5784065361021904</v>
      </c>
    </row>
    <row r="7899" spans="40:42" x14ac:dyDescent="0.3">
      <c r="AN7899">
        <v>7895</v>
      </c>
      <c r="AO7899" s="11">
        <v>26985.02</v>
      </c>
      <c r="AP7899" s="9">
        <v>3.8868092648544779</v>
      </c>
    </row>
    <row r="7900" spans="40:42" x14ac:dyDescent="0.3">
      <c r="AN7900">
        <v>7896</v>
      </c>
      <c r="AO7900" s="11">
        <v>23094.53</v>
      </c>
      <c r="AP7900" s="9">
        <v>3.128961614845732</v>
      </c>
    </row>
    <row r="7901" spans="40:42" x14ac:dyDescent="0.3">
      <c r="AN7901">
        <v>7897</v>
      </c>
      <c r="AO7901" s="11">
        <v>24652.05</v>
      </c>
      <c r="AP7901" s="9">
        <v>3.4368666910237384</v>
      </c>
    </row>
    <row r="7902" spans="40:42" x14ac:dyDescent="0.3">
      <c r="AN7902">
        <v>7898</v>
      </c>
      <c r="AO7902" s="11">
        <v>26416.18</v>
      </c>
      <c r="AP7902" s="9">
        <v>3.2812767200599855</v>
      </c>
    </row>
    <row r="7903" spans="40:42" x14ac:dyDescent="0.3">
      <c r="AN7903">
        <v>7899</v>
      </c>
      <c r="AO7903" s="11">
        <v>36177.85</v>
      </c>
      <c r="AP7903" s="9">
        <v>3.501672794882781</v>
      </c>
    </row>
    <row r="7904" spans="40:42" x14ac:dyDescent="0.3">
      <c r="AN7904">
        <v>7900</v>
      </c>
      <c r="AO7904" s="11">
        <v>36016.519999999997</v>
      </c>
      <c r="AP7904" s="9">
        <v>3.93774176173177</v>
      </c>
    </row>
    <row r="7905" spans="40:42" x14ac:dyDescent="0.3">
      <c r="AN7905">
        <v>7901</v>
      </c>
      <c r="AO7905" s="11">
        <v>39031.629999999997</v>
      </c>
      <c r="AP7905" s="9">
        <v>3.8048658492674283</v>
      </c>
    </row>
    <row r="7906" spans="40:42" x14ac:dyDescent="0.3">
      <c r="AN7906">
        <v>7902</v>
      </c>
      <c r="AO7906" s="11">
        <v>28701.33</v>
      </c>
      <c r="AP7906" s="9">
        <v>3.4757184015761355</v>
      </c>
    </row>
    <row r="7907" spans="40:42" x14ac:dyDescent="0.3">
      <c r="AN7907">
        <v>7903</v>
      </c>
      <c r="AO7907" s="11">
        <v>34652.22</v>
      </c>
      <c r="AP7907" s="9">
        <v>4.1391988546321983</v>
      </c>
    </row>
    <row r="7908" spans="40:42" x14ac:dyDescent="0.3">
      <c r="AN7908">
        <v>7904</v>
      </c>
      <c r="AO7908" s="11">
        <v>17444.310000000001</v>
      </c>
      <c r="AP7908" s="9">
        <v>3.0169057294277368</v>
      </c>
    </row>
    <row r="7909" spans="40:42" x14ac:dyDescent="0.3">
      <c r="AN7909">
        <v>7905</v>
      </c>
      <c r="AO7909" s="11">
        <v>19301.41</v>
      </c>
      <c r="AP7909" s="9">
        <v>3.0956829672812516</v>
      </c>
    </row>
    <row r="7910" spans="40:42" x14ac:dyDescent="0.3">
      <c r="AN7910">
        <v>7906</v>
      </c>
      <c r="AO7910" s="11">
        <v>30229.94</v>
      </c>
      <c r="AP7910" s="9">
        <v>3.6905013187266023</v>
      </c>
    </row>
    <row r="7911" spans="40:42" x14ac:dyDescent="0.3">
      <c r="AN7911">
        <v>7907</v>
      </c>
      <c r="AO7911" s="11">
        <v>30256.75</v>
      </c>
      <c r="AP7911" s="9">
        <v>3.2811172533086408</v>
      </c>
    </row>
    <row r="7912" spans="40:42" x14ac:dyDescent="0.3">
      <c r="AN7912">
        <v>7908</v>
      </c>
      <c r="AO7912" s="11">
        <v>27651.56</v>
      </c>
      <c r="AP7912" s="9">
        <v>3.9116861781264722</v>
      </c>
    </row>
    <row r="7913" spans="40:42" x14ac:dyDescent="0.3">
      <c r="AN7913">
        <v>7909</v>
      </c>
      <c r="AO7913" s="11">
        <v>30014.26</v>
      </c>
      <c r="AP7913" s="9">
        <v>3.1224267546573357</v>
      </c>
    </row>
    <row r="7914" spans="40:42" x14ac:dyDescent="0.3">
      <c r="AN7914">
        <v>7910</v>
      </c>
      <c r="AO7914" s="11">
        <v>36431.31</v>
      </c>
      <c r="AP7914" s="9">
        <v>3.7181256724374525</v>
      </c>
    </row>
    <row r="7915" spans="40:42" x14ac:dyDescent="0.3">
      <c r="AN7915">
        <v>7911</v>
      </c>
      <c r="AO7915" s="11">
        <v>39314.49</v>
      </c>
      <c r="AP7915" s="9">
        <v>4.0007039308837298</v>
      </c>
    </row>
    <row r="7916" spans="40:42" x14ac:dyDescent="0.3">
      <c r="AN7916">
        <v>7912</v>
      </c>
      <c r="AO7916" s="11">
        <v>24697.87</v>
      </c>
      <c r="AP7916" s="9">
        <v>3.1671913424457472</v>
      </c>
    </row>
    <row r="7917" spans="40:42" x14ac:dyDescent="0.3">
      <c r="AN7917">
        <v>7913</v>
      </c>
      <c r="AO7917" s="11">
        <v>16645.13</v>
      </c>
      <c r="AP7917" s="9">
        <v>3.3606735687454017</v>
      </c>
    </row>
    <row r="7918" spans="40:42" x14ac:dyDescent="0.3">
      <c r="AN7918">
        <v>7914</v>
      </c>
      <c r="AO7918" s="11">
        <v>25640.43</v>
      </c>
      <c r="AP7918" s="9">
        <v>3.0960387040162818</v>
      </c>
    </row>
    <row r="7919" spans="40:42" x14ac:dyDescent="0.3">
      <c r="AN7919">
        <v>7915</v>
      </c>
      <c r="AO7919" s="11">
        <v>29204.26</v>
      </c>
      <c r="AP7919" s="9">
        <v>3.4793167202000705</v>
      </c>
    </row>
    <row r="7920" spans="40:42" x14ac:dyDescent="0.3">
      <c r="AN7920">
        <v>7916</v>
      </c>
      <c r="AO7920" s="11">
        <v>23494.639999999999</v>
      </c>
      <c r="AP7920" s="9">
        <v>3.6333152982981312</v>
      </c>
    </row>
    <row r="7921" spans="40:42" x14ac:dyDescent="0.3">
      <c r="AN7921">
        <v>7917</v>
      </c>
      <c r="AO7921" s="11">
        <v>27078.74</v>
      </c>
      <c r="AP7921" s="9">
        <v>3.1413591642678598</v>
      </c>
    </row>
    <row r="7922" spans="40:42" x14ac:dyDescent="0.3">
      <c r="AN7922">
        <v>7918</v>
      </c>
      <c r="AO7922" s="11">
        <v>27470.19</v>
      </c>
      <c r="AP7922" s="9">
        <v>3.5062902634002353</v>
      </c>
    </row>
    <row r="7923" spans="40:42" x14ac:dyDescent="0.3">
      <c r="AN7923">
        <v>7919</v>
      </c>
      <c r="AO7923" s="11">
        <v>24021.71</v>
      </c>
      <c r="AP7923" s="9">
        <v>3.4819652218827919</v>
      </c>
    </row>
    <row r="7924" spans="40:42" x14ac:dyDescent="0.3">
      <c r="AN7924">
        <v>7920</v>
      </c>
      <c r="AO7924" s="11">
        <v>23110.51</v>
      </c>
      <c r="AP7924" s="9">
        <v>3.124048936387954</v>
      </c>
    </row>
    <row r="7925" spans="40:42" x14ac:dyDescent="0.3">
      <c r="AN7925">
        <v>7921</v>
      </c>
      <c r="AO7925" s="11">
        <v>25180.400000000001</v>
      </c>
      <c r="AP7925" s="9">
        <v>2.9999583144872095</v>
      </c>
    </row>
    <row r="7926" spans="40:42" x14ac:dyDescent="0.3">
      <c r="AN7926">
        <v>7922</v>
      </c>
      <c r="AO7926" s="11">
        <v>20117.48</v>
      </c>
      <c r="AP7926" s="9">
        <v>3.4302620643606079</v>
      </c>
    </row>
    <row r="7927" spans="40:42" x14ac:dyDescent="0.3">
      <c r="AN7927">
        <v>7923</v>
      </c>
      <c r="AO7927" s="11">
        <v>20844.330000000002</v>
      </c>
      <c r="AP7927" s="9">
        <v>2.8699393765464856</v>
      </c>
    </row>
    <row r="7928" spans="40:42" x14ac:dyDescent="0.3">
      <c r="AN7928">
        <v>7924</v>
      </c>
      <c r="AO7928" s="11">
        <v>35709.43</v>
      </c>
      <c r="AP7928" s="9">
        <v>3.8534628968518043</v>
      </c>
    </row>
    <row r="7929" spans="40:42" x14ac:dyDescent="0.3">
      <c r="AN7929">
        <v>7925</v>
      </c>
      <c r="AO7929" s="11">
        <v>45160.31</v>
      </c>
      <c r="AP7929" s="9">
        <v>3.8851430167511292</v>
      </c>
    </row>
    <row r="7930" spans="40:42" x14ac:dyDescent="0.3">
      <c r="AN7930">
        <v>7926</v>
      </c>
      <c r="AO7930" s="11">
        <v>30214.67</v>
      </c>
      <c r="AP7930" s="9">
        <v>2.8414307907827139</v>
      </c>
    </row>
    <row r="7931" spans="40:42" x14ac:dyDescent="0.3">
      <c r="AN7931">
        <v>7927</v>
      </c>
      <c r="AO7931" s="11">
        <v>36601.21</v>
      </c>
      <c r="AP7931" s="9">
        <v>3.1491402395646761</v>
      </c>
    </row>
    <row r="7932" spans="40:42" x14ac:dyDescent="0.3">
      <c r="AN7932">
        <v>7928</v>
      </c>
      <c r="AO7932" s="11">
        <v>23915.71</v>
      </c>
      <c r="AP7932" s="9">
        <v>2.9684535083230954</v>
      </c>
    </row>
    <row r="7933" spans="40:42" x14ac:dyDescent="0.3">
      <c r="AN7933">
        <v>7929</v>
      </c>
      <c r="AO7933" s="11">
        <v>24637.88</v>
      </c>
      <c r="AP7933" s="9">
        <v>3.2081056852153966</v>
      </c>
    </row>
    <row r="7934" spans="40:42" x14ac:dyDescent="0.3">
      <c r="AN7934">
        <v>7930</v>
      </c>
      <c r="AO7934" s="11">
        <v>35907.620000000003</v>
      </c>
      <c r="AP7934" s="9">
        <v>3.5576382871896577</v>
      </c>
    </row>
    <row r="7935" spans="40:42" x14ac:dyDescent="0.3">
      <c r="AN7935">
        <v>7931</v>
      </c>
      <c r="AO7935" s="11">
        <v>22484.54</v>
      </c>
      <c r="AP7935" s="9">
        <v>3.0520489729069826</v>
      </c>
    </row>
    <row r="7936" spans="40:42" x14ac:dyDescent="0.3">
      <c r="AN7936">
        <v>7932</v>
      </c>
      <c r="AO7936" s="11">
        <v>31587.41</v>
      </c>
      <c r="AP7936" s="9">
        <v>3.3168617746315494</v>
      </c>
    </row>
    <row r="7937" spans="40:42" x14ac:dyDescent="0.3">
      <c r="AN7937">
        <v>7933</v>
      </c>
      <c r="AO7937" s="11">
        <v>30973.69</v>
      </c>
      <c r="AP7937" s="9">
        <v>3.5629173440941577</v>
      </c>
    </row>
    <row r="7938" spans="40:42" x14ac:dyDescent="0.3">
      <c r="AN7938">
        <v>7934</v>
      </c>
      <c r="AO7938" s="11">
        <v>35997.870000000003</v>
      </c>
      <c r="AP7938" s="9">
        <v>3.6030233339895097</v>
      </c>
    </row>
    <row r="7939" spans="40:42" x14ac:dyDescent="0.3">
      <c r="AN7939">
        <v>7935</v>
      </c>
      <c r="AO7939" s="11">
        <v>23054.38</v>
      </c>
      <c r="AP7939" s="9">
        <v>3.7594666461823802</v>
      </c>
    </row>
    <row r="7940" spans="40:42" x14ac:dyDescent="0.3">
      <c r="AN7940">
        <v>7936</v>
      </c>
      <c r="AO7940" s="11">
        <v>30455</v>
      </c>
      <c r="AP7940" s="9">
        <v>3.3208118311147876</v>
      </c>
    </row>
    <row r="7941" spans="40:42" x14ac:dyDescent="0.3">
      <c r="AN7941">
        <v>7937</v>
      </c>
      <c r="AO7941" s="11">
        <v>29419.59</v>
      </c>
      <c r="AP7941" s="9">
        <v>3.2669655408541809</v>
      </c>
    </row>
    <row r="7942" spans="40:42" x14ac:dyDescent="0.3">
      <c r="AN7942">
        <v>7938</v>
      </c>
      <c r="AO7942" s="11">
        <v>39687.54</v>
      </c>
      <c r="AP7942" s="9">
        <v>3.8601796761399485</v>
      </c>
    </row>
    <row r="7943" spans="40:42" x14ac:dyDescent="0.3">
      <c r="AN7943">
        <v>7939</v>
      </c>
      <c r="AO7943" s="11">
        <v>23348.9</v>
      </c>
      <c r="AP7943" s="9">
        <v>4.0179497744285539</v>
      </c>
    </row>
    <row r="7944" spans="40:42" x14ac:dyDescent="0.3">
      <c r="AN7944">
        <v>7940</v>
      </c>
      <c r="AO7944" s="11">
        <v>47376.06</v>
      </c>
      <c r="AP7944" s="9">
        <v>3.2402103661036255</v>
      </c>
    </row>
    <row r="7945" spans="40:42" x14ac:dyDescent="0.3">
      <c r="AN7945">
        <v>7941</v>
      </c>
      <c r="AO7945" s="11">
        <v>37438.370000000003</v>
      </c>
      <c r="AP7945" s="9">
        <v>3.6257652158145794</v>
      </c>
    </row>
    <row r="7946" spans="40:42" x14ac:dyDescent="0.3">
      <c r="AN7946">
        <v>7942</v>
      </c>
      <c r="AO7946" s="11">
        <v>20606.830000000002</v>
      </c>
      <c r="AP7946" s="9">
        <v>4.1974348371924668</v>
      </c>
    </row>
    <row r="7947" spans="40:42" x14ac:dyDescent="0.3">
      <c r="AN7947">
        <v>7943</v>
      </c>
      <c r="AO7947" s="11">
        <v>40974.07</v>
      </c>
      <c r="AP7947" s="9">
        <v>3.6496782973601105</v>
      </c>
    </row>
    <row r="7948" spans="40:42" x14ac:dyDescent="0.3">
      <c r="AN7948">
        <v>7944</v>
      </c>
      <c r="AO7948" s="11">
        <v>21005.51</v>
      </c>
      <c r="AP7948" s="9">
        <v>2.6744171325261514</v>
      </c>
    </row>
    <row r="7949" spans="40:42" x14ac:dyDescent="0.3">
      <c r="AN7949">
        <v>7945</v>
      </c>
      <c r="AO7949" s="11">
        <v>16543.900000000001</v>
      </c>
      <c r="AP7949" s="9">
        <v>3.2397489589129003</v>
      </c>
    </row>
    <row r="7950" spans="40:42" x14ac:dyDescent="0.3">
      <c r="AN7950">
        <v>7946</v>
      </c>
      <c r="AO7950" s="11">
        <v>37005.269999999997</v>
      </c>
      <c r="AP7950" s="9">
        <v>3.1984111868744418</v>
      </c>
    </row>
    <row r="7951" spans="40:42" x14ac:dyDescent="0.3">
      <c r="AN7951">
        <v>7947</v>
      </c>
      <c r="AO7951" s="11">
        <v>21355.93</v>
      </c>
      <c r="AP7951" s="9">
        <v>3.1023536541115249</v>
      </c>
    </row>
    <row r="7952" spans="40:42" x14ac:dyDescent="0.3">
      <c r="AN7952">
        <v>7948</v>
      </c>
      <c r="AO7952" s="11">
        <v>33420.17</v>
      </c>
      <c r="AP7952" s="9">
        <v>3.3155941924968646</v>
      </c>
    </row>
    <row r="7953" spans="40:42" x14ac:dyDescent="0.3">
      <c r="AN7953">
        <v>7949</v>
      </c>
      <c r="AO7953" s="11">
        <v>12309.07</v>
      </c>
      <c r="AP7953" s="9">
        <v>3.3344586016946303</v>
      </c>
    </row>
    <row r="7954" spans="40:42" x14ac:dyDescent="0.3">
      <c r="AN7954">
        <v>7950</v>
      </c>
      <c r="AO7954" s="11">
        <v>24214.26</v>
      </c>
      <c r="AP7954" s="9">
        <v>2.9299352873258604</v>
      </c>
    </row>
    <row r="7955" spans="40:42" x14ac:dyDescent="0.3">
      <c r="AN7955">
        <v>7951</v>
      </c>
      <c r="AO7955" s="11">
        <v>17185.29</v>
      </c>
      <c r="AP7955" s="9">
        <v>3.2030663508165351</v>
      </c>
    </row>
    <row r="7956" spans="40:42" x14ac:dyDescent="0.3">
      <c r="AN7956">
        <v>7952</v>
      </c>
      <c r="AO7956" s="11">
        <v>24203.88</v>
      </c>
      <c r="AP7956" s="9">
        <v>3.4505040462681964</v>
      </c>
    </row>
    <row r="7957" spans="40:42" x14ac:dyDescent="0.3">
      <c r="AN7957">
        <v>7953</v>
      </c>
      <c r="AO7957" s="11">
        <v>21589.32</v>
      </c>
      <c r="AP7957" s="9">
        <v>3.4714233434301538</v>
      </c>
    </row>
    <row r="7958" spans="40:42" x14ac:dyDescent="0.3">
      <c r="AN7958">
        <v>7954</v>
      </c>
      <c r="AO7958" s="11">
        <v>19059.84</v>
      </c>
      <c r="AP7958" s="9">
        <v>3.1279907868712504</v>
      </c>
    </row>
    <row r="7959" spans="40:42" x14ac:dyDescent="0.3">
      <c r="AN7959">
        <v>7955</v>
      </c>
      <c r="AO7959" s="11">
        <v>30478.74</v>
      </c>
      <c r="AP7959" s="9">
        <v>3.4693367735868041</v>
      </c>
    </row>
    <row r="7960" spans="40:42" x14ac:dyDescent="0.3">
      <c r="AN7960">
        <v>7956</v>
      </c>
      <c r="AO7960" s="11">
        <v>22804.21</v>
      </c>
      <c r="AP7960" s="9">
        <v>3.3744325716255794</v>
      </c>
    </row>
    <row r="7961" spans="40:42" x14ac:dyDescent="0.3">
      <c r="AN7961">
        <v>7957</v>
      </c>
      <c r="AO7961" s="11">
        <v>25841.46</v>
      </c>
      <c r="AP7961" s="9">
        <v>3.368407911082294</v>
      </c>
    </row>
    <row r="7962" spans="40:42" x14ac:dyDescent="0.3">
      <c r="AN7962">
        <v>7958</v>
      </c>
      <c r="AO7962" s="11">
        <v>18849.73</v>
      </c>
      <c r="AP7962" s="9">
        <v>2.7621605632173871</v>
      </c>
    </row>
    <row r="7963" spans="40:42" x14ac:dyDescent="0.3">
      <c r="AN7963">
        <v>7959</v>
      </c>
      <c r="AO7963" s="11">
        <v>27920.07</v>
      </c>
      <c r="AP7963" s="9">
        <v>3.9144411365772336</v>
      </c>
    </row>
    <row r="7964" spans="40:42" x14ac:dyDescent="0.3">
      <c r="AN7964">
        <v>7960</v>
      </c>
      <c r="AO7964" s="11">
        <v>32509.96</v>
      </c>
      <c r="AP7964" s="9">
        <v>3.6038326471083941</v>
      </c>
    </row>
    <row r="7965" spans="40:42" x14ac:dyDescent="0.3">
      <c r="AN7965">
        <v>7961</v>
      </c>
      <c r="AO7965" s="11">
        <v>31059.16</v>
      </c>
      <c r="AP7965" s="9">
        <v>3.5874345463373047</v>
      </c>
    </row>
    <row r="7966" spans="40:42" x14ac:dyDescent="0.3">
      <c r="AN7966">
        <v>7962</v>
      </c>
      <c r="AO7966" s="11">
        <v>31759.75</v>
      </c>
      <c r="AP7966" s="9">
        <v>3.5957743020259101</v>
      </c>
    </row>
    <row r="7967" spans="40:42" x14ac:dyDescent="0.3">
      <c r="AN7967">
        <v>7963</v>
      </c>
      <c r="AO7967" s="11">
        <v>20670.39</v>
      </c>
      <c r="AP7967" s="9">
        <v>3.7597201699492571</v>
      </c>
    </row>
    <row r="7968" spans="40:42" x14ac:dyDescent="0.3">
      <c r="AN7968">
        <v>7964</v>
      </c>
      <c r="AO7968" s="11">
        <v>26685.81</v>
      </c>
      <c r="AP7968" s="9">
        <v>3.0862559322443932</v>
      </c>
    </row>
    <row r="7969" spans="40:42" x14ac:dyDescent="0.3">
      <c r="AN7969">
        <v>7965</v>
      </c>
      <c r="AO7969" s="11">
        <v>31266.36</v>
      </c>
      <c r="AP7969" s="9">
        <v>3.3966959669878336</v>
      </c>
    </row>
    <row r="7970" spans="40:42" x14ac:dyDescent="0.3">
      <c r="AN7970">
        <v>7966</v>
      </c>
      <c r="AO7970" s="11">
        <v>33487.94</v>
      </c>
      <c r="AP7970" s="9">
        <v>3.3661982057006434</v>
      </c>
    </row>
    <row r="7971" spans="40:42" x14ac:dyDescent="0.3">
      <c r="AN7971">
        <v>7967</v>
      </c>
      <c r="AO7971" s="11">
        <v>29167.47</v>
      </c>
      <c r="AP7971" s="9">
        <v>3.5759572995833007</v>
      </c>
    </row>
    <row r="7972" spans="40:42" x14ac:dyDescent="0.3">
      <c r="AN7972">
        <v>7968</v>
      </c>
      <c r="AO7972" s="11">
        <v>30723.360000000001</v>
      </c>
      <c r="AP7972" s="9">
        <v>3.5349912295251196</v>
      </c>
    </row>
    <row r="7973" spans="40:42" x14ac:dyDescent="0.3">
      <c r="AN7973">
        <v>7969</v>
      </c>
      <c r="AO7973" s="11">
        <v>21563.21</v>
      </c>
      <c r="AP7973" s="9">
        <v>3.1444351981740861</v>
      </c>
    </row>
    <row r="7974" spans="40:42" x14ac:dyDescent="0.3">
      <c r="AN7974">
        <v>7970</v>
      </c>
      <c r="AO7974" s="11">
        <v>28008.19</v>
      </c>
      <c r="AP7974" s="9">
        <v>2.8371239566647306</v>
      </c>
    </row>
    <row r="7975" spans="40:42" x14ac:dyDescent="0.3">
      <c r="AN7975">
        <v>7971</v>
      </c>
      <c r="AO7975" s="11">
        <v>19268.59</v>
      </c>
      <c r="AP7975" s="9">
        <v>2.8007833985475652</v>
      </c>
    </row>
    <row r="7976" spans="40:42" x14ac:dyDescent="0.3">
      <c r="AN7976">
        <v>7972</v>
      </c>
      <c r="AO7976" s="11">
        <v>27436.57</v>
      </c>
      <c r="AP7976" s="9">
        <v>3.4896304522432442</v>
      </c>
    </row>
    <row r="7977" spans="40:42" x14ac:dyDescent="0.3">
      <c r="AN7977">
        <v>7973</v>
      </c>
      <c r="AO7977" s="11">
        <v>21497.09</v>
      </c>
      <c r="AP7977" s="9">
        <v>3.6762483226616216</v>
      </c>
    </row>
    <row r="7978" spans="40:42" x14ac:dyDescent="0.3">
      <c r="AN7978">
        <v>7974</v>
      </c>
      <c r="AO7978" s="11">
        <v>25480.47</v>
      </c>
      <c r="AP7978" s="9">
        <v>3.5544556978835797</v>
      </c>
    </row>
    <row r="7979" spans="40:42" x14ac:dyDescent="0.3">
      <c r="AN7979">
        <v>7975</v>
      </c>
      <c r="AO7979" s="11">
        <v>35562.239999999998</v>
      </c>
      <c r="AP7979" s="9">
        <v>3.4436932916510306</v>
      </c>
    </row>
    <row r="7980" spans="40:42" x14ac:dyDescent="0.3">
      <c r="AN7980">
        <v>7976</v>
      </c>
      <c r="AO7980" s="11">
        <v>47316.07</v>
      </c>
      <c r="AP7980" s="9">
        <v>4.3534234007980874</v>
      </c>
    </row>
    <row r="7981" spans="40:42" x14ac:dyDescent="0.3">
      <c r="AN7981">
        <v>7977</v>
      </c>
      <c r="AO7981" s="11">
        <v>14943.46</v>
      </c>
      <c r="AP7981" s="9">
        <v>2.9096174386965719</v>
      </c>
    </row>
    <row r="7982" spans="40:42" x14ac:dyDescent="0.3">
      <c r="AN7982">
        <v>7978</v>
      </c>
      <c r="AO7982" s="11">
        <v>19695.14</v>
      </c>
      <c r="AP7982" s="9">
        <v>3.4172892897257126</v>
      </c>
    </row>
    <row r="7983" spans="40:42" x14ac:dyDescent="0.3">
      <c r="AN7983">
        <v>7979</v>
      </c>
      <c r="AO7983" s="11">
        <v>20754.96</v>
      </c>
      <c r="AP7983" s="9">
        <v>3.8877944257393207</v>
      </c>
    </row>
    <row r="7984" spans="40:42" x14ac:dyDescent="0.3">
      <c r="AN7984">
        <v>7980</v>
      </c>
      <c r="AO7984" s="11">
        <v>21792.23</v>
      </c>
      <c r="AP7984" s="9">
        <v>2.7087112011004284</v>
      </c>
    </row>
    <row r="7985" spans="40:42" x14ac:dyDescent="0.3">
      <c r="AN7985">
        <v>7981</v>
      </c>
      <c r="AO7985" s="11">
        <v>19029.87</v>
      </c>
      <c r="AP7985" s="9">
        <v>3.1580656683805071</v>
      </c>
    </row>
    <row r="7986" spans="40:42" x14ac:dyDescent="0.3">
      <c r="AN7986">
        <v>7982</v>
      </c>
      <c r="AO7986" s="11">
        <v>31396.29</v>
      </c>
      <c r="AP7986" s="9">
        <v>3.9642707887493973</v>
      </c>
    </row>
    <row r="7987" spans="40:42" x14ac:dyDescent="0.3">
      <c r="AN7987">
        <v>7983</v>
      </c>
      <c r="AO7987" s="11">
        <v>35500.75</v>
      </c>
      <c r="AP7987" s="9">
        <v>4.1273148716663384</v>
      </c>
    </row>
    <row r="7988" spans="40:42" x14ac:dyDescent="0.3">
      <c r="AN7988">
        <v>7984</v>
      </c>
      <c r="AO7988" s="11">
        <v>22335.62</v>
      </c>
      <c r="AP7988" s="9">
        <v>3.272841883785111</v>
      </c>
    </row>
    <row r="7989" spans="40:42" x14ac:dyDescent="0.3">
      <c r="AN7989">
        <v>7985</v>
      </c>
      <c r="AO7989" s="11">
        <v>33707.550000000003</v>
      </c>
      <c r="AP7989" s="9">
        <v>3.8278230715133441</v>
      </c>
    </row>
    <row r="7990" spans="40:42" x14ac:dyDescent="0.3">
      <c r="AN7990">
        <v>7986</v>
      </c>
      <c r="AO7990" s="11">
        <v>23517.72</v>
      </c>
      <c r="AP7990" s="9">
        <v>3.5833668295881842</v>
      </c>
    </row>
    <row r="7991" spans="40:42" x14ac:dyDescent="0.3">
      <c r="AN7991">
        <v>7987</v>
      </c>
      <c r="AO7991" s="11">
        <v>17374.2</v>
      </c>
      <c r="AP7991" s="9">
        <v>3.7547239779972066</v>
      </c>
    </row>
    <row r="7992" spans="40:42" x14ac:dyDescent="0.3">
      <c r="AN7992">
        <v>7988</v>
      </c>
      <c r="AO7992" s="11">
        <v>29427.16</v>
      </c>
      <c r="AP7992" s="9">
        <v>3.3711861439369439</v>
      </c>
    </row>
    <row r="7993" spans="40:42" x14ac:dyDescent="0.3">
      <c r="AN7993">
        <v>7989</v>
      </c>
      <c r="AO7993" s="11">
        <v>20266.37</v>
      </c>
      <c r="AP7993" s="9">
        <v>2.9692484710220715</v>
      </c>
    </row>
    <row r="7994" spans="40:42" x14ac:dyDescent="0.3">
      <c r="AN7994">
        <v>7990</v>
      </c>
      <c r="AO7994" s="11">
        <v>23246.27</v>
      </c>
      <c r="AP7994" s="9">
        <v>3.1698743444400561</v>
      </c>
    </row>
    <row r="7995" spans="40:42" x14ac:dyDescent="0.3">
      <c r="AN7995">
        <v>7991</v>
      </c>
      <c r="AO7995" s="11">
        <v>19640.66</v>
      </c>
      <c r="AP7995" s="9">
        <v>2.8520738648257864</v>
      </c>
    </row>
    <row r="7996" spans="40:42" x14ac:dyDescent="0.3">
      <c r="AN7996">
        <v>7992</v>
      </c>
      <c r="AO7996" s="11">
        <v>34180.620000000003</v>
      </c>
      <c r="AP7996" s="9">
        <v>4.1007165403203603</v>
      </c>
    </row>
    <row r="7997" spans="40:42" x14ac:dyDescent="0.3">
      <c r="AN7997">
        <v>7993</v>
      </c>
      <c r="AO7997" s="11">
        <v>23153.919999999998</v>
      </c>
      <c r="AP7997" s="9">
        <v>3.6857971944604038</v>
      </c>
    </row>
    <row r="7998" spans="40:42" x14ac:dyDescent="0.3">
      <c r="AN7998">
        <v>7994</v>
      </c>
      <c r="AO7998" s="11">
        <v>25981.48</v>
      </c>
      <c r="AP7998" s="9">
        <v>3.783725935144417</v>
      </c>
    </row>
    <row r="7999" spans="40:42" x14ac:dyDescent="0.3">
      <c r="AN7999">
        <v>7995</v>
      </c>
      <c r="AO7999" s="11">
        <v>14737.21</v>
      </c>
      <c r="AP7999" s="9">
        <v>2.9980792453788951</v>
      </c>
    </row>
    <row r="8000" spans="40:42" x14ac:dyDescent="0.3">
      <c r="AN8000">
        <v>7996</v>
      </c>
      <c r="AO8000" s="11">
        <v>17601.29</v>
      </c>
      <c r="AP8000" s="9">
        <v>3.3994100041992157</v>
      </c>
    </row>
    <row r="8001" spans="40:42" x14ac:dyDescent="0.3">
      <c r="AN8001">
        <v>7997</v>
      </c>
      <c r="AO8001" s="11">
        <v>15384.63</v>
      </c>
      <c r="AP8001" s="9">
        <v>2.6470675326616822</v>
      </c>
    </row>
    <row r="8002" spans="40:42" x14ac:dyDescent="0.3">
      <c r="AN8002">
        <v>7998</v>
      </c>
      <c r="AO8002" s="11">
        <v>36286.07</v>
      </c>
      <c r="AP8002" s="9">
        <v>3.5493136619756531</v>
      </c>
    </row>
    <row r="8003" spans="40:42" x14ac:dyDescent="0.3">
      <c r="AN8003">
        <v>7999</v>
      </c>
      <c r="AO8003" s="11">
        <v>26750.27</v>
      </c>
      <c r="AP8003" s="9">
        <v>2.5113818955937202</v>
      </c>
    </row>
    <row r="8004" spans="40:42" x14ac:dyDescent="0.3">
      <c r="AN8004">
        <v>8000</v>
      </c>
      <c r="AO8004" s="11">
        <v>27665.02</v>
      </c>
      <c r="AP8004" s="9">
        <v>3.6024537770659224</v>
      </c>
    </row>
    <row r="8005" spans="40:42" x14ac:dyDescent="0.3">
      <c r="AN8005">
        <v>8001</v>
      </c>
      <c r="AO8005" s="11">
        <v>19823.82</v>
      </c>
      <c r="AP8005" s="9">
        <v>3.4066052807109228</v>
      </c>
    </row>
    <row r="8006" spans="40:42" x14ac:dyDescent="0.3">
      <c r="AN8006">
        <v>8002</v>
      </c>
      <c r="AO8006" s="11">
        <v>21739.16</v>
      </c>
      <c r="AP8006" s="9">
        <v>3.1896398709900637</v>
      </c>
    </row>
    <row r="8007" spans="40:42" x14ac:dyDescent="0.3">
      <c r="AN8007">
        <v>8003</v>
      </c>
      <c r="AO8007" s="11">
        <v>19162.04</v>
      </c>
      <c r="AP8007" s="9">
        <v>3.4462109710791102</v>
      </c>
    </row>
    <row r="8008" spans="40:42" x14ac:dyDescent="0.3">
      <c r="AN8008">
        <v>8004</v>
      </c>
      <c r="AO8008" s="11">
        <v>21674.99</v>
      </c>
      <c r="AP8008" s="9">
        <v>3.0862809219371616</v>
      </c>
    </row>
    <row r="8009" spans="40:42" x14ac:dyDescent="0.3">
      <c r="AN8009">
        <v>8005</v>
      </c>
      <c r="AO8009" s="11">
        <v>21975.74</v>
      </c>
      <c r="AP8009" s="9">
        <v>3.3344932358168449</v>
      </c>
    </row>
    <row r="8010" spans="40:42" x14ac:dyDescent="0.3">
      <c r="AN8010">
        <v>8006</v>
      </c>
      <c r="AO8010" s="11">
        <v>26245.8</v>
      </c>
      <c r="AP8010" s="9">
        <v>2.9244537855552681</v>
      </c>
    </row>
    <row r="8011" spans="40:42" x14ac:dyDescent="0.3">
      <c r="AN8011">
        <v>8007</v>
      </c>
      <c r="AO8011" s="11">
        <v>24144.65</v>
      </c>
      <c r="AP8011" s="9">
        <v>3.337227008719041</v>
      </c>
    </row>
    <row r="8012" spans="40:42" x14ac:dyDescent="0.3">
      <c r="AN8012">
        <v>8008</v>
      </c>
      <c r="AO8012" s="11">
        <v>27163.35</v>
      </c>
      <c r="AP8012" s="9">
        <v>2.8314921502260839</v>
      </c>
    </row>
    <row r="8013" spans="40:42" x14ac:dyDescent="0.3">
      <c r="AN8013">
        <v>8009</v>
      </c>
      <c r="AO8013" s="11">
        <v>26133.69</v>
      </c>
      <c r="AP8013" s="9">
        <v>2.9956572082338804</v>
      </c>
    </row>
    <row r="8014" spans="40:42" x14ac:dyDescent="0.3">
      <c r="AN8014">
        <v>8010</v>
      </c>
      <c r="AO8014" s="11">
        <v>24693.46</v>
      </c>
      <c r="AP8014" s="9">
        <v>3.7669720800998778</v>
      </c>
    </row>
    <row r="8015" spans="40:42" x14ac:dyDescent="0.3">
      <c r="AN8015">
        <v>8011</v>
      </c>
      <c r="AO8015" s="11">
        <v>23029.040000000001</v>
      </c>
      <c r="AP8015" s="9">
        <v>3.3036150306135106</v>
      </c>
    </row>
    <row r="8016" spans="40:42" x14ac:dyDescent="0.3">
      <c r="AN8016">
        <v>8012</v>
      </c>
      <c r="AO8016" s="11">
        <v>24407.42</v>
      </c>
      <c r="AP8016" s="9">
        <v>3.4739199815877106</v>
      </c>
    </row>
    <row r="8017" spans="40:42" x14ac:dyDescent="0.3">
      <c r="AN8017">
        <v>8013</v>
      </c>
      <c r="AO8017" s="11">
        <v>30124.35</v>
      </c>
      <c r="AP8017" s="9">
        <v>3.8862332702300231</v>
      </c>
    </row>
    <row r="8018" spans="40:42" x14ac:dyDescent="0.3">
      <c r="AN8018">
        <v>8014</v>
      </c>
      <c r="AO8018" s="11">
        <v>21666.29</v>
      </c>
      <c r="AP8018" s="9">
        <v>3.1176210957517907</v>
      </c>
    </row>
    <row r="8019" spans="40:42" x14ac:dyDescent="0.3">
      <c r="AN8019">
        <v>8015</v>
      </c>
      <c r="AO8019" s="11">
        <v>37418.550000000003</v>
      </c>
      <c r="AP8019" s="9">
        <v>3.1419538471960866</v>
      </c>
    </row>
    <row r="8020" spans="40:42" x14ac:dyDescent="0.3">
      <c r="AN8020">
        <v>8016</v>
      </c>
      <c r="AO8020" s="11">
        <v>31470.49</v>
      </c>
      <c r="AP8020" s="9">
        <v>3.4066897469003821</v>
      </c>
    </row>
    <row r="8021" spans="40:42" x14ac:dyDescent="0.3">
      <c r="AN8021">
        <v>8017</v>
      </c>
      <c r="AO8021" s="11">
        <v>22930.6</v>
      </c>
      <c r="AP8021" s="9">
        <v>3.1547354910296321</v>
      </c>
    </row>
    <row r="8022" spans="40:42" x14ac:dyDescent="0.3">
      <c r="AN8022">
        <v>8018</v>
      </c>
      <c r="AO8022" s="11">
        <v>19635.7</v>
      </c>
      <c r="AP8022" s="9">
        <v>3.4992288671828575</v>
      </c>
    </row>
    <row r="8023" spans="40:42" x14ac:dyDescent="0.3">
      <c r="AN8023">
        <v>8019</v>
      </c>
      <c r="AO8023" s="11">
        <v>35792.82</v>
      </c>
      <c r="AP8023" s="9">
        <v>3.3276883304773586</v>
      </c>
    </row>
    <row r="8024" spans="40:42" x14ac:dyDescent="0.3">
      <c r="AN8024">
        <v>8020</v>
      </c>
      <c r="AO8024" s="11">
        <v>32637.52</v>
      </c>
      <c r="AP8024" s="9">
        <v>3.7907906917520613</v>
      </c>
    </row>
    <row r="8025" spans="40:42" x14ac:dyDescent="0.3">
      <c r="AN8025">
        <v>8021</v>
      </c>
      <c r="AO8025" s="11">
        <v>28881.14</v>
      </c>
      <c r="AP8025" s="9">
        <v>3.3172055364215365</v>
      </c>
    </row>
    <row r="8026" spans="40:42" x14ac:dyDescent="0.3">
      <c r="AN8026">
        <v>8022</v>
      </c>
      <c r="AO8026" s="11">
        <v>35114.79</v>
      </c>
      <c r="AP8026" s="9">
        <v>2.9181641466936066</v>
      </c>
    </row>
    <row r="8027" spans="40:42" x14ac:dyDescent="0.3">
      <c r="AN8027">
        <v>8023</v>
      </c>
      <c r="AO8027" s="11">
        <v>37654.639999999999</v>
      </c>
      <c r="AP8027" s="9">
        <v>3.8365183602098654</v>
      </c>
    </row>
    <row r="8028" spans="40:42" x14ac:dyDescent="0.3">
      <c r="AN8028">
        <v>8024</v>
      </c>
      <c r="AO8028" s="11">
        <v>20143.259999999998</v>
      </c>
      <c r="AP8028" s="9">
        <v>3.471612479706375</v>
      </c>
    </row>
    <row r="8029" spans="40:42" x14ac:dyDescent="0.3">
      <c r="AN8029">
        <v>8025</v>
      </c>
      <c r="AO8029" s="11">
        <v>20487.12</v>
      </c>
      <c r="AP8029" s="9">
        <v>2.8411634275550965</v>
      </c>
    </row>
    <row r="8030" spans="40:42" x14ac:dyDescent="0.3">
      <c r="AN8030">
        <v>8026</v>
      </c>
      <c r="AO8030" s="11">
        <v>39481.730000000003</v>
      </c>
      <c r="AP8030" s="9">
        <v>3.096437595294399</v>
      </c>
    </row>
    <row r="8031" spans="40:42" x14ac:dyDescent="0.3">
      <c r="AN8031">
        <v>8027</v>
      </c>
      <c r="AO8031" s="11">
        <v>30232.25</v>
      </c>
      <c r="AP8031" s="9">
        <v>3.3786760220515162</v>
      </c>
    </row>
    <row r="8032" spans="40:42" x14ac:dyDescent="0.3">
      <c r="AN8032">
        <v>8028</v>
      </c>
      <c r="AO8032" s="11">
        <v>27048.48</v>
      </c>
      <c r="AP8032" s="9">
        <v>3.1591771728547671</v>
      </c>
    </row>
    <row r="8033" spans="40:42" x14ac:dyDescent="0.3">
      <c r="AN8033">
        <v>8029</v>
      </c>
      <c r="AO8033" s="11">
        <v>30602.32</v>
      </c>
      <c r="AP8033" s="9">
        <v>3.4158066626616144</v>
      </c>
    </row>
    <row r="8034" spans="40:42" x14ac:dyDescent="0.3">
      <c r="AN8034">
        <v>8030</v>
      </c>
      <c r="AO8034" s="11">
        <v>33113.31</v>
      </c>
      <c r="AP8034" s="9">
        <v>2.710434740642226</v>
      </c>
    </row>
    <row r="8035" spans="40:42" x14ac:dyDescent="0.3">
      <c r="AN8035">
        <v>8031</v>
      </c>
      <c r="AO8035" s="11">
        <v>25467.72</v>
      </c>
      <c r="AP8035" s="9">
        <v>3.7895429922559107</v>
      </c>
    </row>
    <row r="8036" spans="40:42" x14ac:dyDescent="0.3">
      <c r="AN8036">
        <v>8032</v>
      </c>
      <c r="AO8036" s="11">
        <v>32005.33</v>
      </c>
      <c r="AP8036" s="9">
        <v>4.5303341088986668</v>
      </c>
    </row>
    <row r="8037" spans="40:42" x14ac:dyDescent="0.3">
      <c r="AN8037">
        <v>8033</v>
      </c>
      <c r="AO8037" s="11">
        <v>22934.7</v>
      </c>
      <c r="AP8037" s="9">
        <v>2.8519976611514988</v>
      </c>
    </row>
    <row r="8038" spans="40:42" x14ac:dyDescent="0.3">
      <c r="AN8038">
        <v>8034</v>
      </c>
      <c r="AO8038" s="11">
        <v>17931.93</v>
      </c>
      <c r="AP8038" s="9">
        <v>3.266529886665904</v>
      </c>
    </row>
    <row r="8039" spans="40:42" x14ac:dyDescent="0.3">
      <c r="AN8039">
        <v>8035</v>
      </c>
      <c r="AO8039" s="11">
        <v>27509.25</v>
      </c>
      <c r="AP8039" s="9">
        <v>3.5004753307849996</v>
      </c>
    </row>
    <row r="8040" spans="40:42" x14ac:dyDescent="0.3">
      <c r="AN8040">
        <v>8036</v>
      </c>
      <c r="AO8040" s="11">
        <v>39559.49</v>
      </c>
      <c r="AP8040" s="9">
        <v>3.6218714037983966</v>
      </c>
    </row>
    <row r="8041" spans="40:42" x14ac:dyDescent="0.3">
      <c r="AN8041">
        <v>8037</v>
      </c>
      <c r="AO8041" s="11">
        <v>23238.44</v>
      </c>
      <c r="AP8041" s="9">
        <v>2.721341830353746</v>
      </c>
    </row>
    <row r="8042" spans="40:42" x14ac:dyDescent="0.3">
      <c r="AN8042">
        <v>8038</v>
      </c>
      <c r="AO8042" s="11">
        <v>48506.3</v>
      </c>
      <c r="AP8042" s="9">
        <v>4.0349906114368466</v>
      </c>
    </row>
    <row r="8043" spans="40:42" x14ac:dyDescent="0.3">
      <c r="AN8043">
        <v>8039</v>
      </c>
      <c r="AO8043" s="11">
        <v>23259.79</v>
      </c>
      <c r="AP8043" s="9">
        <v>3.8112083870836022</v>
      </c>
    </row>
    <row r="8044" spans="40:42" x14ac:dyDescent="0.3">
      <c r="AN8044">
        <v>8040</v>
      </c>
      <c r="AO8044" s="11">
        <v>27630.02</v>
      </c>
      <c r="AP8044" s="9">
        <v>3.0219854446459422</v>
      </c>
    </row>
    <row r="8045" spans="40:42" x14ac:dyDescent="0.3">
      <c r="AN8045">
        <v>8041</v>
      </c>
      <c r="AO8045" s="11">
        <v>29927.02</v>
      </c>
      <c r="AP8045" s="9">
        <v>3.6630351254043494</v>
      </c>
    </row>
    <row r="8046" spans="40:42" x14ac:dyDescent="0.3">
      <c r="AN8046">
        <v>8042</v>
      </c>
      <c r="AO8046" s="11">
        <v>31694.32</v>
      </c>
      <c r="AP8046" s="9">
        <v>3.7349924106435366</v>
      </c>
    </row>
    <row r="8047" spans="40:42" x14ac:dyDescent="0.3">
      <c r="AN8047">
        <v>8043</v>
      </c>
      <c r="AO8047" s="11">
        <v>11964.69</v>
      </c>
      <c r="AP8047" s="9">
        <v>2.8244368504270096</v>
      </c>
    </row>
    <row r="8048" spans="40:42" x14ac:dyDescent="0.3">
      <c r="AN8048">
        <v>8044</v>
      </c>
      <c r="AO8048" s="11">
        <v>31616.01</v>
      </c>
      <c r="AP8048" s="9">
        <v>3.0662960177873169</v>
      </c>
    </row>
    <row r="8049" spans="40:42" x14ac:dyDescent="0.3">
      <c r="AN8049">
        <v>8045</v>
      </c>
      <c r="AO8049" s="11">
        <v>17524</v>
      </c>
      <c r="AP8049" s="9">
        <v>3.0986858366896337</v>
      </c>
    </row>
    <row r="8050" spans="40:42" x14ac:dyDescent="0.3">
      <c r="AN8050">
        <v>8046</v>
      </c>
      <c r="AO8050" s="11">
        <v>22863.95</v>
      </c>
      <c r="AP8050" s="9">
        <v>2.9674605072790432</v>
      </c>
    </row>
    <row r="8051" spans="40:42" x14ac:dyDescent="0.3">
      <c r="AN8051">
        <v>8047</v>
      </c>
      <c r="AO8051" s="11">
        <v>20627.23</v>
      </c>
      <c r="AP8051" s="9">
        <v>3.1530380062992505</v>
      </c>
    </row>
    <row r="8052" spans="40:42" x14ac:dyDescent="0.3">
      <c r="AN8052">
        <v>8048</v>
      </c>
      <c r="AO8052" s="11">
        <v>16506.54</v>
      </c>
      <c r="AP8052" s="9">
        <v>2.5246710331546764</v>
      </c>
    </row>
    <row r="8053" spans="40:42" x14ac:dyDescent="0.3">
      <c r="AN8053">
        <v>8049</v>
      </c>
      <c r="AO8053" s="11">
        <v>24715.02</v>
      </c>
      <c r="AP8053" s="9">
        <v>3.5458807931243657</v>
      </c>
    </row>
    <row r="8054" spans="40:42" x14ac:dyDescent="0.3">
      <c r="AN8054">
        <v>8050</v>
      </c>
      <c r="AO8054" s="11">
        <v>31512.11</v>
      </c>
      <c r="AP8054" s="9">
        <v>3.6450155001519562</v>
      </c>
    </row>
    <row r="8055" spans="40:42" x14ac:dyDescent="0.3">
      <c r="AN8055">
        <v>8051</v>
      </c>
      <c r="AO8055" s="11">
        <v>26353.43</v>
      </c>
      <c r="AP8055" s="9">
        <v>3.3129357831966662</v>
      </c>
    </row>
    <row r="8056" spans="40:42" x14ac:dyDescent="0.3">
      <c r="AN8056">
        <v>8052</v>
      </c>
      <c r="AO8056" s="11">
        <v>21316.799999999999</v>
      </c>
      <c r="AP8056" s="9">
        <v>3.1992286600089606</v>
      </c>
    </row>
    <row r="8057" spans="40:42" x14ac:dyDescent="0.3">
      <c r="AN8057">
        <v>8053</v>
      </c>
      <c r="AO8057" s="11">
        <v>36749.99</v>
      </c>
      <c r="AP8057" s="9">
        <v>3.9579114861434483</v>
      </c>
    </row>
    <row r="8058" spans="40:42" x14ac:dyDescent="0.3">
      <c r="AN8058">
        <v>8054</v>
      </c>
      <c r="AO8058" s="11">
        <v>16708.810000000001</v>
      </c>
      <c r="AP8058" s="9">
        <v>2.6440241295525504</v>
      </c>
    </row>
    <row r="8059" spans="40:42" x14ac:dyDescent="0.3">
      <c r="AN8059">
        <v>8055</v>
      </c>
      <c r="AO8059" s="11">
        <v>17162</v>
      </c>
      <c r="AP8059" s="9">
        <v>2.7103731087460603</v>
      </c>
    </row>
    <row r="8060" spans="40:42" x14ac:dyDescent="0.3">
      <c r="AN8060">
        <v>8056</v>
      </c>
      <c r="AO8060" s="11">
        <v>24764.03</v>
      </c>
      <c r="AP8060" s="9">
        <v>3.6810921941208163</v>
      </c>
    </row>
    <row r="8061" spans="40:42" x14ac:dyDescent="0.3">
      <c r="AN8061">
        <v>8057</v>
      </c>
      <c r="AO8061" s="11">
        <v>23365.07</v>
      </c>
      <c r="AP8061" s="9">
        <v>3.3763021080252957</v>
      </c>
    </row>
    <row r="8062" spans="40:42" x14ac:dyDescent="0.3">
      <c r="AN8062">
        <v>8058</v>
      </c>
      <c r="AO8062" s="11">
        <v>29234.36</v>
      </c>
      <c r="AP8062" s="9">
        <v>3.6448519800508277</v>
      </c>
    </row>
    <row r="8063" spans="40:42" x14ac:dyDescent="0.3">
      <c r="AN8063">
        <v>8059</v>
      </c>
      <c r="AO8063" s="11">
        <v>21163.68</v>
      </c>
      <c r="AP8063" s="9">
        <v>3.0225357666220733</v>
      </c>
    </row>
    <row r="8064" spans="40:42" x14ac:dyDescent="0.3">
      <c r="AN8064">
        <v>8060</v>
      </c>
      <c r="AO8064" s="11">
        <v>19226.990000000002</v>
      </c>
      <c r="AP8064" s="9">
        <v>3.5310377515772533</v>
      </c>
    </row>
    <row r="8065" spans="40:42" x14ac:dyDescent="0.3">
      <c r="AN8065">
        <v>8061</v>
      </c>
      <c r="AO8065" s="11">
        <v>20082.93</v>
      </c>
      <c r="AP8065" s="9">
        <v>3.094053681686979</v>
      </c>
    </row>
    <row r="8066" spans="40:42" x14ac:dyDescent="0.3">
      <c r="AN8066">
        <v>8062</v>
      </c>
      <c r="AO8066" s="11">
        <v>42538.68</v>
      </c>
      <c r="AP8066" s="9">
        <v>3.4845531019084701</v>
      </c>
    </row>
    <row r="8067" spans="40:42" x14ac:dyDescent="0.3">
      <c r="AN8067">
        <v>8063</v>
      </c>
      <c r="AO8067" s="11">
        <v>25111.22</v>
      </c>
      <c r="AP8067" s="9">
        <v>4.0889489316487193</v>
      </c>
    </row>
    <row r="8068" spans="40:42" x14ac:dyDescent="0.3">
      <c r="AN8068">
        <v>8064</v>
      </c>
      <c r="AO8068" s="11">
        <v>30504.05</v>
      </c>
      <c r="AP8068" s="9">
        <v>3.1317035551976611</v>
      </c>
    </row>
    <row r="8069" spans="40:42" x14ac:dyDescent="0.3">
      <c r="AN8069">
        <v>8065</v>
      </c>
      <c r="AO8069" s="11">
        <v>18523.87</v>
      </c>
      <c r="AP8069" s="9">
        <v>3.4136295391761182</v>
      </c>
    </row>
    <row r="8070" spans="40:42" x14ac:dyDescent="0.3">
      <c r="AN8070">
        <v>8066</v>
      </c>
      <c r="AO8070" s="11">
        <v>20062.05</v>
      </c>
      <c r="AP8070" s="9">
        <v>3.4343462075448405</v>
      </c>
    </row>
    <row r="8071" spans="40:42" x14ac:dyDescent="0.3">
      <c r="AN8071">
        <v>8067</v>
      </c>
      <c r="AO8071" s="11">
        <v>21850.78</v>
      </c>
      <c r="AP8071" s="9">
        <v>3.2313589650198358</v>
      </c>
    </row>
    <row r="8072" spans="40:42" x14ac:dyDescent="0.3">
      <c r="AN8072">
        <v>8068</v>
      </c>
      <c r="AO8072" s="11">
        <v>36344.93</v>
      </c>
      <c r="AP8072" s="9">
        <v>3.2103006040301616</v>
      </c>
    </row>
    <row r="8073" spans="40:42" x14ac:dyDescent="0.3">
      <c r="AN8073">
        <v>8069</v>
      </c>
      <c r="AO8073" s="11">
        <v>31252.37</v>
      </c>
      <c r="AP8073" s="9">
        <v>4.150028181279052</v>
      </c>
    </row>
    <row r="8074" spans="40:42" x14ac:dyDescent="0.3">
      <c r="AN8074">
        <v>8070</v>
      </c>
      <c r="AO8074" s="11">
        <v>31388.959999999999</v>
      </c>
      <c r="AP8074" s="9">
        <v>3.779391367952877</v>
      </c>
    </row>
    <row r="8075" spans="40:42" x14ac:dyDescent="0.3">
      <c r="AN8075">
        <v>8071</v>
      </c>
      <c r="AO8075" s="11">
        <v>19958.61</v>
      </c>
      <c r="AP8075" s="9">
        <v>3.8129587815289501</v>
      </c>
    </row>
    <row r="8076" spans="40:42" x14ac:dyDescent="0.3">
      <c r="AN8076">
        <v>8072</v>
      </c>
      <c r="AO8076" s="11">
        <v>24108.2</v>
      </c>
      <c r="AP8076" s="9">
        <v>2.803510338536753</v>
      </c>
    </row>
    <row r="8077" spans="40:42" x14ac:dyDescent="0.3">
      <c r="AN8077">
        <v>8073</v>
      </c>
      <c r="AO8077" s="11">
        <v>34629.69</v>
      </c>
      <c r="AP8077" s="9">
        <v>3.9478459318850918</v>
      </c>
    </row>
    <row r="8078" spans="40:42" x14ac:dyDescent="0.3">
      <c r="AN8078">
        <v>8074</v>
      </c>
      <c r="AO8078" s="11">
        <v>46944.14</v>
      </c>
      <c r="AP8078" s="9">
        <v>3.9326374319463948</v>
      </c>
    </row>
    <row r="8079" spans="40:42" x14ac:dyDescent="0.3">
      <c r="AN8079">
        <v>8075</v>
      </c>
      <c r="AO8079" s="11">
        <v>17578.330000000002</v>
      </c>
      <c r="AP8079" s="9">
        <v>3.112014153946641</v>
      </c>
    </row>
    <row r="8080" spans="40:42" x14ac:dyDescent="0.3">
      <c r="AN8080">
        <v>8076</v>
      </c>
      <c r="AO8080" s="11">
        <v>27633.14</v>
      </c>
      <c r="AP8080" s="9">
        <v>3.7306643613174941</v>
      </c>
    </row>
    <row r="8081" spans="40:42" x14ac:dyDescent="0.3">
      <c r="AN8081">
        <v>8077</v>
      </c>
      <c r="AO8081" s="11">
        <v>28572.99</v>
      </c>
      <c r="AP8081" s="9">
        <v>2.9038473027500804</v>
      </c>
    </row>
    <row r="8082" spans="40:42" x14ac:dyDescent="0.3">
      <c r="AN8082">
        <v>8078</v>
      </c>
      <c r="AO8082" s="11">
        <v>19710.759999999998</v>
      </c>
      <c r="AP8082" s="9">
        <v>2.895887025729468</v>
      </c>
    </row>
    <row r="8083" spans="40:42" x14ac:dyDescent="0.3">
      <c r="AN8083">
        <v>8079</v>
      </c>
      <c r="AO8083" s="11">
        <v>20614.939999999999</v>
      </c>
      <c r="AP8083" s="9">
        <v>3.1005129840325112</v>
      </c>
    </row>
    <row r="8084" spans="40:42" x14ac:dyDescent="0.3">
      <c r="AN8084">
        <v>8080</v>
      </c>
      <c r="AO8084" s="11">
        <v>31677.64</v>
      </c>
      <c r="AP8084" s="9">
        <v>3.4503311555691929</v>
      </c>
    </row>
    <row r="8085" spans="40:42" x14ac:dyDescent="0.3">
      <c r="AN8085">
        <v>8081</v>
      </c>
      <c r="AO8085" s="11">
        <v>28455.35</v>
      </c>
      <c r="AP8085" s="9">
        <v>3.2620760290525714</v>
      </c>
    </row>
    <row r="8086" spans="40:42" x14ac:dyDescent="0.3">
      <c r="AN8086">
        <v>8082</v>
      </c>
      <c r="AO8086" s="11">
        <v>20717.650000000001</v>
      </c>
      <c r="AP8086" s="9">
        <v>3.3952274321989528</v>
      </c>
    </row>
    <row r="8087" spans="40:42" x14ac:dyDescent="0.3">
      <c r="AN8087">
        <v>8083</v>
      </c>
      <c r="AO8087" s="11">
        <v>24656.63</v>
      </c>
      <c r="AP8087" s="9">
        <v>3.0383372696739621</v>
      </c>
    </row>
    <row r="8088" spans="40:42" x14ac:dyDescent="0.3">
      <c r="AN8088">
        <v>8084</v>
      </c>
      <c r="AO8088" s="11">
        <v>22926.16</v>
      </c>
      <c r="AP8088" s="9">
        <v>2.9303281346301411</v>
      </c>
    </row>
    <row r="8089" spans="40:42" x14ac:dyDescent="0.3">
      <c r="AN8089">
        <v>8085</v>
      </c>
      <c r="AO8089" s="11">
        <v>27832.83</v>
      </c>
      <c r="AP8089" s="9">
        <v>3.0352924441051914</v>
      </c>
    </row>
    <row r="8090" spans="40:42" x14ac:dyDescent="0.3">
      <c r="AN8090">
        <v>8086</v>
      </c>
      <c r="AO8090" s="11">
        <v>27194.29</v>
      </c>
      <c r="AP8090" s="9">
        <v>3.2683422790713075</v>
      </c>
    </row>
    <row r="8091" spans="40:42" x14ac:dyDescent="0.3">
      <c r="AN8091">
        <v>8087</v>
      </c>
      <c r="AO8091" s="11">
        <v>21244.91</v>
      </c>
      <c r="AP8091" s="9">
        <v>3.3431243547620526</v>
      </c>
    </row>
    <row r="8092" spans="40:42" x14ac:dyDescent="0.3">
      <c r="AN8092">
        <v>8088</v>
      </c>
      <c r="AO8092" s="11">
        <v>27708.23</v>
      </c>
      <c r="AP8092" s="9">
        <v>3.4860337643617942</v>
      </c>
    </row>
    <row r="8093" spans="40:42" x14ac:dyDescent="0.3">
      <c r="AN8093">
        <v>8089</v>
      </c>
      <c r="AO8093" s="11">
        <v>18031.71</v>
      </c>
      <c r="AP8093" s="9">
        <v>2.8113602944165086</v>
      </c>
    </row>
    <row r="8094" spans="40:42" x14ac:dyDescent="0.3">
      <c r="AN8094">
        <v>8090</v>
      </c>
      <c r="AO8094" s="11">
        <v>26224.38</v>
      </c>
      <c r="AP8094" s="9">
        <v>3.6747109851378283</v>
      </c>
    </row>
    <row r="8095" spans="40:42" x14ac:dyDescent="0.3">
      <c r="AN8095">
        <v>8091</v>
      </c>
      <c r="AO8095" s="11">
        <v>17580.21</v>
      </c>
      <c r="AP8095" s="9">
        <v>3.0659806486650676</v>
      </c>
    </row>
    <row r="8096" spans="40:42" x14ac:dyDescent="0.3">
      <c r="AN8096">
        <v>8092</v>
      </c>
      <c r="AO8096" s="11">
        <v>24202.67</v>
      </c>
      <c r="AP8096" s="9">
        <v>3.3932828021926622</v>
      </c>
    </row>
    <row r="8097" spans="40:42" x14ac:dyDescent="0.3">
      <c r="AN8097">
        <v>8093</v>
      </c>
      <c r="AO8097" s="11">
        <v>24218.240000000002</v>
      </c>
      <c r="AP8097" s="9">
        <v>3.1571938779974467</v>
      </c>
    </row>
    <row r="8098" spans="40:42" x14ac:dyDescent="0.3">
      <c r="AN8098">
        <v>8094</v>
      </c>
      <c r="AO8098" s="11">
        <v>16409.439999999999</v>
      </c>
      <c r="AP8098" s="9">
        <v>3.2247675074126496</v>
      </c>
    </row>
    <row r="8099" spans="40:42" x14ac:dyDescent="0.3">
      <c r="AN8099">
        <v>8095</v>
      </c>
      <c r="AO8099" s="11">
        <v>31470.19</v>
      </c>
      <c r="AP8099" s="9">
        <v>3.2937192156239514</v>
      </c>
    </row>
    <row r="8100" spans="40:42" x14ac:dyDescent="0.3">
      <c r="AN8100">
        <v>8096</v>
      </c>
      <c r="AO8100" s="11">
        <v>30485.919999999998</v>
      </c>
      <c r="AP8100" s="9">
        <v>2.7250561043300321</v>
      </c>
    </row>
    <row r="8101" spans="40:42" x14ac:dyDescent="0.3">
      <c r="AN8101">
        <v>8097</v>
      </c>
      <c r="AO8101" s="11">
        <v>21457.200000000001</v>
      </c>
      <c r="AP8101" s="9">
        <v>3.3991235133420075</v>
      </c>
    </row>
    <row r="8102" spans="40:42" x14ac:dyDescent="0.3">
      <c r="AN8102">
        <v>8098</v>
      </c>
      <c r="AO8102" s="11">
        <v>30100.3</v>
      </c>
      <c r="AP8102" s="9">
        <v>3.1513329589065138</v>
      </c>
    </row>
    <row r="8103" spans="40:42" x14ac:dyDescent="0.3">
      <c r="AN8103">
        <v>8099</v>
      </c>
      <c r="AO8103" s="11">
        <v>39179.839999999997</v>
      </c>
      <c r="AP8103" s="9">
        <v>3.4127370878766961</v>
      </c>
    </row>
    <row r="8104" spans="40:42" x14ac:dyDescent="0.3">
      <c r="AN8104">
        <v>8100</v>
      </c>
      <c r="AO8104" s="11">
        <v>24649.69</v>
      </c>
      <c r="AP8104" s="9">
        <v>3.1087494486537248</v>
      </c>
    </row>
    <row r="8105" spans="40:42" x14ac:dyDescent="0.3">
      <c r="AN8105">
        <v>8101</v>
      </c>
      <c r="AO8105" s="11">
        <v>35768.65</v>
      </c>
      <c r="AP8105" s="9">
        <v>3.7665515026241341</v>
      </c>
    </row>
    <row r="8106" spans="40:42" x14ac:dyDescent="0.3">
      <c r="AN8106">
        <v>8102</v>
      </c>
      <c r="AO8106" s="11">
        <v>29945.65</v>
      </c>
      <c r="AP8106" s="9">
        <v>3.7205617319877011</v>
      </c>
    </row>
    <row r="8107" spans="40:42" x14ac:dyDescent="0.3">
      <c r="AN8107">
        <v>8103</v>
      </c>
      <c r="AO8107" s="11">
        <v>28193.65</v>
      </c>
      <c r="AP8107" s="9">
        <v>3.495448208480699</v>
      </c>
    </row>
    <row r="8108" spans="40:42" x14ac:dyDescent="0.3">
      <c r="AN8108">
        <v>8104</v>
      </c>
      <c r="AO8108" s="11">
        <v>28570.29</v>
      </c>
      <c r="AP8108" s="9">
        <v>3.387795994366062</v>
      </c>
    </row>
    <row r="8109" spans="40:42" x14ac:dyDescent="0.3">
      <c r="AN8109">
        <v>8105</v>
      </c>
      <c r="AO8109" s="11">
        <v>35610.410000000003</v>
      </c>
      <c r="AP8109" s="9">
        <v>3.0271330115482082</v>
      </c>
    </row>
    <row r="8110" spans="40:42" x14ac:dyDescent="0.3">
      <c r="AN8110">
        <v>8106</v>
      </c>
      <c r="AO8110" s="11">
        <v>20060.099999999999</v>
      </c>
      <c r="AP8110" s="9">
        <v>3.6741109393069937</v>
      </c>
    </row>
    <row r="8111" spans="40:42" x14ac:dyDescent="0.3">
      <c r="AN8111">
        <v>8107</v>
      </c>
      <c r="AO8111" s="11">
        <v>23211.45</v>
      </c>
      <c r="AP8111" s="9">
        <v>2.8804789954711389</v>
      </c>
    </row>
    <row r="8112" spans="40:42" x14ac:dyDescent="0.3">
      <c r="AN8112">
        <v>8108</v>
      </c>
      <c r="AO8112" s="11">
        <v>26407.599999999999</v>
      </c>
      <c r="AP8112" s="9">
        <v>3.5740664084363076</v>
      </c>
    </row>
    <row r="8113" spans="40:42" x14ac:dyDescent="0.3">
      <c r="AN8113">
        <v>8109</v>
      </c>
      <c r="AO8113" s="11">
        <v>21592.42</v>
      </c>
      <c r="AP8113" s="9">
        <v>3.2283047021463904</v>
      </c>
    </row>
    <row r="8114" spans="40:42" x14ac:dyDescent="0.3">
      <c r="AN8114">
        <v>8110</v>
      </c>
      <c r="AO8114" s="11">
        <v>19146.39</v>
      </c>
      <c r="AP8114" s="9">
        <v>3.6286404212808159</v>
      </c>
    </row>
    <row r="8115" spans="40:42" x14ac:dyDescent="0.3">
      <c r="AN8115">
        <v>8111</v>
      </c>
      <c r="AO8115" s="11">
        <v>27677.38</v>
      </c>
      <c r="AP8115" s="9">
        <v>3.6942321167314645</v>
      </c>
    </row>
    <row r="8116" spans="40:42" x14ac:dyDescent="0.3">
      <c r="AN8116">
        <v>8112</v>
      </c>
      <c r="AO8116" s="11">
        <v>23213.58</v>
      </c>
      <c r="AP8116" s="9">
        <v>2.8776202151886312</v>
      </c>
    </row>
    <row r="8117" spans="40:42" x14ac:dyDescent="0.3">
      <c r="AN8117">
        <v>8113</v>
      </c>
      <c r="AO8117" s="11">
        <v>33840.61</v>
      </c>
      <c r="AP8117" s="9">
        <v>3.1837977573750664</v>
      </c>
    </row>
    <row r="8118" spans="40:42" x14ac:dyDescent="0.3">
      <c r="AN8118">
        <v>8114</v>
      </c>
      <c r="AO8118" s="11">
        <v>25351.05</v>
      </c>
      <c r="AP8118" s="9">
        <v>3.5477170799789626</v>
      </c>
    </row>
    <row r="8119" spans="40:42" x14ac:dyDescent="0.3">
      <c r="AN8119">
        <v>8115</v>
      </c>
      <c r="AO8119" s="11">
        <v>20760.57</v>
      </c>
      <c r="AP8119" s="9">
        <v>2.8589533538644889</v>
      </c>
    </row>
    <row r="8120" spans="40:42" x14ac:dyDescent="0.3">
      <c r="AN8120">
        <v>8116</v>
      </c>
      <c r="AO8120" s="11">
        <v>27604.91</v>
      </c>
      <c r="AP8120" s="9">
        <v>3.5650807336433608</v>
      </c>
    </row>
    <row r="8121" spans="40:42" x14ac:dyDescent="0.3">
      <c r="AN8121">
        <v>8117</v>
      </c>
      <c r="AO8121" s="11">
        <v>27013.61</v>
      </c>
      <c r="AP8121" s="9">
        <v>3.4769006024187106</v>
      </c>
    </row>
    <row r="8122" spans="40:42" x14ac:dyDescent="0.3">
      <c r="AN8122">
        <v>8118</v>
      </c>
      <c r="AO8122" s="11">
        <v>25517.31</v>
      </c>
      <c r="AP8122" s="9">
        <v>3.2881114557088269</v>
      </c>
    </row>
    <row r="8123" spans="40:42" x14ac:dyDescent="0.3">
      <c r="AN8123">
        <v>8119</v>
      </c>
      <c r="AO8123" s="11">
        <v>15507.5</v>
      </c>
      <c r="AP8123" s="9">
        <v>2.7565146810570145</v>
      </c>
    </row>
    <row r="8124" spans="40:42" x14ac:dyDescent="0.3">
      <c r="AN8124">
        <v>8120</v>
      </c>
      <c r="AO8124" s="11">
        <v>26989.06</v>
      </c>
      <c r="AP8124" s="9">
        <v>2.9914168334127802</v>
      </c>
    </row>
    <row r="8125" spans="40:42" x14ac:dyDescent="0.3">
      <c r="AN8125">
        <v>8121</v>
      </c>
      <c r="AO8125" s="11">
        <v>48927.57</v>
      </c>
      <c r="AP8125" s="9">
        <v>3.7817604017001618</v>
      </c>
    </row>
    <row r="8126" spans="40:42" x14ac:dyDescent="0.3">
      <c r="AN8126">
        <v>8122</v>
      </c>
      <c r="AO8126" s="11">
        <v>16932.16</v>
      </c>
      <c r="AP8126" s="9">
        <v>3.1622332501085668</v>
      </c>
    </row>
    <row r="8127" spans="40:42" x14ac:dyDescent="0.3">
      <c r="AN8127">
        <v>8123</v>
      </c>
      <c r="AO8127" s="11">
        <v>22392.61</v>
      </c>
      <c r="AP8127" s="9">
        <v>3.3382443980904748</v>
      </c>
    </row>
    <row r="8128" spans="40:42" x14ac:dyDescent="0.3">
      <c r="AN8128">
        <v>8124</v>
      </c>
      <c r="AO8128" s="11">
        <v>28288.41</v>
      </c>
      <c r="AP8128" s="9">
        <v>3.498013278259509</v>
      </c>
    </row>
    <row r="8129" spans="40:42" x14ac:dyDescent="0.3">
      <c r="AN8129">
        <v>8125</v>
      </c>
      <c r="AO8129" s="11">
        <v>30744.76</v>
      </c>
      <c r="AP8129" s="9">
        <v>3.3306275624321975</v>
      </c>
    </row>
    <row r="8130" spans="40:42" x14ac:dyDescent="0.3">
      <c r="AN8130">
        <v>8126</v>
      </c>
      <c r="AO8130" s="11">
        <v>33413.65</v>
      </c>
      <c r="AP8130" s="9">
        <v>3.2967351271687586</v>
      </c>
    </row>
    <row r="8131" spans="40:42" x14ac:dyDescent="0.3">
      <c r="AN8131">
        <v>8127</v>
      </c>
      <c r="AO8131" s="11">
        <v>22121.05</v>
      </c>
      <c r="AP8131" s="9">
        <v>3.5746393565010131</v>
      </c>
    </row>
    <row r="8132" spans="40:42" x14ac:dyDescent="0.3">
      <c r="AN8132">
        <v>8128</v>
      </c>
      <c r="AO8132" s="11">
        <v>30474.78</v>
      </c>
      <c r="AP8132" s="9">
        <v>4.3028634607965897</v>
      </c>
    </row>
    <row r="8133" spans="40:42" x14ac:dyDescent="0.3">
      <c r="AN8133">
        <v>8129</v>
      </c>
      <c r="AO8133" s="11">
        <v>34742.910000000003</v>
      </c>
      <c r="AP8133" s="9">
        <v>3.8903532272690109</v>
      </c>
    </row>
    <row r="8134" spans="40:42" x14ac:dyDescent="0.3">
      <c r="AN8134">
        <v>8130</v>
      </c>
      <c r="AO8134" s="11">
        <v>36778.160000000003</v>
      </c>
      <c r="AP8134" s="9">
        <v>3.3592732573356532</v>
      </c>
    </row>
    <row r="8135" spans="40:42" x14ac:dyDescent="0.3">
      <c r="AN8135">
        <v>8131</v>
      </c>
      <c r="AO8135" s="11">
        <v>15540.58</v>
      </c>
      <c r="AP8135" s="9">
        <v>3.5091045460565669</v>
      </c>
    </row>
    <row r="8136" spans="40:42" x14ac:dyDescent="0.3">
      <c r="AN8136">
        <v>8132</v>
      </c>
      <c r="AO8136" s="11">
        <v>29086.83</v>
      </c>
      <c r="AP8136" s="9">
        <v>3.3957461985506683</v>
      </c>
    </row>
    <row r="8137" spans="40:42" x14ac:dyDescent="0.3">
      <c r="AN8137">
        <v>8133</v>
      </c>
      <c r="AO8137" s="11">
        <v>32419.09</v>
      </c>
      <c r="AP8137" s="9">
        <v>3.6927932494944726</v>
      </c>
    </row>
    <row r="8138" spans="40:42" x14ac:dyDescent="0.3">
      <c r="AN8138">
        <v>8134</v>
      </c>
      <c r="AO8138" s="11">
        <v>25568.69</v>
      </c>
      <c r="AP8138" s="9">
        <v>3.3858381456279774</v>
      </c>
    </row>
    <row r="8139" spans="40:42" x14ac:dyDescent="0.3">
      <c r="AN8139">
        <v>8135</v>
      </c>
      <c r="AO8139" s="11">
        <v>27001.22</v>
      </c>
      <c r="AP8139" s="9">
        <v>3.2352197281339099</v>
      </c>
    </row>
    <row r="8140" spans="40:42" x14ac:dyDescent="0.3">
      <c r="AN8140">
        <v>8136</v>
      </c>
      <c r="AO8140" s="11">
        <v>37260.699999999997</v>
      </c>
      <c r="AP8140" s="9">
        <v>3.3609886847333015</v>
      </c>
    </row>
    <row r="8141" spans="40:42" x14ac:dyDescent="0.3">
      <c r="AN8141">
        <v>8137</v>
      </c>
      <c r="AO8141" s="11">
        <v>30316.06</v>
      </c>
      <c r="AP8141" s="9">
        <v>3.698216700230196</v>
      </c>
    </row>
    <row r="8142" spans="40:42" x14ac:dyDescent="0.3">
      <c r="AN8142">
        <v>8138</v>
      </c>
      <c r="AO8142" s="11">
        <v>28538.37</v>
      </c>
      <c r="AP8142" s="9">
        <v>3.2904189134548405</v>
      </c>
    </row>
    <row r="8143" spans="40:42" x14ac:dyDescent="0.3">
      <c r="AN8143">
        <v>8139</v>
      </c>
      <c r="AO8143" s="11">
        <v>34011.25</v>
      </c>
      <c r="AP8143" s="9">
        <v>3.1264049976873434</v>
      </c>
    </row>
    <row r="8144" spans="40:42" x14ac:dyDescent="0.3">
      <c r="AN8144">
        <v>8140</v>
      </c>
      <c r="AO8144" s="11">
        <v>21124.99</v>
      </c>
      <c r="AP8144" s="9">
        <v>3.4038418118181286</v>
      </c>
    </row>
    <row r="8145" spans="40:42" x14ac:dyDescent="0.3">
      <c r="AN8145">
        <v>8141</v>
      </c>
      <c r="AO8145" s="11">
        <v>34854.42</v>
      </c>
      <c r="AP8145" s="9">
        <v>3.7060950548444413</v>
      </c>
    </row>
    <row r="8146" spans="40:42" x14ac:dyDescent="0.3">
      <c r="AN8146">
        <v>8142</v>
      </c>
      <c r="AO8146" s="11">
        <v>31403.33</v>
      </c>
      <c r="AP8146" s="9">
        <v>3.6000637875531392</v>
      </c>
    </row>
    <row r="8147" spans="40:42" x14ac:dyDescent="0.3">
      <c r="AN8147">
        <v>8143</v>
      </c>
      <c r="AO8147" s="11">
        <v>20214.62</v>
      </c>
      <c r="AP8147" s="9">
        <v>3.1464628828411407</v>
      </c>
    </row>
    <row r="8148" spans="40:42" x14ac:dyDescent="0.3">
      <c r="AN8148">
        <v>8144</v>
      </c>
      <c r="AO8148" s="11">
        <v>38675.69</v>
      </c>
      <c r="AP8148" s="9">
        <v>3.8339466587274691</v>
      </c>
    </row>
    <row r="8149" spans="40:42" x14ac:dyDescent="0.3">
      <c r="AN8149">
        <v>8145</v>
      </c>
      <c r="AO8149" s="11">
        <v>23309.66</v>
      </c>
      <c r="AP8149" s="9">
        <v>3.2513115399600099</v>
      </c>
    </row>
    <row r="8150" spans="40:42" x14ac:dyDescent="0.3">
      <c r="AN8150">
        <v>8146</v>
      </c>
      <c r="AO8150" s="11">
        <v>48198.52</v>
      </c>
      <c r="AP8150" s="9">
        <v>4.4490998617278699</v>
      </c>
    </row>
    <row r="8151" spans="40:42" x14ac:dyDescent="0.3">
      <c r="AN8151">
        <v>8147</v>
      </c>
      <c r="AO8151" s="11">
        <v>27651.85</v>
      </c>
      <c r="AP8151" s="9">
        <v>2.845599485851257</v>
      </c>
    </row>
    <row r="8152" spans="40:42" x14ac:dyDescent="0.3">
      <c r="AN8152">
        <v>8148</v>
      </c>
      <c r="AO8152" s="11">
        <v>26873.27</v>
      </c>
      <c r="AP8152" s="9">
        <v>3.0927924505135982</v>
      </c>
    </row>
    <row r="8153" spans="40:42" x14ac:dyDescent="0.3">
      <c r="AN8153">
        <v>8149</v>
      </c>
      <c r="AO8153" s="11">
        <v>27353.54</v>
      </c>
      <c r="AP8153" s="9">
        <v>3.3582893048617701</v>
      </c>
    </row>
    <row r="8154" spans="40:42" x14ac:dyDescent="0.3">
      <c r="AN8154">
        <v>8150</v>
      </c>
      <c r="AO8154" s="11">
        <v>27182.74</v>
      </c>
      <c r="AP8154" s="9">
        <v>3.1486245328829181</v>
      </c>
    </row>
    <row r="8155" spans="40:42" x14ac:dyDescent="0.3">
      <c r="AN8155">
        <v>8151</v>
      </c>
      <c r="AO8155" s="11">
        <v>36812.49</v>
      </c>
      <c r="AP8155" s="9">
        <v>4.2679222472263438</v>
      </c>
    </row>
    <row r="8156" spans="40:42" x14ac:dyDescent="0.3">
      <c r="AN8156">
        <v>8152</v>
      </c>
      <c r="AO8156" s="11">
        <v>27766.26</v>
      </c>
      <c r="AP8156" s="9">
        <v>3.2501172271264656</v>
      </c>
    </row>
    <row r="8157" spans="40:42" x14ac:dyDescent="0.3">
      <c r="AN8157">
        <v>8153</v>
      </c>
      <c r="AO8157" s="11">
        <v>25929.119999999999</v>
      </c>
      <c r="AP8157" s="9">
        <v>3.818363323996401</v>
      </c>
    </row>
    <row r="8158" spans="40:42" x14ac:dyDescent="0.3">
      <c r="AN8158">
        <v>8154</v>
      </c>
      <c r="AO8158" s="11">
        <v>37177.410000000003</v>
      </c>
      <c r="AP8158" s="9">
        <v>3.3562554464985492</v>
      </c>
    </row>
    <row r="8159" spans="40:42" x14ac:dyDescent="0.3">
      <c r="AN8159">
        <v>8155</v>
      </c>
      <c r="AO8159" s="11">
        <v>34529.980000000003</v>
      </c>
      <c r="AP8159" s="9">
        <v>3.402847333029146</v>
      </c>
    </row>
    <row r="8160" spans="40:42" x14ac:dyDescent="0.3">
      <c r="AN8160">
        <v>8156</v>
      </c>
      <c r="AO8160" s="11">
        <v>35802.99</v>
      </c>
      <c r="AP8160" s="9">
        <v>3.5579618937146966</v>
      </c>
    </row>
    <row r="8161" spans="40:42" x14ac:dyDescent="0.3">
      <c r="AN8161">
        <v>8157</v>
      </c>
      <c r="AO8161" s="11">
        <v>18564.02</v>
      </c>
      <c r="AP8161" s="9">
        <v>3.2673392646518415</v>
      </c>
    </row>
    <row r="8162" spans="40:42" x14ac:dyDescent="0.3">
      <c r="AN8162">
        <v>8158</v>
      </c>
      <c r="AO8162" s="11">
        <v>21629.95</v>
      </c>
      <c r="AP8162" s="9">
        <v>3.3730157219558103</v>
      </c>
    </row>
    <row r="8163" spans="40:42" x14ac:dyDescent="0.3">
      <c r="AN8163">
        <v>8159</v>
      </c>
      <c r="AO8163" s="11">
        <v>48996.79</v>
      </c>
      <c r="AP8163" s="9">
        <v>4.1475723569116623</v>
      </c>
    </row>
    <row r="8164" spans="40:42" x14ac:dyDescent="0.3">
      <c r="AN8164">
        <v>8160</v>
      </c>
      <c r="AO8164" s="11">
        <v>15832.48</v>
      </c>
      <c r="AP8164" s="9">
        <v>3.1116013271712668</v>
      </c>
    </row>
    <row r="8165" spans="40:42" x14ac:dyDescent="0.3">
      <c r="AN8165">
        <v>8161</v>
      </c>
      <c r="AO8165" s="11">
        <v>19655.07</v>
      </c>
      <c r="AP8165" s="9">
        <v>3.5362596822960182</v>
      </c>
    </row>
    <row r="8166" spans="40:42" x14ac:dyDescent="0.3">
      <c r="AN8166">
        <v>8162</v>
      </c>
      <c r="AO8166" s="11">
        <v>26219.79</v>
      </c>
      <c r="AP8166" s="9">
        <v>3.3030422215223951</v>
      </c>
    </row>
    <row r="8167" spans="40:42" x14ac:dyDescent="0.3">
      <c r="AN8167">
        <v>8163</v>
      </c>
      <c r="AO8167" s="11">
        <v>18812.73</v>
      </c>
      <c r="AP8167" s="9">
        <v>3.0028518028211892</v>
      </c>
    </row>
    <row r="8168" spans="40:42" x14ac:dyDescent="0.3">
      <c r="AN8168">
        <v>8164</v>
      </c>
      <c r="AO8168" s="11">
        <v>23752.91</v>
      </c>
      <c r="AP8168" s="9">
        <v>3.3417600248889365</v>
      </c>
    </row>
    <row r="8169" spans="40:42" x14ac:dyDescent="0.3">
      <c r="AN8169">
        <v>8165</v>
      </c>
      <c r="AO8169" s="11">
        <v>20455.22</v>
      </c>
      <c r="AP8169" s="9">
        <v>3.1187087266063931</v>
      </c>
    </row>
    <row r="8170" spans="40:42" x14ac:dyDescent="0.3">
      <c r="AN8170">
        <v>8166</v>
      </c>
      <c r="AO8170" s="11">
        <v>24037.94</v>
      </c>
      <c r="AP8170" s="9">
        <v>2.8053138880080222</v>
      </c>
    </row>
    <row r="8171" spans="40:42" x14ac:dyDescent="0.3">
      <c r="AN8171">
        <v>8167</v>
      </c>
      <c r="AO8171" s="11">
        <v>15921.63</v>
      </c>
      <c r="AP8171" s="9">
        <v>2.5300831045114127</v>
      </c>
    </row>
    <row r="8172" spans="40:42" x14ac:dyDescent="0.3">
      <c r="AN8172">
        <v>8168</v>
      </c>
      <c r="AO8172" s="11">
        <v>16772.599999999999</v>
      </c>
      <c r="AP8172" s="9">
        <v>3.4602208403140517</v>
      </c>
    </row>
    <row r="8173" spans="40:42" x14ac:dyDescent="0.3">
      <c r="AN8173">
        <v>8169</v>
      </c>
      <c r="AO8173" s="11">
        <v>25677.4</v>
      </c>
      <c r="AP8173" s="9">
        <v>3.6654044413392417</v>
      </c>
    </row>
    <row r="8174" spans="40:42" x14ac:dyDescent="0.3">
      <c r="AN8174">
        <v>8170</v>
      </c>
      <c r="AO8174" s="11">
        <v>21777.15</v>
      </c>
      <c r="AP8174" s="9">
        <v>3.843396104492077</v>
      </c>
    </row>
    <row r="8175" spans="40:42" x14ac:dyDescent="0.3">
      <c r="AN8175">
        <v>8171</v>
      </c>
      <c r="AO8175" s="11">
        <v>25591.18</v>
      </c>
      <c r="AP8175" s="9">
        <v>3.6218948451004396</v>
      </c>
    </row>
    <row r="8176" spans="40:42" x14ac:dyDescent="0.3">
      <c r="AN8176">
        <v>8172</v>
      </c>
      <c r="AO8176" s="11">
        <v>17530.55</v>
      </c>
      <c r="AP8176" s="9">
        <v>3.4423045679653552</v>
      </c>
    </row>
    <row r="8177" spans="40:42" x14ac:dyDescent="0.3">
      <c r="AN8177">
        <v>8173</v>
      </c>
      <c r="AO8177" s="11">
        <v>31273.5</v>
      </c>
      <c r="AP8177" s="9">
        <v>3.1873403063705665</v>
      </c>
    </row>
    <row r="8178" spans="40:42" x14ac:dyDescent="0.3">
      <c r="AN8178">
        <v>8174</v>
      </c>
      <c r="AO8178" s="11">
        <v>22922.639999999999</v>
      </c>
      <c r="AP8178" s="9">
        <v>3.5681199583957515</v>
      </c>
    </row>
    <row r="8179" spans="40:42" x14ac:dyDescent="0.3">
      <c r="AN8179">
        <v>8175</v>
      </c>
      <c r="AO8179" s="11">
        <v>26291.82</v>
      </c>
      <c r="AP8179" s="9">
        <v>3.6277878869639486</v>
      </c>
    </row>
    <row r="8180" spans="40:42" x14ac:dyDescent="0.3">
      <c r="AN8180">
        <v>8176</v>
      </c>
      <c r="AO8180" s="11">
        <v>16367.55</v>
      </c>
      <c r="AP8180" s="9">
        <v>3.1738409534028795</v>
      </c>
    </row>
    <row r="8181" spans="40:42" x14ac:dyDescent="0.3">
      <c r="AN8181">
        <v>8177</v>
      </c>
      <c r="AO8181" s="11">
        <v>34761.54</v>
      </c>
      <c r="AP8181" s="9">
        <v>2.9555179705235024</v>
      </c>
    </row>
    <row r="8182" spans="40:42" x14ac:dyDescent="0.3">
      <c r="AN8182">
        <v>8178</v>
      </c>
      <c r="AO8182" s="11">
        <v>24308.23</v>
      </c>
      <c r="AP8182" s="9">
        <v>3.1840438876520936</v>
      </c>
    </row>
    <row r="8183" spans="40:42" x14ac:dyDescent="0.3">
      <c r="AN8183">
        <v>8179</v>
      </c>
      <c r="AO8183" s="11">
        <v>29795.68</v>
      </c>
      <c r="AP8183" s="9">
        <v>3.7084879898891594</v>
      </c>
    </row>
    <row r="8184" spans="40:42" x14ac:dyDescent="0.3">
      <c r="AN8184">
        <v>8180</v>
      </c>
      <c r="AO8184" s="11">
        <v>19480.82</v>
      </c>
      <c r="AP8184" s="9">
        <v>2.9249353558546631</v>
      </c>
    </row>
    <row r="8185" spans="40:42" x14ac:dyDescent="0.3">
      <c r="AN8185">
        <v>8181</v>
      </c>
      <c r="AO8185" s="11">
        <v>41182.080000000002</v>
      </c>
      <c r="AP8185" s="9">
        <v>3.7535070292985391</v>
      </c>
    </row>
    <row r="8186" spans="40:42" x14ac:dyDescent="0.3">
      <c r="AN8186">
        <v>8182</v>
      </c>
      <c r="AO8186" s="11">
        <v>29779.77</v>
      </c>
      <c r="AP8186" s="9">
        <v>4.0858290357753049</v>
      </c>
    </row>
    <row r="8187" spans="40:42" x14ac:dyDescent="0.3">
      <c r="AN8187">
        <v>8183</v>
      </c>
      <c r="AO8187" s="11">
        <v>23041.81</v>
      </c>
      <c r="AP8187" s="9">
        <v>3.3014799732875977</v>
      </c>
    </row>
    <row r="8188" spans="40:42" x14ac:dyDescent="0.3">
      <c r="AN8188">
        <v>8184</v>
      </c>
      <c r="AO8188" s="11">
        <v>19923.009999999998</v>
      </c>
      <c r="AP8188" s="9">
        <v>3.561183768381408</v>
      </c>
    </row>
    <row r="8189" spans="40:42" x14ac:dyDescent="0.3">
      <c r="AN8189">
        <v>8185</v>
      </c>
      <c r="AO8189" s="11">
        <v>40631.199999999997</v>
      </c>
      <c r="AP8189" s="9">
        <v>4.9276721950458739</v>
      </c>
    </row>
    <row r="8190" spans="40:42" x14ac:dyDescent="0.3">
      <c r="AN8190">
        <v>8186</v>
      </c>
      <c r="AO8190" s="11">
        <v>29509.06</v>
      </c>
      <c r="AP8190" s="9">
        <v>3.579947338444049</v>
      </c>
    </row>
    <row r="8191" spans="40:42" x14ac:dyDescent="0.3">
      <c r="AN8191">
        <v>8187</v>
      </c>
      <c r="AO8191" s="11">
        <v>34181.93</v>
      </c>
      <c r="AP8191" s="9">
        <v>3.2875687318731281</v>
      </c>
    </row>
    <row r="8192" spans="40:42" x14ac:dyDescent="0.3">
      <c r="AN8192">
        <v>8188</v>
      </c>
      <c r="AO8192" s="11">
        <v>22408.03</v>
      </c>
      <c r="AP8192" s="9">
        <v>2.9905088835993809</v>
      </c>
    </row>
    <row r="8193" spans="40:42" x14ac:dyDescent="0.3">
      <c r="AN8193">
        <v>8189</v>
      </c>
      <c r="AO8193" s="11">
        <v>30568.17</v>
      </c>
      <c r="AP8193" s="9">
        <v>3.9295483171479741</v>
      </c>
    </row>
    <row r="8194" spans="40:42" x14ac:dyDescent="0.3">
      <c r="AN8194">
        <v>8190</v>
      </c>
      <c r="AO8194" s="11">
        <v>20904.78</v>
      </c>
      <c r="AP8194" s="9">
        <v>3.759994130070242</v>
      </c>
    </row>
    <row r="8195" spans="40:42" x14ac:dyDescent="0.3">
      <c r="AN8195">
        <v>8191</v>
      </c>
      <c r="AO8195" s="11">
        <v>19533.169999999998</v>
      </c>
      <c r="AP8195" s="9">
        <v>3.2812452229527391</v>
      </c>
    </row>
    <row r="8196" spans="40:42" x14ac:dyDescent="0.3">
      <c r="AN8196">
        <v>8192</v>
      </c>
      <c r="AO8196" s="11">
        <v>16731.63</v>
      </c>
      <c r="AP8196" s="9">
        <v>3.2264310385229642</v>
      </c>
    </row>
    <row r="8197" spans="40:42" x14ac:dyDescent="0.3">
      <c r="AN8197">
        <v>8193</v>
      </c>
      <c r="AO8197" s="11">
        <v>21364.68</v>
      </c>
      <c r="AP8197" s="9">
        <v>4.098479768359609</v>
      </c>
    </row>
    <row r="8198" spans="40:42" x14ac:dyDescent="0.3">
      <c r="AN8198">
        <v>8194</v>
      </c>
      <c r="AO8198" s="11">
        <v>37244.449999999997</v>
      </c>
      <c r="AP8198" s="9">
        <v>3.4644672530494018</v>
      </c>
    </row>
    <row r="8199" spans="40:42" x14ac:dyDescent="0.3">
      <c r="AN8199">
        <v>8195</v>
      </c>
      <c r="AO8199" s="11">
        <v>22836.18</v>
      </c>
      <c r="AP8199" s="9">
        <v>3.8724838162729283</v>
      </c>
    </row>
    <row r="8200" spans="40:42" x14ac:dyDescent="0.3">
      <c r="AN8200">
        <v>8196</v>
      </c>
      <c r="AO8200" s="11">
        <v>36958.79</v>
      </c>
      <c r="AP8200" s="9">
        <v>3.7025429399380738</v>
      </c>
    </row>
    <row r="8201" spans="40:42" x14ac:dyDescent="0.3">
      <c r="AN8201">
        <v>8197</v>
      </c>
      <c r="AO8201" s="11">
        <v>38510.9</v>
      </c>
      <c r="AP8201" s="9">
        <v>3.6235259601170116</v>
      </c>
    </row>
    <row r="8202" spans="40:42" x14ac:dyDescent="0.3">
      <c r="AN8202">
        <v>8198</v>
      </c>
      <c r="AO8202" s="11">
        <v>25458.17</v>
      </c>
      <c r="AP8202" s="9">
        <v>3.7575880193961373</v>
      </c>
    </row>
    <row r="8203" spans="40:42" x14ac:dyDescent="0.3">
      <c r="AN8203">
        <v>8199</v>
      </c>
      <c r="AO8203" s="11">
        <v>32818.53</v>
      </c>
      <c r="AP8203" s="9">
        <v>3.8834143221816104</v>
      </c>
    </row>
    <row r="8204" spans="40:42" x14ac:dyDescent="0.3">
      <c r="AN8204">
        <v>8200</v>
      </c>
      <c r="AO8204" s="11">
        <v>16669.23</v>
      </c>
      <c r="AP8204" s="9">
        <v>2.6755235619562066</v>
      </c>
    </row>
    <row r="8205" spans="40:42" x14ac:dyDescent="0.3">
      <c r="AN8205">
        <v>8201</v>
      </c>
      <c r="AO8205" s="11">
        <v>17717.18</v>
      </c>
      <c r="AP8205" s="9">
        <v>3.6939161651749814</v>
      </c>
    </row>
    <row r="8206" spans="40:42" x14ac:dyDescent="0.3">
      <c r="AN8206">
        <v>8202</v>
      </c>
      <c r="AO8206" s="11">
        <v>40778.080000000002</v>
      </c>
      <c r="AP8206" s="9">
        <v>3.7539285755244149</v>
      </c>
    </row>
    <row r="8207" spans="40:42" x14ac:dyDescent="0.3">
      <c r="AN8207">
        <v>8203</v>
      </c>
      <c r="AO8207" s="11">
        <v>22825.81</v>
      </c>
      <c r="AP8207" s="9">
        <v>3.0020234525505947</v>
      </c>
    </row>
    <row r="8208" spans="40:42" x14ac:dyDescent="0.3">
      <c r="AN8208">
        <v>8204</v>
      </c>
      <c r="AO8208" s="11">
        <v>40356.379999999997</v>
      </c>
      <c r="AP8208" s="9">
        <v>3.8283463499493124</v>
      </c>
    </row>
    <row r="8209" spans="40:42" x14ac:dyDescent="0.3">
      <c r="AN8209">
        <v>8205</v>
      </c>
      <c r="AO8209" s="11">
        <v>13220.35</v>
      </c>
      <c r="AP8209" s="9">
        <v>3.0576039325707942</v>
      </c>
    </row>
    <row r="8210" spans="40:42" x14ac:dyDescent="0.3">
      <c r="AN8210">
        <v>8206</v>
      </c>
      <c r="AO8210" s="11">
        <v>36401.22</v>
      </c>
      <c r="AP8210" s="9">
        <v>3.510689960519743</v>
      </c>
    </row>
    <row r="8211" spans="40:42" x14ac:dyDescent="0.3">
      <c r="AN8211">
        <v>8207</v>
      </c>
      <c r="AO8211" s="11">
        <v>22461.09</v>
      </c>
      <c r="AP8211" s="9">
        <v>4.1851965944430809</v>
      </c>
    </row>
    <row r="8212" spans="40:42" x14ac:dyDescent="0.3">
      <c r="AN8212">
        <v>8208</v>
      </c>
      <c r="AO8212" s="11">
        <v>35924.400000000001</v>
      </c>
      <c r="AP8212" s="9">
        <v>4.0760109038199976</v>
      </c>
    </row>
    <row r="8213" spans="40:42" x14ac:dyDescent="0.3">
      <c r="AN8213">
        <v>8209</v>
      </c>
      <c r="AO8213" s="11">
        <v>29721.279999999999</v>
      </c>
      <c r="AP8213" s="9">
        <v>3.2331651088362228</v>
      </c>
    </row>
    <row r="8214" spans="40:42" x14ac:dyDescent="0.3">
      <c r="AN8214">
        <v>8210</v>
      </c>
      <c r="AO8214" s="11">
        <v>34352.239999999998</v>
      </c>
      <c r="AP8214" s="9">
        <v>4.0404574478730941</v>
      </c>
    </row>
    <row r="8215" spans="40:42" x14ac:dyDescent="0.3">
      <c r="AN8215">
        <v>8211</v>
      </c>
      <c r="AO8215" s="11">
        <v>29230.080000000002</v>
      </c>
      <c r="AP8215" s="9">
        <v>3.2298594933474551</v>
      </c>
    </row>
    <row r="8216" spans="40:42" x14ac:dyDescent="0.3">
      <c r="AN8216">
        <v>8212</v>
      </c>
      <c r="AO8216" s="11">
        <v>26828.32</v>
      </c>
      <c r="AP8216" s="9">
        <v>3.7239059884372092</v>
      </c>
    </row>
    <row r="8217" spans="40:42" x14ac:dyDescent="0.3">
      <c r="AN8217">
        <v>8213</v>
      </c>
      <c r="AO8217" s="11">
        <v>18456.759999999998</v>
      </c>
      <c r="AP8217" s="9">
        <v>2.7400800981557536</v>
      </c>
    </row>
    <row r="8218" spans="40:42" x14ac:dyDescent="0.3">
      <c r="AN8218">
        <v>8214</v>
      </c>
      <c r="AO8218" s="11">
        <v>34659.83</v>
      </c>
      <c r="AP8218" s="9">
        <v>2.9377750259018995</v>
      </c>
    </row>
    <row r="8219" spans="40:42" x14ac:dyDescent="0.3">
      <c r="AN8219">
        <v>8215</v>
      </c>
      <c r="AO8219" s="11">
        <v>24760.31</v>
      </c>
      <c r="AP8219" s="9">
        <v>3.1490287355353943</v>
      </c>
    </row>
    <row r="8220" spans="40:42" x14ac:dyDescent="0.3">
      <c r="AN8220">
        <v>8216</v>
      </c>
      <c r="AO8220" s="11">
        <v>20427.63</v>
      </c>
      <c r="AP8220" s="9">
        <v>3.1901948410527532</v>
      </c>
    </row>
    <row r="8221" spans="40:42" x14ac:dyDescent="0.3">
      <c r="AN8221">
        <v>8217</v>
      </c>
      <c r="AO8221" s="11">
        <v>13158.15</v>
      </c>
      <c r="AP8221" s="9">
        <v>2.7264857457961162</v>
      </c>
    </row>
    <row r="8222" spans="40:42" x14ac:dyDescent="0.3">
      <c r="AN8222">
        <v>8218</v>
      </c>
      <c r="AO8222" s="11">
        <v>12952.4</v>
      </c>
      <c r="AP8222" s="9">
        <v>3.1512790588829724</v>
      </c>
    </row>
    <row r="8223" spans="40:42" x14ac:dyDescent="0.3">
      <c r="AN8223">
        <v>8219</v>
      </c>
      <c r="AO8223" s="11">
        <v>28611.119999999999</v>
      </c>
      <c r="AP8223" s="9">
        <v>3.8723790333830355</v>
      </c>
    </row>
    <row r="8224" spans="40:42" x14ac:dyDescent="0.3">
      <c r="AN8224">
        <v>8220</v>
      </c>
      <c r="AO8224" s="11">
        <v>32382.85</v>
      </c>
      <c r="AP8224" s="9">
        <v>3.1944065975454548</v>
      </c>
    </row>
    <row r="8225" spans="40:42" x14ac:dyDescent="0.3">
      <c r="AN8225">
        <v>8221</v>
      </c>
      <c r="AO8225" s="11">
        <v>24277.05</v>
      </c>
      <c r="AP8225" s="9">
        <v>3.3113610455524887</v>
      </c>
    </row>
    <row r="8226" spans="40:42" x14ac:dyDescent="0.3">
      <c r="AN8226">
        <v>8222</v>
      </c>
      <c r="AO8226" s="11">
        <v>19237.71</v>
      </c>
      <c r="AP8226" s="9">
        <v>3.2378628065417359</v>
      </c>
    </row>
    <row r="8227" spans="40:42" x14ac:dyDescent="0.3">
      <c r="AN8227">
        <v>8223</v>
      </c>
      <c r="AO8227" s="11">
        <v>22928.09</v>
      </c>
      <c r="AP8227" s="9">
        <v>3.5745142786189867</v>
      </c>
    </row>
    <row r="8228" spans="40:42" x14ac:dyDescent="0.3">
      <c r="AN8228">
        <v>8224</v>
      </c>
      <c r="AO8228" s="11">
        <v>19746.5</v>
      </c>
      <c r="AP8228" s="9">
        <v>3.3828837190988423</v>
      </c>
    </row>
    <row r="8229" spans="40:42" x14ac:dyDescent="0.3">
      <c r="AN8229">
        <v>8225</v>
      </c>
      <c r="AO8229" s="11">
        <v>19812.759999999998</v>
      </c>
      <c r="AP8229" s="9">
        <v>2.9177909302025169</v>
      </c>
    </row>
    <row r="8230" spans="40:42" x14ac:dyDescent="0.3">
      <c r="AN8230">
        <v>8226</v>
      </c>
      <c r="AO8230" s="11">
        <v>23548.09</v>
      </c>
      <c r="AP8230" s="9">
        <v>3.2689983441992365</v>
      </c>
    </row>
    <row r="8231" spans="40:42" x14ac:dyDescent="0.3">
      <c r="AN8231">
        <v>8227</v>
      </c>
      <c r="AO8231" s="11">
        <v>29562.94</v>
      </c>
      <c r="AP8231" s="9">
        <v>3.0788567163991081</v>
      </c>
    </row>
    <row r="8232" spans="40:42" x14ac:dyDescent="0.3">
      <c r="AN8232">
        <v>8228</v>
      </c>
      <c r="AO8232" s="11">
        <v>20463.169999999998</v>
      </c>
      <c r="AP8232" s="9">
        <v>3.1770595420000549</v>
      </c>
    </row>
    <row r="8233" spans="40:42" x14ac:dyDescent="0.3">
      <c r="AN8233">
        <v>8229</v>
      </c>
      <c r="AO8233" s="11">
        <v>18099.25</v>
      </c>
      <c r="AP8233" s="9">
        <v>3.380512177936378</v>
      </c>
    </row>
    <row r="8234" spans="40:42" x14ac:dyDescent="0.3">
      <c r="AN8234">
        <v>8230</v>
      </c>
      <c r="AO8234" s="11">
        <v>31485.599999999999</v>
      </c>
      <c r="AP8234" s="9">
        <v>3.9339989399938249</v>
      </c>
    </row>
    <row r="8235" spans="40:42" x14ac:dyDescent="0.3">
      <c r="AN8235">
        <v>8231</v>
      </c>
      <c r="AO8235" s="11">
        <v>32439.62</v>
      </c>
      <c r="AP8235" s="9">
        <v>3.6850400865744248</v>
      </c>
    </row>
    <row r="8236" spans="40:42" x14ac:dyDescent="0.3">
      <c r="AN8236">
        <v>8232</v>
      </c>
      <c r="AO8236" s="11">
        <v>24909.68</v>
      </c>
      <c r="AP8236" s="9">
        <v>3.1351019817134249</v>
      </c>
    </row>
    <row r="8237" spans="40:42" x14ac:dyDescent="0.3">
      <c r="AN8237">
        <v>8233</v>
      </c>
      <c r="AO8237" s="11">
        <v>23081.17</v>
      </c>
      <c r="AP8237" s="9">
        <v>3.2424233230707111</v>
      </c>
    </row>
    <row r="8238" spans="40:42" x14ac:dyDescent="0.3">
      <c r="AN8238">
        <v>8234</v>
      </c>
      <c r="AO8238" s="11">
        <v>26775.03</v>
      </c>
      <c r="AP8238" s="9">
        <v>3.2293010047831481</v>
      </c>
    </row>
    <row r="8239" spans="40:42" x14ac:dyDescent="0.3">
      <c r="AN8239">
        <v>8235</v>
      </c>
      <c r="AO8239" s="11">
        <v>23347.81</v>
      </c>
      <c r="AP8239" s="9">
        <v>3.576778312347328</v>
      </c>
    </row>
    <row r="8240" spans="40:42" x14ac:dyDescent="0.3">
      <c r="AN8240">
        <v>8236</v>
      </c>
      <c r="AO8240" s="11">
        <v>24300.79</v>
      </c>
      <c r="AP8240" s="9">
        <v>3.2384860983243549</v>
      </c>
    </row>
    <row r="8241" spans="40:42" x14ac:dyDescent="0.3">
      <c r="AN8241">
        <v>8237</v>
      </c>
      <c r="AO8241" s="11">
        <v>21478.13</v>
      </c>
      <c r="AP8241" s="9">
        <v>3.2099306845163325</v>
      </c>
    </row>
    <row r="8242" spans="40:42" x14ac:dyDescent="0.3">
      <c r="AN8242">
        <v>8238</v>
      </c>
      <c r="AO8242" s="11">
        <v>25767.31</v>
      </c>
      <c r="AP8242" s="9">
        <v>3.1866186579475939</v>
      </c>
    </row>
    <row r="8243" spans="40:42" x14ac:dyDescent="0.3">
      <c r="AN8243">
        <v>8239</v>
      </c>
      <c r="AO8243" s="11">
        <v>25359.86</v>
      </c>
      <c r="AP8243" s="9">
        <v>3.2478177579842877</v>
      </c>
    </row>
    <row r="8244" spans="40:42" x14ac:dyDescent="0.3">
      <c r="AN8244">
        <v>8240</v>
      </c>
      <c r="AO8244" s="11">
        <v>34577.839999999997</v>
      </c>
      <c r="AP8244" s="9">
        <v>4.3590265331973779</v>
      </c>
    </row>
    <row r="8245" spans="40:42" x14ac:dyDescent="0.3">
      <c r="AN8245">
        <v>8241</v>
      </c>
      <c r="AO8245" s="11">
        <v>35198.36</v>
      </c>
      <c r="AP8245" s="9">
        <v>2.9784575317932749</v>
      </c>
    </row>
    <row r="8246" spans="40:42" x14ac:dyDescent="0.3">
      <c r="AN8246">
        <v>8242</v>
      </c>
      <c r="AO8246" s="11">
        <v>32095.96</v>
      </c>
      <c r="AP8246" s="9">
        <v>2.9367921895806068</v>
      </c>
    </row>
    <row r="8247" spans="40:42" x14ac:dyDescent="0.3">
      <c r="AN8247">
        <v>8243</v>
      </c>
      <c r="AO8247" s="11">
        <v>15205.38</v>
      </c>
      <c r="AP8247" s="9">
        <v>3.0852976854210392</v>
      </c>
    </row>
    <row r="8248" spans="40:42" x14ac:dyDescent="0.3">
      <c r="AN8248">
        <v>8244</v>
      </c>
      <c r="AO8248" s="11">
        <v>26234.93</v>
      </c>
      <c r="AP8248" s="9">
        <v>2.8643773002621544</v>
      </c>
    </row>
    <row r="8249" spans="40:42" x14ac:dyDescent="0.3">
      <c r="AN8249">
        <v>8245</v>
      </c>
      <c r="AO8249" s="11">
        <v>23251.16</v>
      </c>
      <c r="AP8249" s="9">
        <v>3.4853235321238318</v>
      </c>
    </row>
    <row r="8250" spans="40:42" x14ac:dyDescent="0.3">
      <c r="AN8250">
        <v>8246</v>
      </c>
      <c r="AO8250" s="11">
        <v>18994.45</v>
      </c>
      <c r="AP8250" s="9">
        <v>3.347014408610606</v>
      </c>
    </row>
    <row r="8251" spans="40:42" x14ac:dyDescent="0.3">
      <c r="AN8251">
        <v>8247</v>
      </c>
      <c r="AO8251" s="11">
        <v>26449.88</v>
      </c>
      <c r="AP8251" s="9">
        <v>3.0610368594918302</v>
      </c>
    </row>
    <row r="8252" spans="40:42" x14ac:dyDescent="0.3">
      <c r="AN8252">
        <v>8248</v>
      </c>
      <c r="AO8252" s="11">
        <v>27981.73</v>
      </c>
      <c r="AP8252" s="9">
        <v>3.3574570622988964</v>
      </c>
    </row>
    <row r="8253" spans="40:42" x14ac:dyDescent="0.3">
      <c r="AN8253">
        <v>8249</v>
      </c>
      <c r="AO8253" s="11">
        <v>19156.41</v>
      </c>
      <c r="AP8253" s="9">
        <v>2.872762126164385</v>
      </c>
    </row>
    <row r="8254" spans="40:42" x14ac:dyDescent="0.3">
      <c r="AN8254">
        <v>8250</v>
      </c>
      <c r="AO8254" s="11">
        <v>37676.660000000003</v>
      </c>
      <c r="AP8254" s="9">
        <v>3.417564407647649</v>
      </c>
    </row>
    <row r="8255" spans="40:42" x14ac:dyDescent="0.3">
      <c r="AN8255">
        <v>8251</v>
      </c>
      <c r="AO8255" s="11">
        <v>28671.94</v>
      </c>
      <c r="AP8255" s="9">
        <v>2.7056289786612053</v>
      </c>
    </row>
    <row r="8256" spans="40:42" x14ac:dyDescent="0.3">
      <c r="AN8256">
        <v>8252</v>
      </c>
      <c r="AO8256" s="11">
        <v>30223.8</v>
      </c>
      <c r="AP8256" s="9">
        <v>3.1506865376246105</v>
      </c>
    </row>
    <row r="8257" spans="40:42" x14ac:dyDescent="0.3">
      <c r="AN8257">
        <v>8253</v>
      </c>
      <c r="AO8257" s="11">
        <v>47503.23</v>
      </c>
      <c r="AP8257" s="9">
        <v>3.9844013233679663</v>
      </c>
    </row>
    <row r="8258" spans="40:42" x14ac:dyDescent="0.3">
      <c r="AN8258">
        <v>8254</v>
      </c>
      <c r="AO8258" s="11">
        <v>24319.59</v>
      </c>
      <c r="AP8258" s="9">
        <v>3.2032509538747065</v>
      </c>
    </row>
    <row r="8259" spans="40:42" x14ac:dyDescent="0.3">
      <c r="AN8259">
        <v>8255</v>
      </c>
      <c r="AO8259" s="11">
        <v>30393.42</v>
      </c>
      <c r="AP8259" s="9">
        <v>3.9466018103653058</v>
      </c>
    </row>
    <row r="8260" spans="40:42" x14ac:dyDescent="0.3">
      <c r="AN8260">
        <v>8256</v>
      </c>
      <c r="AO8260" s="11">
        <v>18351.54</v>
      </c>
      <c r="AP8260" s="9">
        <v>3.2205693007438252</v>
      </c>
    </row>
    <row r="8261" spans="40:42" x14ac:dyDescent="0.3">
      <c r="AN8261">
        <v>8257</v>
      </c>
      <c r="AO8261" s="11">
        <v>17734.060000000001</v>
      </c>
      <c r="AP8261" s="9">
        <v>2.7324989241634552</v>
      </c>
    </row>
    <row r="8262" spans="40:42" x14ac:dyDescent="0.3">
      <c r="AN8262">
        <v>8258</v>
      </c>
      <c r="AO8262" s="11">
        <v>20672.009999999998</v>
      </c>
      <c r="AP8262" s="9">
        <v>3.5408336072260336</v>
      </c>
    </row>
    <row r="8263" spans="40:42" x14ac:dyDescent="0.3">
      <c r="AN8263">
        <v>8259</v>
      </c>
      <c r="AO8263" s="11">
        <v>26077.56</v>
      </c>
      <c r="AP8263" s="9">
        <v>3.5726214054724639</v>
      </c>
    </row>
    <row r="8264" spans="40:42" x14ac:dyDescent="0.3">
      <c r="AN8264">
        <v>8260</v>
      </c>
      <c r="AO8264" s="11">
        <v>32544.6</v>
      </c>
      <c r="AP8264" s="9">
        <v>3.0613271108409781</v>
      </c>
    </row>
    <row r="8265" spans="40:42" x14ac:dyDescent="0.3">
      <c r="AN8265">
        <v>8261</v>
      </c>
      <c r="AO8265" s="11">
        <v>21590.71</v>
      </c>
      <c r="AP8265" s="9">
        <v>3.5071863440044315</v>
      </c>
    </row>
    <row r="8266" spans="40:42" x14ac:dyDescent="0.3">
      <c r="AN8266">
        <v>8262</v>
      </c>
      <c r="AO8266" s="11">
        <v>36355.050000000003</v>
      </c>
      <c r="AP8266" s="9">
        <v>3.368156417101424</v>
      </c>
    </row>
    <row r="8267" spans="40:42" x14ac:dyDescent="0.3">
      <c r="AN8267">
        <v>8263</v>
      </c>
      <c r="AO8267" s="11">
        <v>28242.22</v>
      </c>
      <c r="AP8267" s="9">
        <v>3.2575916881162708</v>
      </c>
    </row>
    <row r="8268" spans="40:42" x14ac:dyDescent="0.3">
      <c r="AN8268">
        <v>8264</v>
      </c>
      <c r="AO8268" s="11">
        <v>28611.97</v>
      </c>
      <c r="AP8268" s="9">
        <v>3.5015234037380982</v>
      </c>
    </row>
    <row r="8269" spans="40:42" x14ac:dyDescent="0.3">
      <c r="AN8269">
        <v>8265</v>
      </c>
      <c r="AO8269" s="11">
        <v>18911.2</v>
      </c>
      <c r="AP8269" s="9">
        <v>3.5457023782069319</v>
      </c>
    </row>
    <row r="8270" spans="40:42" x14ac:dyDescent="0.3">
      <c r="AN8270">
        <v>8266</v>
      </c>
      <c r="AO8270" s="11">
        <v>18352.28</v>
      </c>
      <c r="AP8270" s="9">
        <v>3.0987755694258179</v>
      </c>
    </row>
    <row r="8271" spans="40:42" x14ac:dyDescent="0.3">
      <c r="AN8271">
        <v>8267</v>
      </c>
      <c r="AO8271" s="11">
        <v>30665.53</v>
      </c>
      <c r="AP8271" s="9">
        <v>3.7262393056016432</v>
      </c>
    </row>
    <row r="8272" spans="40:42" x14ac:dyDescent="0.3">
      <c r="AN8272">
        <v>8268</v>
      </c>
      <c r="AO8272" s="11">
        <v>27557.38</v>
      </c>
      <c r="AP8272" s="9">
        <v>3.3011109387498352</v>
      </c>
    </row>
    <row r="8273" spans="40:42" x14ac:dyDescent="0.3">
      <c r="AN8273">
        <v>8269</v>
      </c>
      <c r="AO8273" s="11">
        <v>36121.25</v>
      </c>
      <c r="AP8273" s="9">
        <v>3.6733667148893696</v>
      </c>
    </row>
    <row r="8274" spans="40:42" x14ac:dyDescent="0.3">
      <c r="AN8274">
        <v>8270</v>
      </c>
      <c r="AO8274" s="11">
        <v>21798.05</v>
      </c>
      <c r="AP8274" s="9">
        <v>3.4699052718991958</v>
      </c>
    </row>
    <row r="8275" spans="40:42" x14ac:dyDescent="0.3">
      <c r="AN8275">
        <v>8271</v>
      </c>
      <c r="AO8275" s="11">
        <v>19841.990000000002</v>
      </c>
      <c r="AP8275" s="9">
        <v>3.0258981490506529</v>
      </c>
    </row>
    <row r="8276" spans="40:42" x14ac:dyDescent="0.3">
      <c r="AN8276">
        <v>8272</v>
      </c>
      <c r="AO8276" s="11">
        <v>32899.22</v>
      </c>
      <c r="AP8276" s="9">
        <v>4.4994122736771898</v>
      </c>
    </row>
    <row r="8277" spans="40:42" x14ac:dyDescent="0.3">
      <c r="AN8277">
        <v>8273</v>
      </c>
      <c r="AO8277" s="11">
        <v>39432.800000000003</v>
      </c>
      <c r="AP8277" s="9">
        <v>3.4434380345215185</v>
      </c>
    </row>
    <row r="8278" spans="40:42" x14ac:dyDescent="0.3">
      <c r="AN8278">
        <v>8274</v>
      </c>
      <c r="AO8278" s="11">
        <v>21425.919999999998</v>
      </c>
      <c r="AP8278" s="9">
        <v>2.9585473470565011</v>
      </c>
    </row>
    <row r="8279" spans="40:42" x14ac:dyDescent="0.3">
      <c r="AN8279">
        <v>8275</v>
      </c>
      <c r="AO8279" s="11">
        <v>28135.439999999999</v>
      </c>
      <c r="AP8279" s="9">
        <v>3.1834388686614101</v>
      </c>
    </row>
    <row r="8280" spans="40:42" x14ac:dyDescent="0.3">
      <c r="AN8280">
        <v>8276</v>
      </c>
      <c r="AO8280" s="11">
        <v>26898.46</v>
      </c>
      <c r="AP8280" s="9">
        <v>3.4396640931609213</v>
      </c>
    </row>
    <row r="8281" spans="40:42" x14ac:dyDescent="0.3">
      <c r="AN8281">
        <v>8277</v>
      </c>
      <c r="AO8281" s="11">
        <v>34140.199999999997</v>
      </c>
      <c r="AP8281" s="9">
        <v>3.4935391456335418</v>
      </c>
    </row>
    <row r="8282" spans="40:42" x14ac:dyDescent="0.3">
      <c r="AN8282">
        <v>8278</v>
      </c>
      <c r="AO8282" s="11">
        <v>29240.77</v>
      </c>
      <c r="AP8282" s="9">
        <v>3.0551553681532506</v>
      </c>
    </row>
    <row r="8283" spans="40:42" x14ac:dyDescent="0.3">
      <c r="AN8283">
        <v>8279</v>
      </c>
      <c r="AO8283" s="11">
        <v>33698.480000000003</v>
      </c>
      <c r="AP8283" s="9">
        <v>3.3923587836397853</v>
      </c>
    </row>
    <row r="8284" spans="40:42" x14ac:dyDescent="0.3">
      <c r="AN8284">
        <v>8280</v>
      </c>
      <c r="AO8284" s="11">
        <v>33911.83</v>
      </c>
      <c r="AP8284" s="9">
        <v>3.4065790229683026</v>
      </c>
    </row>
    <row r="8285" spans="40:42" x14ac:dyDescent="0.3">
      <c r="AN8285">
        <v>8281</v>
      </c>
      <c r="AO8285" s="11">
        <v>23058.5</v>
      </c>
      <c r="AP8285" s="9">
        <v>3.200799135583329</v>
      </c>
    </row>
    <row r="8286" spans="40:42" x14ac:dyDescent="0.3">
      <c r="AN8286">
        <v>8282</v>
      </c>
      <c r="AO8286" s="11">
        <v>29404.18</v>
      </c>
      <c r="AP8286" s="9">
        <v>3.9698555631306904</v>
      </c>
    </row>
    <row r="8287" spans="40:42" x14ac:dyDescent="0.3">
      <c r="AN8287">
        <v>8283</v>
      </c>
      <c r="AO8287" s="11">
        <v>22139.75</v>
      </c>
      <c r="AP8287" s="9">
        <v>3.3153909253034066</v>
      </c>
    </row>
    <row r="8288" spans="40:42" x14ac:dyDescent="0.3">
      <c r="AN8288">
        <v>8284</v>
      </c>
      <c r="AO8288" s="11">
        <v>34312.44</v>
      </c>
      <c r="AP8288" s="9">
        <v>2.9799245076883754</v>
      </c>
    </row>
    <row r="8289" spans="40:42" x14ac:dyDescent="0.3">
      <c r="AN8289">
        <v>8285</v>
      </c>
      <c r="AO8289" s="11">
        <v>26769.56</v>
      </c>
      <c r="AP8289" s="9">
        <v>2.8916086493864022</v>
      </c>
    </row>
    <row r="8290" spans="40:42" x14ac:dyDescent="0.3">
      <c r="AN8290">
        <v>8286</v>
      </c>
      <c r="AO8290" s="11">
        <v>18203.93</v>
      </c>
      <c r="AP8290" s="9">
        <v>2.8770126235437918</v>
      </c>
    </row>
    <row r="8291" spans="40:42" x14ac:dyDescent="0.3">
      <c r="AN8291">
        <v>8287</v>
      </c>
      <c r="AO8291" s="11">
        <v>26046.85</v>
      </c>
      <c r="AP8291" s="9">
        <v>3.2509573175785453</v>
      </c>
    </row>
    <row r="8292" spans="40:42" x14ac:dyDescent="0.3">
      <c r="AN8292">
        <v>8288</v>
      </c>
      <c r="AO8292" s="11">
        <v>27788.9</v>
      </c>
      <c r="AP8292" s="9">
        <v>4.0623251353558034</v>
      </c>
    </row>
    <row r="8293" spans="40:42" x14ac:dyDescent="0.3">
      <c r="AN8293">
        <v>8289</v>
      </c>
      <c r="AO8293" s="11">
        <v>22884.5</v>
      </c>
      <c r="AP8293" s="9">
        <v>4.0158928136975351</v>
      </c>
    </row>
    <row r="8294" spans="40:42" x14ac:dyDescent="0.3">
      <c r="AN8294">
        <v>8290</v>
      </c>
      <c r="AO8294" s="11">
        <v>21038.04</v>
      </c>
      <c r="AP8294" s="9">
        <v>3.2271753069873617</v>
      </c>
    </row>
    <row r="8295" spans="40:42" x14ac:dyDescent="0.3">
      <c r="AN8295">
        <v>8291</v>
      </c>
      <c r="AO8295" s="11">
        <v>18660.05</v>
      </c>
      <c r="AP8295" s="9">
        <v>3.5217921505935936</v>
      </c>
    </row>
    <row r="8296" spans="40:42" x14ac:dyDescent="0.3">
      <c r="AN8296">
        <v>8292</v>
      </c>
      <c r="AO8296" s="11">
        <v>20343.7</v>
      </c>
      <c r="AP8296" s="9">
        <v>3.5931775391670522</v>
      </c>
    </row>
    <row r="8297" spans="40:42" x14ac:dyDescent="0.3">
      <c r="AN8297">
        <v>8293</v>
      </c>
      <c r="AO8297" s="11">
        <v>29935.07</v>
      </c>
      <c r="AP8297" s="9">
        <v>3.6960270831585769</v>
      </c>
    </row>
    <row r="8298" spans="40:42" x14ac:dyDescent="0.3">
      <c r="AN8298">
        <v>8294</v>
      </c>
      <c r="AO8298" s="11">
        <v>22196.97</v>
      </c>
      <c r="AP8298" s="9">
        <v>3.0915693367567609</v>
      </c>
    </row>
    <row r="8299" spans="40:42" x14ac:dyDescent="0.3">
      <c r="AN8299">
        <v>8295</v>
      </c>
      <c r="AO8299" s="11">
        <v>35689.440000000002</v>
      </c>
      <c r="AP8299" s="9">
        <v>3.0152710132034186</v>
      </c>
    </row>
    <row r="8300" spans="40:42" x14ac:dyDescent="0.3">
      <c r="AN8300">
        <v>8296</v>
      </c>
      <c r="AO8300" s="11">
        <v>20142.349999999999</v>
      </c>
      <c r="AP8300" s="9">
        <v>3.8467864906770521</v>
      </c>
    </row>
    <row r="8301" spans="40:42" x14ac:dyDescent="0.3">
      <c r="AN8301">
        <v>8297</v>
      </c>
      <c r="AO8301" s="11">
        <v>28482.34</v>
      </c>
      <c r="AP8301" s="9">
        <v>3.6849326018443596</v>
      </c>
    </row>
    <row r="8302" spans="40:42" x14ac:dyDescent="0.3">
      <c r="AN8302">
        <v>8298</v>
      </c>
      <c r="AO8302" s="11">
        <v>37297.58</v>
      </c>
      <c r="AP8302" s="9">
        <v>3.667832948815354</v>
      </c>
    </row>
    <row r="8303" spans="40:42" x14ac:dyDescent="0.3">
      <c r="AN8303">
        <v>8299</v>
      </c>
      <c r="AO8303" s="11">
        <v>23634.36</v>
      </c>
      <c r="AP8303" s="9">
        <v>3.0639580407049496</v>
      </c>
    </row>
    <row r="8304" spans="40:42" x14ac:dyDescent="0.3">
      <c r="AN8304">
        <v>8300</v>
      </c>
      <c r="AO8304" s="11">
        <v>17821.3</v>
      </c>
      <c r="AP8304" s="9">
        <v>3.0114280310819646</v>
      </c>
    </row>
    <row r="8305" spans="40:42" x14ac:dyDescent="0.3">
      <c r="AN8305">
        <v>8301</v>
      </c>
      <c r="AO8305" s="11">
        <v>19441.060000000001</v>
      </c>
      <c r="AP8305" s="9">
        <v>2.7355887056056187</v>
      </c>
    </row>
    <row r="8306" spans="40:42" x14ac:dyDescent="0.3">
      <c r="AN8306">
        <v>8302</v>
      </c>
      <c r="AO8306" s="11">
        <v>23020.9</v>
      </c>
      <c r="AP8306" s="9">
        <v>3.4145811500902532</v>
      </c>
    </row>
    <row r="8307" spans="40:42" x14ac:dyDescent="0.3">
      <c r="AN8307">
        <v>8303</v>
      </c>
      <c r="AO8307" s="11">
        <v>37787.9</v>
      </c>
      <c r="AP8307" s="9">
        <v>3.6939790227417495</v>
      </c>
    </row>
    <row r="8308" spans="40:42" x14ac:dyDescent="0.3">
      <c r="AN8308">
        <v>8304</v>
      </c>
      <c r="AO8308" s="11">
        <v>30115.71</v>
      </c>
      <c r="AP8308" s="9">
        <v>3.1898152554691555</v>
      </c>
    </row>
    <row r="8309" spans="40:42" x14ac:dyDescent="0.3">
      <c r="AN8309">
        <v>8305</v>
      </c>
      <c r="AO8309" s="11">
        <v>32360.1</v>
      </c>
      <c r="AP8309" s="9">
        <v>2.8951028579852465</v>
      </c>
    </row>
    <row r="8310" spans="40:42" x14ac:dyDescent="0.3">
      <c r="AN8310">
        <v>8306</v>
      </c>
      <c r="AO8310" s="11">
        <v>33609.79</v>
      </c>
      <c r="AP8310" s="9">
        <v>3.7364632756588638</v>
      </c>
    </row>
    <row r="8311" spans="40:42" x14ac:dyDescent="0.3">
      <c r="AN8311">
        <v>8307</v>
      </c>
      <c r="AO8311" s="11">
        <v>29365.09</v>
      </c>
      <c r="AP8311" s="9">
        <v>3.4146226134244682</v>
      </c>
    </row>
    <row r="8312" spans="40:42" x14ac:dyDescent="0.3">
      <c r="AN8312">
        <v>8308</v>
      </c>
      <c r="AO8312" s="11">
        <v>21916.09</v>
      </c>
      <c r="AP8312" s="9">
        <v>2.9447690453938966</v>
      </c>
    </row>
    <row r="8313" spans="40:42" x14ac:dyDescent="0.3">
      <c r="AN8313">
        <v>8309</v>
      </c>
      <c r="AO8313" s="11">
        <v>18523.900000000001</v>
      </c>
      <c r="AP8313" s="9">
        <v>3.5736996207811704</v>
      </c>
    </row>
    <row r="8314" spans="40:42" x14ac:dyDescent="0.3">
      <c r="AN8314">
        <v>8310</v>
      </c>
      <c r="AO8314" s="11">
        <v>15916.88</v>
      </c>
      <c r="AP8314" s="9">
        <v>3.2026084377254911</v>
      </c>
    </row>
    <row r="8315" spans="40:42" x14ac:dyDescent="0.3">
      <c r="AN8315">
        <v>8311</v>
      </c>
      <c r="AO8315" s="11">
        <v>23517.06</v>
      </c>
      <c r="AP8315" s="9">
        <v>3.4093532986917054</v>
      </c>
    </row>
    <row r="8316" spans="40:42" x14ac:dyDescent="0.3">
      <c r="AN8316">
        <v>8312</v>
      </c>
      <c r="AO8316" s="11">
        <v>19473.32</v>
      </c>
      <c r="AP8316" s="9">
        <v>3.2507417560421104</v>
      </c>
    </row>
    <row r="8317" spans="40:42" x14ac:dyDescent="0.3">
      <c r="AN8317">
        <v>8313</v>
      </c>
      <c r="AO8317" s="11">
        <v>25055.07</v>
      </c>
      <c r="AP8317" s="9">
        <v>3.0899253236598359</v>
      </c>
    </row>
    <row r="8318" spans="40:42" x14ac:dyDescent="0.3">
      <c r="AN8318">
        <v>8314</v>
      </c>
      <c r="AO8318" s="11">
        <v>19451.77</v>
      </c>
      <c r="AP8318" s="9">
        <v>3.1500019217527284</v>
      </c>
    </row>
    <row r="8319" spans="40:42" x14ac:dyDescent="0.3">
      <c r="AN8319">
        <v>8315</v>
      </c>
      <c r="AO8319" s="11">
        <v>51819.44</v>
      </c>
      <c r="AP8319" s="9">
        <v>4.1342300702536487</v>
      </c>
    </row>
    <row r="8320" spans="40:42" x14ac:dyDescent="0.3">
      <c r="AN8320">
        <v>8316</v>
      </c>
      <c r="AO8320" s="11">
        <v>29752.16</v>
      </c>
      <c r="AP8320" s="9">
        <v>3.3747573195727161</v>
      </c>
    </row>
    <row r="8321" spans="40:42" x14ac:dyDescent="0.3">
      <c r="AN8321">
        <v>8317</v>
      </c>
      <c r="AO8321" s="11">
        <v>27624.66</v>
      </c>
      <c r="AP8321" s="9">
        <v>3.557969373219795</v>
      </c>
    </row>
    <row r="8322" spans="40:42" x14ac:dyDescent="0.3">
      <c r="AN8322">
        <v>8318</v>
      </c>
      <c r="AO8322" s="11">
        <v>25014.9</v>
      </c>
      <c r="AP8322" s="9">
        <v>3.0883013959329539</v>
      </c>
    </row>
    <row r="8323" spans="40:42" x14ac:dyDescent="0.3">
      <c r="AN8323">
        <v>8319</v>
      </c>
      <c r="AO8323" s="11">
        <v>16139.12</v>
      </c>
      <c r="AP8323" s="9">
        <v>3.4485055576548307</v>
      </c>
    </row>
    <row r="8324" spans="40:42" x14ac:dyDescent="0.3">
      <c r="AN8324">
        <v>8320</v>
      </c>
      <c r="AO8324" s="11">
        <v>35703.230000000003</v>
      </c>
      <c r="AP8324" s="9">
        <v>3.5805148229062755</v>
      </c>
    </row>
    <row r="8325" spans="40:42" x14ac:dyDescent="0.3">
      <c r="AN8325">
        <v>8321</v>
      </c>
      <c r="AO8325" s="11">
        <v>19727.39</v>
      </c>
      <c r="AP8325" s="9">
        <v>3.1947280647390977</v>
      </c>
    </row>
    <row r="8326" spans="40:42" x14ac:dyDescent="0.3">
      <c r="AN8326">
        <v>8322</v>
      </c>
      <c r="AO8326" s="11">
        <v>23058.83</v>
      </c>
      <c r="AP8326" s="9">
        <v>3.7932724337862296</v>
      </c>
    </row>
    <row r="8327" spans="40:42" x14ac:dyDescent="0.3">
      <c r="AN8327">
        <v>8323</v>
      </c>
      <c r="AO8327" s="11">
        <v>20586.560000000001</v>
      </c>
      <c r="AP8327" s="9">
        <v>3.0766977873416304</v>
      </c>
    </row>
    <row r="8328" spans="40:42" x14ac:dyDescent="0.3">
      <c r="AN8328">
        <v>8324</v>
      </c>
      <c r="AO8328" s="11">
        <v>19834.11</v>
      </c>
      <c r="AP8328" s="9">
        <v>3.3363196113045297</v>
      </c>
    </row>
    <row r="8329" spans="40:42" x14ac:dyDescent="0.3">
      <c r="AN8329">
        <v>8325</v>
      </c>
      <c r="AO8329" s="11">
        <v>49568.27</v>
      </c>
      <c r="AP8329" s="9">
        <v>4.379669462564137</v>
      </c>
    </row>
    <row r="8330" spans="40:42" x14ac:dyDescent="0.3">
      <c r="AN8330">
        <v>8326</v>
      </c>
      <c r="AO8330" s="11">
        <v>29390.03</v>
      </c>
      <c r="AP8330" s="9">
        <v>3.2794901478253085</v>
      </c>
    </row>
    <row r="8331" spans="40:42" x14ac:dyDescent="0.3">
      <c r="AN8331">
        <v>8327</v>
      </c>
      <c r="AO8331" s="11">
        <v>46298.96</v>
      </c>
      <c r="AP8331" s="9">
        <v>3.2733697377104245</v>
      </c>
    </row>
    <row r="8332" spans="40:42" x14ac:dyDescent="0.3">
      <c r="AN8332">
        <v>8328</v>
      </c>
      <c r="AO8332" s="11">
        <v>21801.96</v>
      </c>
      <c r="AP8332" s="9">
        <v>3.441904616452669</v>
      </c>
    </row>
    <row r="8333" spans="40:42" x14ac:dyDescent="0.3">
      <c r="AN8333">
        <v>8329</v>
      </c>
      <c r="AO8333" s="11">
        <v>26284.52</v>
      </c>
      <c r="AP8333" s="9">
        <v>4.32439315327768</v>
      </c>
    </row>
    <row r="8334" spans="40:42" x14ac:dyDescent="0.3">
      <c r="AN8334">
        <v>8330</v>
      </c>
      <c r="AO8334" s="11">
        <v>33124.339999999997</v>
      </c>
      <c r="AP8334" s="9">
        <v>3.700842432135802</v>
      </c>
    </row>
    <row r="8335" spans="40:42" x14ac:dyDescent="0.3">
      <c r="AN8335">
        <v>8331</v>
      </c>
      <c r="AO8335" s="11">
        <v>21417.46</v>
      </c>
      <c r="AP8335" s="9">
        <v>3.8080384192251935</v>
      </c>
    </row>
    <row r="8336" spans="40:42" x14ac:dyDescent="0.3">
      <c r="AN8336">
        <v>8332</v>
      </c>
      <c r="AO8336" s="11">
        <v>20084.810000000001</v>
      </c>
      <c r="AP8336" s="9">
        <v>3.0451698438758195</v>
      </c>
    </row>
    <row r="8337" spans="40:42" x14ac:dyDescent="0.3">
      <c r="AN8337">
        <v>8333</v>
      </c>
      <c r="AO8337" s="11">
        <v>24469.439999999999</v>
      </c>
      <c r="AP8337" s="9">
        <v>2.8041719130252347</v>
      </c>
    </row>
    <row r="8338" spans="40:42" x14ac:dyDescent="0.3">
      <c r="AN8338">
        <v>8334</v>
      </c>
      <c r="AO8338" s="11">
        <v>25921.24</v>
      </c>
      <c r="AP8338" s="9">
        <v>3.2212736881517818</v>
      </c>
    </row>
    <row r="8339" spans="40:42" x14ac:dyDescent="0.3">
      <c r="AN8339">
        <v>8335</v>
      </c>
      <c r="AO8339" s="11">
        <v>35854.629999999997</v>
      </c>
      <c r="AP8339" s="9">
        <v>3.2337726953235397</v>
      </c>
    </row>
    <row r="8340" spans="40:42" x14ac:dyDescent="0.3">
      <c r="AN8340">
        <v>8336</v>
      </c>
      <c r="AO8340" s="11">
        <v>21406.51</v>
      </c>
      <c r="AP8340" s="9">
        <v>3.4428549651940257</v>
      </c>
    </row>
    <row r="8341" spans="40:42" x14ac:dyDescent="0.3">
      <c r="AN8341">
        <v>8337</v>
      </c>
      <c r="AO8341" s="11">
        <v>20047.830000000002</v>
      </c>
      <c r="AP8341" s="9">
        <v>3.977499349856787</v>
      </c>
    </row>
    <row r="8342" spans="40:42" x14ac:dyDescent="0.3">
      <c r="AN8342">
        <v>8338</v>
      </c>
      <c r="AO8342" s="11">
        <v>18372.45</v>
      </c>
      <c r="AP8342" s="9">
        <v>3.1328866826955428</v>
      </c>
    </row>
    <row r="8343" spans="40:42" x14ac:dyDescent="0.3">
      <c r="AN8343">
        <v>8339</v>
      </c>
      <c r="AO8343" s="11">
        <v>15028.54</v>
      </c>
      <c r="AP8343" s="9">
        <v>2.9624338421891956</v>
      </c>
    </row>
    <row r="8344" spans="40:42" x14ac:dyDescent="0.3">
      <c r="AN8344">
        <v>8340</v>
      </c>
      <c r="AO8344" s="11">
        <v>31061.37</v>
      </c>
      <c r="AP8344" s="9">
        <v>3.256087214096842</v>
      </c>
    </row>
    <row r="8345" spans="40:42" x14ac:dyDescent="0.3">
      <c r="AN8345">
        <v>8341</v>
      </c>
      <c r="AO8345" s="11">
        <v>33631.58</v>
      </c>
      <c r="AP8345" s="9">
        <v>3.1993930661384171</v>
      </c>
    </row>
    <row r="8346" spans="40:42" x14ac:dyDescent="0.3">
      <c r="AN8346">
        <v>8342</v>
      </c>
      <c r="AO8346" s="11">
        <v>32541.96</v>
      </c>
      <c r="AP8346" s="9">
        <v>4.2418649156914361</v>
      </c>
    </row>
    <row r="8347" spans="40:42" x14ac:dyDescent="0.3">
      <c r="AN8347">
        <v>8343</v>
      </c>
      <c r="AO8347" s="11">
        <v>23352.3</v>
      </c>
      <c r="AP8347" s="9">
        <v>2.9074527218392583</v>
      </c>
    </row>
    <row r="8348" spans="40:42" x14ac:dyDescent="0.3">
      <c r="AN8348">
        <v>8344</v>
      </c>
      <c r="AO8348" s="11">
        <v>29387.8</v>
      </c>
      <c r="AP8348" s="9">
        <v>3.7197525927321138</v>
      </c>
    </row>
    <row r="8349" spans="40:42" x14ac:dyDescent="0.3">
      <c r="AN8349">
        <v>8345</v>
      </c>
      <c r="AO8349" s="11">
        <v>26275.02</v>
      </c>
      <c r="AP8349" s="9">
        <v>3.0547893293863888</v>
      </c>
    </row>
    <row r="8350" spans="40:42" x14ac:dyDescent="0.3">
      <c r="AN8350">
        <v>8346</v>
      </c>
      <c r="AO8350" s="11">
        <v>17331.78</v>
      </c>
      <c r="AP8350" s="9">
        <v>3.4455582224932222</v>
      </c>
    </row>
    <row r="8351" spans="40:42" x14ac:dyDescent="0.3">
      <c r="AN8351">
        <v>8347</v>
      </c>
      <c r="AO8351" s="11">
        <v>25613.73</v>
      </c>
      <c r="AP8351" s="9">
        <v>3.7810864463106322</v>
      </c>
    </row>
    <row r="8352" spans="40:42" x14ac:dyDescent="0.3">
      <c r="AN8352">
        <v>8348</v>
      </c>
      <c r="AO8352" s="11">
        <v>43038.75</v>
      </c>
      <c r="AP8352" s="9">
        <v>3.8353080439817449</v>
      </c>
    </row>
    <row r="8353" spans="40:42" x14ac:dyDescent="0.3">
      <c r="AN8353">
        <v>8349</v>
      </c>
      <c r="AO8353" s="11">
        <v>51742.38</v>
      </c>
      <c r="AP8353" s="9">
        <v>3.7116910035391943</v>
      </c>
    </row>
    <row r="8354" spans="40:42" x14ac:dyDescent="0.3">
      <c r="AN8354">
        <v>8350</v>
      </c>
      <c r="AO8354" s="11">
        <v>23370.19</v>
      </c>
      <c r="AP8354" s="9">
        <v>2.9549911424004995</v>
      </c>
    </row>
    <row r="8355" spans="40:42" x14ac:dyDescent="0.3">
      <c r="AN8355">
        <v>8351</v>
      </c>
      <c r="AO8355" s="11">
        <v>45183.93</v>
      </c>
      <c r="AP8355" s="9">
        <v>3.4644919421420579</v>
      </c>
    </row>
    <row r="8356" spans="40:42" x14ac:dyDescent="0.3">
      <c r="AN8356">
        <v>8352</v>
      </c>
      <c r="AO8356" s="11">
        <v>24333</v>
      </c>
      <c r="AP8356" s="9">
        <v>3.070791893434897</v>
      </c>
    </row>
    <row r="8357" spans="40:42" x14ac:dyDescent="0.3">
      <c r="AN8357">
        <v>8353</v>
      </c>
      <c r="AO8357" s="11">
        <v>19752.439999999999</v>
      </c>
      <c r="AP8357" s="9">
        <v>3.0053141358297659</v>
      </c>
    </row>
    <row r="8358" spans="40:42" x14ac:dyDescent="0.3">
      <c r="AN8358">
        <v>8354</v>
      </c>
      <c r="AO8358" s="11">
        <v>34135.51</v>
      </c>
      <c r="AP8358" s="9">
        <v>3.5213959922789582</v>
      </c>
    </row>
    <row r="8359" spans="40:42" x14ac:dyDescent="0.3">
      <c r="AN8359">
        <v>8355</v>
      </c>
      <c r="AO8359" s="11">
        <v>49636.69</v>
      </c>
      <c r="AP8359" s="9">
        <v>3.8663461292706591</v>
      </c>
    </row>
    <row r="8360" spans="40:42" x14ac:dyDescent="0.3">
      <c r="AN8360">
        <v>8356</v>
      </c>
      <c r="AO8360" s="11">
        <v>21807.4</v>
      </c>
      <c r="AP8360" s="9">
        <v>3.0090708355678948</v>
      </c>
    </row>
    <row r="8361" spans="40:42" x14ac:dyDescent="0.3">
      <c r="AN8361">
        <v>8357</v>
      </c>
      <c r="AO8361" s="11">
        <v>25215.77</v>
      </c>
      <c r="AP8361" s="9">
        <v>2.9955774954413923</v>
      </c>
    </row>
    <row r="8362" spans="40:42" x14ac:dyDescent="0.3">
      <c r="AN8362">
        <v>8358</v>
      </c>
      <c r="AO8362" s="11">
        <v>24060.51</v>
      </c>
      <c r="AP8362" s="9">
        <v>3.6755153914297845</v>
      </c>
    </row>
    <row r="8363" spans="40:42" x14ac:dyDescent="0.3">
      <c r="AN8363">
        <v>8359</v>
      </c>
      <c r="AO8363" s="11">
        <v>24524.1</v>
      </c>
      <c r="AP8363" s="9">
        <v>3.417388616362047</v>
      </c>
    </row>
    <row r="8364" spans="40:42" x14ac:dyDescent="0.3">
      <c r="AN8364">
        <v>8360</v>
      </c>
      <c r="AO8364" s="11">
        <v>25318</v>
      </c>
      <c r="AP8364" s="9">
        <v>3.4871782511657767</v>
      </c>
    </row>
    <row r="8365" spans="40:42" x14ac:dyDescent="0.3">
      <c r="AN8365">
        <v>8361</v>
      </c>
      <c r="AO8365" s="11">
        <v>22237.87</v>
      </c>
      <c r="AP8365" s="9">
        <v>3.2201779174942482</v>
      </c>
    </row>
    <row r="8366" spans="40:42" x14ac:dyDescent="0.3">
      <c r="AN8366">
        <v>8362</v>
      </c>
      <c r="AO8366" s="11">
        <v>21549.4</v>
      </c>
      <c r="AP8366" s="9">
        <v>3.0159216533344995</v>
      </c>
    </row>
    <row r="8367" spans="40:42" x14ac:dyDescent="0.3">
      <c r="AN8367">
        <v>8363</v>
      </c>
      <c r="AO8367" s="11">
        <v>29109.3</v>
      </c>
      <c r="AP8367" s="9">
        <v>3.9579171103221604</v>
      </c>
    </row>
    <row r="8368" spans="40:42" x14ac:dyDescent="0.3">
      <c r="AN8368">
        <v>8364</v>
      </c>
      <c r="AO8368" s="11">
        <v>18756.59</v>
      </c>
      <c r="AP8368" s="9">
        <v>3.4129319640622042</v>
      </c>
    </row>
    <row r="8369" spans="40:42" x14ac:dyDescent="0.3">
      <c r="AN8369">
        <v>8365</v>
      </c>
      <c r="AO8369" s="11">
        <v>21158.5</v>
      </c>
      <c r="AP8369" s="9">
        <v>3.2696413337560353</v>
      </c>
    </row>
    <row r="8370" spans="40:42" x14ac:dyDescent="0.3">
      <c r="AN8370">
        <v>8366</v>
      </c>
      <c r="AO8370" s="11">
        <v>23276.65</v>
      </c>
      <c r="AP8370" s="9">
        <v>3.3732986927511046</v>
      </c>
    </row>
    <row r="8371" spans="40:42" x14ac:dyDescent="0.3">
      <c r="AN8371">
        <v>8367</v>
      </c>
      <c r="AO8371" s="11">
        <v>37517.64</v>
      </c>
      <c r="AP8371" s="9">
        <v>3.3630383240199535</v>
      </c>
    </row>
    <row r="8372" spans="40:42" x14ac:dyDescent="0.3">
      <c r="AN8372">
        <v>8368</v>
      </c>
      <c r="AO8372" s="11">
        <v>17429.84</v>
      </c>
      <c r="AP8372" s="9">
        <v>3.1634138882236189</v>
      </c>
    </row>
    <row r="8373" spans="40:42" x14ac:dyDescent="0.3">
      <c r="AN8373">
        <v>8369</v>
      </c>
      <c r="AO8373" s="11">
        <v>34443.08</v>
      </c>
      <c r="AP8373" s="9">
        <v>3.5330028333919876</v>
      </c>
    </row>
    <row r="8374" spans="40:42" x14ac:dyDescent="0.3">
      <c r="AN8374">
        <v>8370</v>
      </c>
      <c r="AO8374" s="11">
        <v>23059.1</v>
      </c>
      <c r="AP8374" s="9">
        <v>3.9742710389917599</v>
      </c>
    </row>
    <row r="8375" spans="40:42" x14ac:dyDescent="0.3">
      <c r="AN8375">
        <v>8371</v>
      </c>
      <c r="AO8375" s="11">
        <v>14319.19</v>
      </c>
      <c r="AP8375" s="9">
        <v>3.1503856847365661</v>
      </c>
    </row>
    <row r="8376" spans="40:42" x14ac:dyDescent="0.3">
      <c r="AN8376">
        <v>8372</v>
      </c>
      <c r="AO8376" s="11">
        <v>24390.02</v>
      </c>
      <c r="AP8376" s="9">
        <v>3.3021389686096221</v>
      </c>
    </row>
    <row r="8377" spans="40:42" x14ac:dyDescent="0.3">
      <c r="AN8377">
        <v>8373</v>
      </c>
      <c r="AO8377" s="11">
        <v>19118.45</v>
      </c>
      <c r="AP8377" s="9">
        <v>2.6471820047114529</v>
      </c>
    </row>
    <row r="8378" spans="40:42" x14ac:dyDescent="0.3">
      <c r="AN8378">
        <v>8374</v>
      </c>
      <c r="AO8378" s="11">
        <v>27071.18</v>
      </c>
      <c r="AP8378" s="9">
        <v>2.8103011617396185</v>
      </c>
    </row>
    <row r="8379" spans="40:42" x14ac:dyDescent="0.3">
      <c r="AN8379">
        <v>8375</v>
      </c>
      <c r="AO8379" s="11">
        <v>34538.57</v>
      </c>
      <c r="AP8379" s="9">
        <v>3.6118669996265553</v>
      </c>
    </row>
    <row r="8380" spans="40:42" x14ac:dyDescent="0.3">
      <c r="AN8380">
        <v>8376</v>
      </c>
      <c r="AO8380" s="11">
        <v>25016.42</v>
      </c>
      <c r="AP8380" s="9">
        <v>4.2734953255889643</v>
      </c>
    </row>
    <row r="8381" spans="40:42" x14ac:dyDescent="0.3">
      <c r="AN8381">
        <v>8377</v>
      </c>
      <c r="AO8381" s="11">
        <v>38285.82</v>
      </c>
      <c r="AP8381" s="9">
        <v>3.7378686235677305</v>
      </c>
    </row>
    <row r="8382" spans="40:42" x14ac:dyDescent="0.3">
      <c r="AN8382">
        <v>8378</v>
      </c>
      <c r="AO8382" s="11">
        <v>26114.91</v>
      </c>
      <c r="AP8382" s="9">
        <v>3.355057428375706</v>
      </c>
    </row>
    <row r="8383" spans="40:42" x14ac:dyDescent="0.3">
      <c r="AN8383">
        <v>8379</v>
      </c>
      <c r="AO8383" s="11">
        <v>25190.23</v>
      </c>
      <c r="AP8383" s="9">
        <v>3.469866128827515</v>
      </c>
    </row>
    <row r="8384" spans="40:42" x14ac:dyDescent="0.3">
      <c r="AN8384">
        <v>8380</v>
      </c>
      <c r="AO8384" s="11">
        <v>19472.5</v>
      </c>
      <c r="AP8384" s="9">
        <v>3.3805803785523132</v>
      </c>
    </row>
    <row r="8385" spans="40:42" x14ac:dyDescent="0.3">
      <c r="AN8385">
        <v>8381</v>
      </c>
      <c r="AO8385" s="11">
        <v>22999.13</v>
      </c>
      <c r="AP8385" s="9">
        <v>3.9303070917130363</v>
      </c>
    </row>
    <row r="8386" spans="40:42" x14ac:dyDescent="0.3">
      <c r="AN8386">
        <v>8382</v>
      </c>
      <c r="AO8386" s="11">
        <v>30375.8</v>
      </c>
      <c r="AP8386" s="9">
        <v>3.7861813818233618</v>
      </c>
    </row>
    <row r="8387" spans="40:42" x14ac:dyDescent="0.3">
      <c r="AN8387">
        <v>8383</v>
      </c>
      <c r="AO8387" s="11">
        <v>19480.21</v>
      </c>
      <c r="AP8387" s="9">
        <v>3.7893775744607301</v>
      </c>
    </row>
    <row r="8388" spans="40:42" x14ac:dyDescent="0.3">
      <c r="AN8388">
        <v>8384</v>
      </c>
      <c r="AO8388" s="11">
        <v>24140.67</v>
      </c>
      <c r="AP8388" s="9">
        <v>4.0178398540550555</v>
      </c>
    </row>
    <row r="8389" spans="40:42" x14ac:dyDescent="0.3">
      <c r="AN8389">
        <v>8385</v>
      </c>
      <c r="AO8389" s="11">
        <v>22625.91</v>
      </c>
      <c r="AP8389" s="9">
        <v>3.2996058781570543</v>
      </c>
    </row>
    <row r="8390" spans="40:42" x14ac:dyDescent="0.3">
      <c r="AN8390">
        <v>8386</v>
      </c>
      <c r="AO8390" s="11">
        <v>24853.119999999999</v>
      </c>
      <c r="AP8390" s="9">
        <v>2.9783682509672902</v>
      </c>
    </row>
    <row r="8391" spans="40:42" x14ac:dyDescent="0.3">
      <c r="AN8391">
        <v>8387</v>
      </c>
      <c r="AO8391" s="11">
        <v>22993.03</v>
      </c>
      <c r="AP8391" s="9">
        <v>3.2456301720362593</v>
      </c>
    </row>
    <row r="8392" spans="40:42" x14ac:dyDescent="0.3">
      <c r="AN8392">
        <v>8388</v>
      </c>
      <c r="AO8392" s="11">
        <v>36625</v>
      </c>
      <c r="AP8392" s="9">
        <v>4.1124173303485083</v>
      </c>
    </row>
    <row r="8393" spans="40:42" x14ac:dyDescent="0.3">
      <c r="AN8393">
        <v>8389</v>
      </c>
      <c r="AO8393" s="11">
        <v>29409.47</v>
      </c>
      <c r="AP8393" s="9">
        <v>4.0420691146541383</v>
      </c>
    </row>
    <row r="8394" spans="40:42" x14ac:dyDescent="0.3">
      <c r="AN8394">
        <v>8390</v>
      </c>
      <c r="AO8394" s="11">
        <v>20500.91</v>
      </c>
      <c r="AP8394" s="9">
        <v>3.2335524953403461</v>
      </c>
    </row>
    <row r="8395" spans="40:42" x14ac:dyDescent="0.3">
      <c r="AN8395">
        <v>8391</v>
      </c>
      <c r="AO8395" s="11">
        <v>22291.18</v>
      </c>
      <c r="AP8395" s="9">
        <v>3.3870720919640926</v>
      </c>
    </row>
    <row r="8396" spans="40:42" x14ac:dyDescent="0.3">
      <c r="AN8396">
        <v>8392</v>
      </c>
      <c r="AO8396" s="11">
        <v>39996.519999999997</v>
      </c>
      <c r="AP8396" s="9">
        <v>3.1976748172073837</v>
      </c>
    </row>
    <row r="8397" spans="40:42" x14ac:dyDescent="0.3">
      <c r="AN8397">
        <v>8393</v>
      </c>
      <c r="AO8397" s="11">
        <v>12894.62</v>
      </c>
      <c r="AP8397" s="9">
        <v>2.6850275467280724</v>
      </c>
    </row>
    <row r="8398" spans="40:42" x14ac:dyDescent="0.3">
      <c r="AN8398">
        <v>8394</v>
      </c>
      <c r="AO8398" s="11">
        <v>26096.65</v>
      </c>
      <c r="AP8398" s="9">
        <v>3.6061706188716722</v>
      </c>
    </row>
    <row r="8399" spans="40:42" x14ac:dyDescent="0.3">
      <c r="AN8399">
        <v>8395</v>
      </c>
      <c r="AO8399" s="11">
        <v>23494.240000000002</v>
      </c>
      <c r="AP8399" s="9">
        <v>3.4307092921400777</v>
      </c>
    </row>
    <row r="8400" spans="40:42" x14ac:dyDescent="0.3">
      <c r="AN8400">
        <v>8396</v>
      </c>
      <c r="AO8400" s="11">
        <v>28313.55</v>
      </c>
      <c r="AP8400" s="9">
        <v>3.2333247843869373</v>
      </c>
    </row>
    <row r="8401" spans="40:42" x14ac:dyDescent="0.3">
      <c r="AN8401">
        <v>8397</v>
      </c>
      <c r="AO8401" s="11">
        <v>21858.68</v>
      </c>
      <c r="AP8401" s="9">
        <v>3.0368562803540451</v>
      </c>
    </row>
    <row r="8402" spans="40:42" x14ac:dyDescent="0.3">
      <c r="AN8402">
        <v>8398</v>
      </c>
      <c r="AO8402" s="11">
        <v>29277</v>
      </c>
      <c r="AP8402" s="9">
        <v>3.9353590325860237</v>
      </c>
    </row>
    <row r="8403" spans="40:42" x14ac:dyDescent="0.3">
      <c r="AN8403">
        <v>8399</v>
      </c>
      <c r="AO8403" s="11">
        <v>31004.14</v>
      </c>
      <c r="AP8403" s="9">
        <v>3.4879153731232213</v>
      </c>
    </row>
    <row r="8404" spans="40:42" x14ac:dyDescent="0.3">
      <c r="AN8404">
        <v>8400</v>
      </c>
      <c r="AO8404" s="11">
        <v>23657.78</v>
      </c>
      <c r="AP8404" s="9">
        <v>3.1208212803881876</v>
      </c>
    </row>
    <row r="8405" spans="40:42" x14ac:dyDescent="0.3">
      <c r="AN8405">
        <v>8401</v>
      </c>
      <c r="AO8405" s="11">
        <v>29206.61</v>
      </c>
      <c r="AP8405" s="9">
        <v>3.1340835258104831</v>
      </c>
    </row>
    <row r="8406" spans="40:42" x14ac:dyDescent="0.3">
      <c r="AN8406">
        <v>8402</v>
      </c>
      <c r="AO8406" s="11">
        <v>47560.480000000003</v>
      </c>
      <c r="AP8406" s="9">
        <v>3.7657784520295836</v>
      </c>
    </row>
    <row r="8407" spans="40:42" x14ac:dyDescent="0.3">
      <c r="AN8407">
        <v>8403</v>
      </c>
      <c r="AO8407" s="11">
        <v>26985.91</v>
      </c>
      <c r="AP8407" s="9">
        <v>3.2976392290051741</v>
      </c>
    </row>
    <row r="8408" spans="40:42" x14ac:dyDescent="0.3">
      <c r="AN8408">
        <v>8404</v>
      </c>
      <c r="AO8408" s="11">
        <v>26607.58</v>
      </c>
      <c r="AP8408" s="9">
        <v>3.137425577562702</v>
      </c>
    </row>
    <row r="8409" spans="40:42" x14ac:dyDescent="0.3">
      <c r="AN8409">
        <v>8405</v>
      </c>
      <c r="AO8409" s="11">
        <v>22487.54</v>
      </c>
      <c r="AP8409" s="9">
        <v>3.2588170829597538</v>
      </c>
    </row>
    <row r="8410" spans="40:42" x14ac:dyDescent="0.3">
      <c r="AN8410">
        <v>8406</v>
      </c>
      <c r="AO8410" s="11">
        <v>20403.330000000002</v>
      </c>
      <c r="AP8410" s="9">
        <v>3.2918595344051118</v>
      </c>
    </row>
    <row r="8411" spans="40:42" x14ac:dyDescent="0.3">
      <c r="AN8411">
        <v>8407</v>
      </c>
      <c r="AO8411" s="11">
        <v>31883.26</v>
      </c>
      <c r="AP8411" s="9">
        <v>2.843182430682309</v>
      </c>
    </row>
    <row r="8412" spans="40:42" x14ac:dyDescent="0.3">
      <c r="AN8412">
        <v>8408</v>
      </c>
      <c r="AO8412" s="11">
        <v>24984.57</v>
      </c>
      <c r="AP8412" s="9">
        <v>3.9281931353197885</v>
      </c>
    </row>
    <row r="8413" spans="40:42" x14ac:dyDescent="0.3">
      <c r="AN8413">
        <v>8409</v>
      </c>
      <c r="AO8413" s="11">
        <v>24328.92</v>
      </c>
      <c r="AP8413" s="9">
        <v>3.6009135756752291</v>
      </c>
    </row>
    <row r="8414" spans="40:42" x14ac:dyDescent="0.3">
      <c r="AN8414">
        <v>8410</v>
      </c>
      <c r="AO8414" s="11">
        <v>21673.75</v>
      </c>
      <c r="AP8414" s="9">
        <v>3.4567882163543939</v>
      </c>
    </row>
    <row r="8415" spans="40:42" x14ac:dyDescent="0.3">
      <c r="AN8415">
        <v>8411</v>
      </c>
      <c r="AO8415" s="11">
        <v>24513.919999999998</v>
      </c>
      <c r="AP8415" s="9">
        <v>3.5770983973388812</v>
      </c>
    </row>
    <row r="8416" spans="40:42" x14ac:dyDescent="0.3">
      <c r="AN8416">
        <v>8412</v>
      </c>
      <c r="AO8416" s="11">
        <v>33239.25</v>
      </c>
      <c r="AP8416" s="9">
        <v>3.7501405125427838</v>
      </c>
    </row>
    <row r="8417" spans="40:42" x14ac:dyDescent="0.3">
      <c r="AN8417">
        <v>8413</v>
      </c>
      <c r="AO8417" s="11">
        <v>12657.6</v>
      </c>
      <c r="AP8417" s="9">
        <v>3.0575595043690553</v>
      </c>
    </row>
    <row r="8418" spans="40:42" x14ac:dyDescent="0.3">
      <c r="AN8418">
        <v>8414</v>
      </c>
      <c r="AO8418" s="11">
        <v>22694.06</v>
      </c>
      <c r="AP8418" s="9">
        <v>3.3417359279019689</v>
      </c>
    </row>
    <row r="8419" spans="40:42" x14ac:dyDescent="0.3">
      <c r="AN8419">
        <v>8415</v>
      </c>
      <c r="AO8419" s="11">
        <v>16690.439999999999</v>
      </c>
      <c r="AP8419" s="9">
        <v>3.1637882647490181</v>
      </c>
    </row>
    <row r="8420" spans="40:42" x14ac:dyDescent="0.3">
      <c r="AN8420">
        <v>8416</v>
      </c>
      <c r="AO8420" s="11">
        <v>25088.18</v>
      </c>
      <c r="AP8420" s="9">
        <v>3.5335910151302632</v>
      </c>
    </row>
    <row r="8421" spans="40:42" x14ac:dyDescent="0.3">
      <c r="AN8421">
        <v>8417</v>
      </c>
      <c r="AO8421" s="11">
        <v>23172.59</v>
      </c>
      <c r="AP8421" s="9">
        <v>3.3266691060857383</v>
      </c>
    </row>
    <row r="8422" spans="40:42" x14ac:dyDescent="0.3">
      <c r="AN8422">
        <v>8418</v>
      </c>
      <c r="AO8422" s="11">
        <v>18873.32</v>
      </c>
      <c r="AP8422" s="9">
        <v>3.4544203357633099</v>
      </c>
    </row>
    <row r="8423" spans="40:42" x14ac:dyDescent="0.3">
      <c r="AN8423">
        <v>8419</v>
      </c>
      <c r="AO8423" s="11">
        <v>34972.32</v>
      </c>
      <c r="AP8423" s="9">
        <v>3.7731533133721102</v>
      </c>
    </row>
    <row r="8424" spans="40:42" x14ac:dyDescent="0.3">
      <c r="AN8424">
        <v>8420</v>
      </c>
      <c r="AO8424" s="11">
        <v>28996.41</v>
      </c>
      <c r="AP8424" s="9">
        <v>3.7093476460160169</v>
      </c>
    </row>
    <row r="8425" spans="40:42" x14ac:dyDescent="0.3">
      <c r="AN8425">
        <v>8421</v>
      </c>
      <c r="AO8425" s="11">
        <v>26458.32</v>
      </c>
      <c r="AP8425" s="9">
        <v>3.0753835255118664</v>
      </c>
    </row>
    <row r="8426" spans="40:42" x14ac:dyDescent="0.3">
      <c r="AN8426">
        <v>8422</v>
      </c>
      <c r="AO8426" s="11">
        <v>25337.61</v>
      </c>
      <c r="AP8426" s="9">
        <v>3.3627345198519589</v>
      </c>
    </row>
    <row r="8427" spans="40:42" x14ac:dyDescent="0.3">
      <c r="AN8427">
        <v>8423</v>
      </c>
      <c r="AO8427" s="11">
        <v>30090.25</v>
      </c>
      <c r="AP8427" s="9">
        <v>3.143658190107447</v>
      </c>
    </row>
    <row r="8428" spans="40:42" x14ac:dyDescent="0.3">
      <c r="AN8428">
        <v>8424</v>
      </c>
      <c r="AO8428" s="11">
        <v>27475.29</v>
      </c>
      <c r="AP8428" s="9">
        <v>4.0070438754217417</v>
      </c>
    </row>
    <row r="8429" spans="40:42" x14ac:dyDescent="0.3">
      <c r="AN8429">
        <v>8425</v>
      </c>
      <c r="AO8429" s="11">
        <v>35941.629999999997</v>
      </c>
      <c r="AP8429" s="9">
        <v>3.4677012078344265</v>
      </c>
    </row>
    <row r="8430" spans="40:42" x14ac:dyDescent="0.3">
      <c r="AN8430">
        <v>8426</v>
      </c>
      <c r="AO8430" s="11">
        <v>30623.86</v>
      </c>
      <c r="AP8430" s="9">
        <v>3.2574807819119505</v>
      </c>
    </row>
    <row r="8431" spans="40:42" x14ac:dyDescent="0.3">
      <c r="AN8431">
        <v>8427</v>
      </c>
      <c r="AO8431" s="11">
        <v>27835.3</v>
      </c>
      <c r="AP8431" s="9">
        <v>3.4678960009351472</v>
      </c>
    </row>
    <row r="8432" spans="40:42" x14ac:dyDescent="0.3">
      <c r="AN8432">
        <v>8428</v>
      </c>
      <c r="AO8432" s="11">
        <v>23749.43</v>
      </c>
      <c r="AP8432" s="9">
        <v>3.2881983541509285</v>
      </c>
    </row>
    <row r="8433" spans="40:42" x14ac:dyDescent="0.3">
      <c r="AN8433">
        <v>8429</v>
      </c>
      <c r="AO8433" s="11">
        <v>22521.94</v>
      </c>
      <c r="AP8433" s="9">
        <v>3.7155340926191522</v>
      </c>
    </row>
    <row r="8434" spans="40:42" x14ac:dyDescent="0.3">
      <c r="AN8434">
        <v>8430</v>
      </c>
      <c r="AO8434" s="11">
        <v>18271</v>
      </c>
      <c r="AP8434" s="9">
        <v>3.3015062585951873</v>
      </c>
    </row>
    <row r="8435" spans="40:42" x14ac:dyDescent="0.3">
      <c r="AN8435">
        <v>8431</v>
      </c>
      <c r="AO8435" s="11">
        <v>27209.3</v>
      </c>
      <c r="AP8435" s="9">
        <v>3.2194793725106075</v>
      </c>
    </row>
    <row r="8436" spans="40:42" x14ac:dyDescent="0.3">
      <c r="AN8436">
        <v>8432</v>
      </c>
      <c r="AO8436" s="11">
        <v>29295.23</v>
      </c>
      <c r="AP8436" s="9">
        <v>3.3612030900123342</v>
      </c>
    </row>
    <row r="8437" spans="40:42" x14ac:dyDescent="0.3">
      <c r="AN8437">
        <v>8433</v>
      </c>
      <c r="AO8437" s="11">
        <v>42749.68</v>
      </c>
      <c r="AP8437" s="9">
        <v>3.5717010473757207</v>
      </c>
    </row>
    <row r="8438" spans="40:42" x14ac:dyDescent="0.3">
      <c r="AN8438">
        <v>8434</v>
      </c>
      <c r="AO8438" s="11">
        <v>18976.27</v>
      </c>
      <c r="AP8438" s="9">
        <v>3.0829877559192855</v>
      </c>
    </row>
    <row r="8439" spans="40:42" x14ac:dyDescent="0.3">
      <c r="AN8439">
        <v>8435</v>
      </c>
      <c r="AO8439" s="11">
        <v>17788.87</v>
      </c>
      <c r="AP8439" s="9">
        <v>2.8088941852141853</v>
      </c>
    </row>
    <row r="8440" spans="40:42" x14ac:dyDescent="0.3">
      <c r="AN8440">
        <v>8436</v>
      </c>
      <c r="AO8440" s="11">
        <v>26796.68</v>
      </c>
      <c r="AP8440" s="9">
        <v>3.6280866379044476</v>
      </c>
    </row>
    <row r="8441" spans="40:42" x14ac:dyDescent="0.3">
      <c r="AN8441">
        <v>8437</v>
      </c>
      <c r="AO8441" s="11">
        <v>27019.8</v>
      </c>
      <c r="AP8441" s="9">
        <v>3.8349030221710256</v>
      </c>
    </row>
    <row r="8442" spans="40:42" x14ac:dyDescent="0.3">
      <c r="AN8442">
        <v>8438</v>
      </c>
      <c r="AO8442" s="11">
        <v>30310.94</v>
      </c>
      <c r="AP8442" s="9">
        <v>3.7110733486117695</v>
      </c>
    </row>
    <row r="8443" spans="40:42" x14ac:dyDescent="0.3">
      <c r="AN8443">
        <v>8439</v>
      </c>
      <c r="AO8443" s="11">
        <v>24552.57</v>
      </c>
      <c r="AP8443" s="9">
        <v>3.2520656661494614</v>
      </c>
    </row>
    <row r="8444" spans="40:42" x14ac:dyDescent="0.3">
      <c r="AN8444">
        <v>8440</v>
      </c>
      <c r="AO8444" s="11">
        <v>25000.34</v>
      </c>
      <c r="AP8444" s="9">
        <v>3.6125168808025729</v>
      </c>
    </row>
    <row r="8445" spans="40:42" x14ac:dyDescent="0.3">
      <c r="AN8445">
        <v>8441</v>
      </c>
      <c r="AO8445" s="11">
        <v>37219.440000000002</v>
      </c>
      <c r="AP8445" s="9">
        <v>3.5339139022966628</v>
      </c>
    </row>
    <row r="8446" spans="40:42" x14ac:dyDescent="0.3">
      <c r="AN8446">
        <v>8442</v>
      </c>
      <c r="AO8446" s="11">
        <v>23842.51</v>
      </c>
      <c r="AP8446" s="9">
        <v>3.1859916327974358</v>
      </c>
    </row>
    <row r="8447" spans="40:42" x14ac:dyDescent="0.3">
      <c r="AN8447">
        <v>8443</v>
      </c>
      <c r="AO8447" s="11">
        <v>23974.83</v>
      </c>
      <c r="AP8447" s="9">
        <v>3.0785720852516034</v>
      </c>
    </row>
    <row r="8448" spans="40:42" x14ac:dyDescent="0.3">
      <c r="AN8448">
        <v>8444</v>
      </c>
      <c r="AO8448" s="11">
        <v>32763.09</v>
      </c>
      <c r="AP8448" s="9">
        <v>4.5017274753548229</v>
      </c>
    </row>
    <row r="8449" spans="40:42" x14ac:dyDescent="0.3">
      <c r="AN8449">
        <v>8445</v>
      </c>
      <c r="AO8449" s="11">
        <v>21797.55</v>
      </c>
      <c r="AP8449" s="9">
        <v>2.9822822123719237</v>
      </c>
    </row>
    <row r="8450" spans="40:42" x14ac:dyDescent="0.3">
      <c r="AN8450">
        <v>8446</v>
      </c>
      <c r="AO8450" s="11">
        <v>25063.61</v>
      </c>
      <c r="AP8450" s="9">
        <v>2.8969524301992715</v>
      </c>
    </row>
    <row r="8451" spans="40:42" x14ac:dyDescent="0.3">
      <c r="AN8451">
        <v>8447</v>
      </c>
      <c r="AO8451" s="11">
        <v>20697.41</v>
      </c>
      <c r="AP8451" s="9">
        <v>3.839856949627948</v>
      </c>
    </row>
    <row r="8452" spans="40:42" x14ac:dyDescent="0.3">
      <c r="AN8452">
        <v>8448</v>
      </c>
      <c r="AO8452" s="11">
        <v>38890.699999999997</v>
      </c>
      <c r="AP8452" s="9">
        <v>3.6216737091462479</v>
      </c>
    </row>
    <row r="8453" spans="40:42" x14ac:dyDescent="0.3">
      <c r="AN8453">
        <v>8449</v>
      </c>
      <c r="AO8453" s="11">
        <v>15219.61</v>
      </c>
      <c r="AP8453" s="9">
        <v>3.4693416062628666</v>
      </c>
    </row>
    <row r="8454" spans="40:42" x14ac:dyDescent="0.3">
      <c r="AN8454">
        <v>8450</v>
      </c>
      <c r="AO8454" s="11">
        <v>38661.699999999997</v>
      </c>
      <c r="AP8454" s="9">
        <v>4.0370658527367693</v>
      </c>
    </row>
    <row r="8455" spans="40:42" x14ac:dyDescent="0.3">
      <c r="AN8455">
        <v>8451</v>
      </c>
      <c r="AO8455" s="11">
        <v>18778.89</v>
      </c>
      <c r="AP8455" s="9">
        <v>2.8052930570115815</v>
      </c>
    </row>
    <row r="8456" spans="40:42" x14ac:dyDescent="0.3">
      <c r="AN8456">
        <v>8452</v>
      </c>
      <c r="AO8456" s="11">
        <v>35513.29</v>
      </c>
      <c r="AP8456" s="9">
        <v>3.5431750639311157</v>
      </c>
    </row>
    <row r="8457" spans="40:42" x14ac:dyDescent="0.3">
      <c r="AN8457">
        <v>8453</v>
      </c>
      <c r="AO8457" s="11">
        <v>22003.11</v>
      </c>
      <c r="AP8457" s="9">
        <v>2.8254797098086657</v>
      </c>
    </row>
    <row r="8458" spans="40:42" x14ac:dyDescent="0.3">
      <c r="AN8458">
        <v>8454</v>
      </c>
      <c r="AO8458" s="11">
        <v>31216.39</v>
      </c>
      <c r="AP8458" s="9">
        <v>3.3858454844876249</v>
      </c>
    </row>
    <row r="8459" spans="40:42" x14ac:dyDescent="0.3">
      <c r="AN8459">
        <v>8455</v>
      </c>
      <c r="AO8459" s="11">
        <v>28989.08</v>
      </c>
      <c r="AP8459" s="9">
        <v>3.433686800596754</v>
      </c>
    </row>
    <row r="8460" spans="40:42" x14ac:dyDescent="0.3">
      <c r="AN8460">
        <v>8456</v>
      </c>
      <c r="AO8460" s="11">
        <v>31349.27</v>
      </c>
      <c r="AP8460" s="9">
        <v>3.4643174330986106</v>
      </c>
    </row>
    <row r="8461" spans="40:42" x14ac:dyDescent="0.3">
      <c r="AN8461">
        <v>8457</v>
      </c>
      <c r="AO8461" s="11">
        <v>34693.94</v>
      </c>
      <c r="AP8461" s="9">
        <v>3.6541368258803253</v>
      </c>
    </row>
    <row r="8462" spans="40:42" x14ac:dyDescent="0.3">
      <c r="AN8462">
        <v>8458</v>
      </c>
      <c r="AO8462" s="11">
        <v>30797.96</v>
      </c>
      <c r="AP8462" s="9">
        <v>3.591368121084046</v>
      </c>
    </row>
    <row r="8463" spans="40:42" x14ac:dyDescent="0.3">
      <c r="AN8463">
        <v>8459</v>
      </c>
      <c r="AO8463" s="11">
        <v>24141.360000000001</v>
      </c>
      <c r="AP8463" s="9">
        <v>3.230401345094958</v>
      </c>
    </row>
    <row r="8464" spans="40:42" x14ac:dyDescent="0.3">
      <c r="AN8464">
        <v>8460</v>
      </c>
      <c r="AO8464" s="11">
        <v>28641.32</v>
      </c>
      <c r="AP8464" s="9">
        <v>3.4015066284020423</v>
      </c>
    </row>
    <row r="8465" spans="40:42" x14ac:dyDescent="0.3">
      <c r="AN8465">
        <v>8461</v>
      </c>
      <c r="AO8465" s="11">
        <v>38851.42</v>
      </c>
      <c r="AP8465" s="9">
        <v>3.6860817457019444</v>
      </c>
    </row>
    <row r="8466" spans="40:42" x14ac:dyDescent="0.3">
      <c r="AN8466">
        <v>8462</v>
      </c>
      <c r="AO8466" s="11">
        <v>34185.96</v>
      </c>
      <c r="AP8466" s="9">
        <v>3.39015792334573</v>
      </c>
    </row>
    <row r="8467" spans="40:42" x14ac:dyDescent="0.3">
      <c r="AN8467">
        <v>8463</v>
      </c>
      <c r="AO8467" s="11">
        <v>23896.02</v>
      </c>
      <c r="AP8467" s="9">
        <v>3.170946348505133</v>
      </c>
    </row>
    <row r="8468" spans="40:42" x14ac:dyDescent="0.3">
      <c r="AN8468">
        <v>8464</v>
      </c>
      <c r="AO8468" s="11">
        <v>17200.169999999998</v>
      </c>
      <c r="AP8468" s="9">
        <v>3.2571234449924837</v>
      </c>
    </row>
    <row r="8469" spans="40:42" x14ac:dyDescent="0.3">
      <c r="AN8469">
        <v>8465</v>
      </c>
      <c r="AO8469" s="11">
        <v>20320.91</v>
      </c>
      <c r="AP8469" s="9">
        <v>3.1861101592755987</v>
      </c>
    </row>
    <row r="8470" spans="40:42" x14ac:dyDescent="0.3">
      <c r="AN8470">
        <v>8466</v>
      </c>
      <c r="AO8470" s="11">
        <v>26572.5</v>
      </c>
      <c r="AP8470" s="9">
        <v>3.8263232430298864</v>
      </c>
    </row>
    <row r="8471" spans="40:42" x14ac:dyDescent="0.3">
      <c r="AN8471">
        <v>8467</v>
      </c>
      <c r="AO8471" s="11">
        <v>20447.78</v>
      </c>
      <c r="AP8471" s="9">
        <v>3.1850241602877851</v>
      </c>
    </row>
    <row r="8472" spans="40:42" x14ac:dyDescent="0.3">
      <c r="AN8472">
        <v>8468</v>
      </c>
      <c r="AO8472" s="11">
        <v>23269.85</v>
      </c>
      <c r="AP8472" s="9">
        <v>3.4094482415555047</v>
      </c>
    </row>
    <row r="8473" spans="40:42" x14ac:dyDescent="0.3">
      <c r="AN8473">
        <v>8469</v>
      </c>
      <c r="AO8473" s="11">
        <v>29040.13</v>
      </c>
      <c r="AP8473" s="9">
        <v>3.7133036402187032</v>
      </c>
    </row>
    <row r="8474" spans="40:42" x14ac:dyDescent="0.3">
      <c r="AN8474">
        <v>8470</v>
      </c>
      <c r="AO8474" s="11">
        <v>21766.49</v>
      </c>
      <c r="AP8474" s="9">
        <v>3.0361510566218333</v>
      </c>
    </row>
    <row r="8475" spans="40:42" x14ac:dyDescent="0.3">
      <c r="AN8475">
        <v>8471</v>
      </c>
      <c r="AO8475" s="11">
        <v>22502.84</v>
      </c>
      <c r="AP8475" s="9">
        <v>3.8281016548690312</v>
      </c>
    </row>
    <row r="8476" spans="40:42" x14ac:dyDescent="0.3">
      <c r="AN8476">
        <v>8472</v>
      </c>
      <c r="AO8476" s="11">
        <v>29863.46</v>
      </c>
      <c r="AP8476" s="9">
        <v>3.3247629500499878</v>
      </c>
    </row>
    <row r="8477" spans="40:42" x14ac:dyDescent="0.3">
      <c r="AN8477">
        <v>8473</v>
      </c>
      <c r="AO8477" s="11">
        <v>25004.47</v>
      </c>
      <c r="AP8477" s="9">
        <v>3.2443854444423925</v>
      </c>
    </row>
    <row r="8478" spans="40:42" x14ac:dyDescent="0.3">
      <c r="AN8478">
        <v>8474</v>
      </c>
      <c r="AO8478" s="11">
        <v>33541.620000000003</v>
      </c>
      <c r="AP8478" s="9">
        <v>3.5451369997002251</v>
      </c>
    </row>
    <row r="8479" spans="40:42" x14ac:dyDescent="0.3">
      <c r="AN8479">
        <v>8475</v>
      </c>
      <c r="AO8479" s="11">
        <v>25603.31</v>
      </c>
      <c r="AP8479" s="9">
        <v>3.5953197038633236</v>
      </c>
    </row>
    <row r="8480" spans="40:42" x14ac:dyDescent="0.3">
      <c r="AN8480">
        <v>8476</v>
      </c>
      <c r="AO8480" s="11">
        <v>27372.97</v>
      </c>
      <c r="AP8480" s="9">
        <v>3.8066386400798926</v>
      </c>
    </row>
    <row r="8481" spans="40:42" x14ac:dyDescent="0.3">
      <c r="AN8481">
        <v>8477</v>
      </c>
      <c r="AO8481" s="11">
        <v>23861.58</v>
      </c>
      <c r="AP8481" s="9">
        <v>4.1132050144864287</v>
      </c>
    </row>
    <row r="8482" spans="40:42" x14ac:dyDescent="0.3">
      <c r="AN8482">
        <v>8478</v>
      </c>
      <c r="AO8482" s="11">
        <v>38611.699999999997</v>
      </c>
      <c r="AP8482" s="9">
        <v>4.4347162176702035</v>
      </c>
    </row>
    <row r="8483" spans="40:42" x14ac:dyDescent="0.3">
      <c r="AN8483">
        <v>8479</v>
      </c>
      <c r="AO8483" s="11">
        <v>22213.41</v>
      </c>
      <c r="AP8483" s="9">
        <v>3.1470132771785053</v>
      </c>
    </row>
    <row r="8484" spans="40:42" x14ac:dyDescent="0.3">
      <c r="AN8484">
        <v>8480</v>
      </c>
      <c r="AO8484" s="11">
        <v>40916.400000000001</v>
      </c>
      <c r="AP8484" s="9">
        <v>3.7490645348021325</v>
      </c>
    </row>
    <row r="8485" spans="40:42" x14ac:dyDescent="0.3">
      <c r="AN8485">
        <v>8481</v>
      </c>
      <c r="AO8485" s="11">
        <v>27574.13</v>
      </c>
      <c r="AP8485" s="9">
        <v>3.0349454372438172</v>
      </c>
    </row>
    <row r="8486" spans="40:42" x14ac:dyDescent="0.3">
      <c r="AN8486">
        <v>8482</v>
      </c>
      <c r="AO8486" s="11">
        <v>31040.49</v>
      </c>
      <c r="AP8486" s="9">
        <v>3.3775522759262793</v>
      </c>
    </row>
    <row r="8487" spans="40:42" x14ac:dyDescent="0.3">
      <c r="AN8487">
        <v>8483</v>
      </c>
      <c r="AO8487" s="11">
        <v>30562.85</v>
      </c>
      <c r="AP8487" s="9">
        <v>3.2832836971703734</v>
      </c>
    </row>
    <row r="8488" spans="40:42" x14ac:dyDescent="0.3">
      <c r="AN8488">
        <v>8484</v>
      </c>
      <c r="AO8488" s="11">
        <v>35211.269999999997</v>
      </c>
      <c r="AP8488" s="9">
        <v>3.1742167681390727</v>
      </c>
    </row>
    <row r="8489" spans="40:42" x14ac:dyDescent="0.3">
      <c r="AN8489">
        <v>8485</v>
      </c>
      <c r="AO8489" s="11">
        <v>23006.44</v>
      </c>
      <c r="AP8489" s="9">
        <v>2.5596759267563498</v>
      </c>
    </row>
    <row r="8490" spans="40:42" x14ac:dyDescent="0.3">
      <c r="AN8490">
        <v>8486</v>
      </c>
      <c r="AO8490" s="11">
        <v>17191.419999999998</v>
      </c>
      <c r="AP8490" s="9">
        <v>3.8538274325077149</v>
      </c>
    </row>
    <row r="8491" spans="40:42" x14ac:dyDescent="0.3">
      <c r="AN8491">
        <v>8487</v>
      </c>
      <c r="AO8491" s="11">
        <v>29849.4</v>
      </c>
      <c r="AP8491" s="9">
        <v>3.0672261219565948</v>
      </c>
    </row>
    <row r="8492" spans="40:42" x14ac:dyDescent="0.3">
      <c r="AN8492">
        <v>8488</v>
      </c>
      <c r="AO8492" s="11">
        <v>25928.91</v>
      </c>
      <c r="AP8492" s="9">
        <v>3.2515689190773629</v>
      </c>
    </row>
    <row r="8493" spans="40:42" x14ac:dyDescent="0.3">
      <c r="AN8493">
        <v>8489</v>
      </c>
      <c r="AO8493" s="11">
        <v>23777.08</v>
      </c>
      <c r="AP8493" s="9">
        <v>3.1915789418413589</v>
      </c>
    </row>
    <row r="8494" spans="40:42" x14ac:dyDescent="0.3">
      <c r="AN8494">
        <v>8490</v>
      </c>
      <c r="AO8494" s="11">
        <v>25542.37</v>
      </c>
      <c r="AP8494" s="9">
        <v>2.9815460259712245</v>
      </c>
    </row>
    <row r="8495" spans="40:42" x14ac:dyDescent="0.3">
      <c r="AN8495">
        <v>8491</v>
      </c>
      <c r="AO8495" s="11">
        <v>29449.56</v>
      </c>
      <c r="AP8495" s="9">
        <v>4.189132260267117</v>
      </c>
    </row>
    <row r="8496" spans="40:42" x14ac:dyDescent="0.3">
      <c r="AN8496">
        <v>8492</v>
      </c>
      <c r="AO8496" s="11">
        <v>20284.310000000001</v>
      </c>
      <c r="AP8496" s="9">
        <v>3.3427330458391684</v>
      </c>
    </row>
    <row r="8497" spans="40:42" x14ac:dyDescent="0.3">
      <c r="AN8497">
        <v>8493</v>
      </c>
      <c r="AO8497" s="11">
        <v>30409.97</v>
      </c>
      <c r="AP8497" s="9">
        <v>2.8942494162111072</v>
      </c>
    </row>
    <row r="8498" spans="40:42" x14ac:dyDescent="0.3">
      <c r="AN8498">
        <v>8494</v>
      </c>
      <c r="AO8498" s="11">
        <v>17363.63</v>
      </c>
      <c r="AP8498" s="9">
        <v>3.0755076780783419</v>
      </c>
    </row>
    <row r="8499" spans="40:42" x14ac:dyDescent="0.3">
      <c r="AN8499">
        <v>8495</v>
      </c>
      <c r="AO8499" s="11">
        <v>20092.27</v>
      </c>
      <c r="AP8499" s="9">
        <v>3.0411749458024748</v>
      </c>
    </row>
    <row r="8500" spans="40:42" x14ac:dyDescent="0.3">
      <c r="AN8500">
        <v>8496</v>
      </c>
      <c r="AO8500" s="11">
        <v>31755.11</v>
      </c>
      <c r="AP8500" s="9">
        <v>3.1931101322491937</v>
      </c>
    </row>
    <row r="8501" spans="40:42" x14ac:dyDescent="0.3">
      <c r="AN8501">
        <v>8497</v>
      </c>
      <c r="AO8501" s="11">
        <v>30458.05</v>
      </c>
      <c r="AP8501" s="9">
        <v>2.9827135247760932</v>
      </c>
    </row>
    <row r="8502" spans="40:42" x14ac:dyDescent="0.3">
      <c r="AN8502">
        <v>8498</v>
      </c>
      <c r="AO8502" s="11">
        <v>43071.79</v>
      </c>
      <c r="AP8502" s="9">
        <v>4.1304525617543968</v>
      </c>
    </row>
    <row r="8503" spans="40:42" x14ac:dyDescent="0.3">
      <c r="AN8503">
        <v>8499</v>
      </c>
      <c r="AO8503" s="11">
        <v>24544.94</v>
      </c>
      <c r="AP8503" s="9">
        <v>2.9393040127291323</v>
      </c>
    </row>
    <row r="8504" spans="40:42" x14ac:dyDescent="0.3">
      <c r="AN8504">
        <v>8500</v>
      </c>
      <c r="AO8504" s="11">
        <v>15785.93</v>
      </c>
      <c r="AP8504" s="9">
        <v>3.1516414401198398</v>
      </c>
    </row>
    <row r="8505" spans="40:42" x14ac:dyDescent="0.3">
      <c r="AN8505">
        <v>8501</v>
      </c>
      <c r="AO8505" s="11">
        <v>17251.93</v>
      </c>
      <c r="AP8505" s="9">
        <v>3.0837756428578134</v>
      </c>
    </row>
    <row r="8506" spans="40:42" x14ac:dyDescent="0.3">
      <c r="AN8506">
        <v>8502</v>
      </c>
      <c r="AO8506" s="11">
        <v>40485.800000000003</v>
      </c>
      <c r="AP8506" s="9">
        <v>3.9078579122804844</v>
      </c>
    </row>
    <row r="8507" spans="40:42" x14ac:dyDescent="0.3">
      <c r="AN8507">
        <v>8503</v>
      </c>
      <c r="AO8507" s="11">
        <v>20013.8</v>
      </c>
      <c r="AP8507" s="9">
        <v>2.5158499373089902</v>
      </c>
    </row>
    <row r="8508" spans="40:42" x14ac:dyDescent="0.3">
      <c r="AN8508">
        <v>8504</v>
      </c>
      <c r="AO8508" s="11">
        <v>33933.68</v>
      </c>
      <c r="AP8508" s="9">
        <v>3.01256500042463</v>
      </c>
    </row>
    <row r="8509" spans="40:42" x14ac:dyDescent="0.3">
      <c r="AN8509">
        <v>8505</v>
      </c>
      <c r="AO8509" s="11">
        <v>18672.86</v>
      </c>
      <c r="AP8509" s="9">
        <v>3.4099117387127809</v>
      </c>
    </row>
    <row r="8510" spans="40:42" x14ac:dyDescent="0.3">
      <c r="AN8510">
        <v>8506</v>
      </c>
      <c r="AO8510" s="11">
        <v>33471.050000000003</v>
      </c>
      <c r="AP8510" s="9">
        <v>3.3271719876953032</v>
      </c>
    </row>
    <row r="8511" spans="40:42" x14ac:dyDescent="0.3">
      <c r="AN8511">
        <v>8507</v>
      </c>
      <c r="AO8511" s="11">
        <v>23862.52</v>
      </c>
      <c r="AP8511" s="9">
        <v>3.4144345525882627</v>
      </c>
    </row>
    <row r="8512" spans="40:42" x14ac:dyDescent="0.3">
      <c r="AN8512">
        <v>8508</v>
      </c>
      <c r="AO8512" s="11">
        <v>21197.56</v>
      </c>
      <c r="AP8512" s="9">
        <v>3.4216864843668491</v>
      </c>
    </row>
    <row r="8513" spans="40:42" x14ac:dyDescent="0.3">
      <c r="AN8513">
        <v>8509</v>
      </c>
      <c r="AO8513" s="11">
        <v>23292.04</v>
      </c>
      <c r="AP8513" s="9">
        <v>3.1313447888086214</v>
      </c>
    </row>
    <row r="8514" spans="40:42" x14ac:dyDescent="0.3">
      <c r="AN8514">
        <v>8510</v>
      </c>
      <c r="AO8514" s="11">
        <v>20359.54</v>
      </c>
      <c r="AP8514" s="9">
        <v>3.1468559409204411</v>
      </c>
    </row>
    <row r="8515" spans="40:42" x14ac:dyDescent="0.3">
      <c r="AN8515">
        <v>8511</v>
      </c>
      <c r="AO8515" s="11">
        <v>25770.74</v>
      </c>
      <c r="AP8515" s="9">
        <v>3.5523395986552244</v>
      </c>
    </row>
    <row r="8516" spans="40:42" x14ac:dyDescent="0.3">
      <c r="AN8516">
        <v>8512</v>
      </c>
      <c r="AO8516" s="11">
        <v>21350.58</v>
      </c>
      <c r="AP8516" s="9">
        <v>3.232770964708946</v>
      </c>
    </row>
    <row r="8517" spans="40:42" x14ac:dyDescent="0.3">
      <c r="AN8517">
        <v>8513</v>
      </c>
      <c r="AO8517" s="11">
        <v>26730.43</v>
      </c>
      <c r="AP8517" s="9">
        <v>3.0568979173527002</v>
      </c>
    </row>
    <row r="8518" spans="40:42" x14ac:dyDescent="0.3">
      <c r="AN8518">
        <v>8514</v>
      </c>
      <c r="AO8518" s="11">
        <v>39170.86</v>
      </c>
      <c r="AP8518" s="9">
        <v>4.0788539524119045</v>
      </c>
    </row>
    <row r="8519" spans="40:42" x14ac:dyDescent="0.3">
      <c r="AN8519">
        <v>8515</v>
      </c>
      <c r="AO8519" s="11">
        <v>37981.03</v>
      </c>
      <c r="AP8519" s="9">
        <v>4.0729423638389379</v>
      </c>
    </row>
    <row r="8520" spans="40:42" x14ac:dyDescent="0.3">
      <c r="AN8520">
        <v>8516</v>
      </c>
      <c r="AO8520" s="11">
        <v>20368.78</v>
      </c>
      <c r="AP8520" s="9">
        <v>2.7381761870364949</v>
      </c>
    </row>
    <row r="8521" spans="40:42" x14ac:dyDescent="0.3">
      <c r="AN8521">
        <v>8517</v>
      </c>
      <c r="AO8521" s="11">
        <v>27860.33</v>
      </c>
      <c r="AP8521" s="9">
        <v>3.3940115025740547</v>
      </c>
    </row>
    <row r="8522" spans="40:42" x14ac:dyDescent="0.3">
      <c r="AN8522">
        <v>8518</v>
      </c>
      <c r="AO8522" s="11">
        <v>44224.24</v>
      </c>
      <c r="AP8522" s="9">
        <v>4.7320183830818046</v>
      </c>
    </row>
    <row r="8523" spans="40:42" x14ac:dyDescent="0.3">
      <c r="AN8523">
        <v>8519</v>
      </c>
      <c r="AO8523" s="11">
        <v>38975.68</v>
      </c>
      <c r="AP8523" s="9">
        <v>3.6842237743439101</v>
      </c>
    </row>
    <row r="8524" spans="40:42" x14ac:dyDescent="0.3">
      <c r="AN8524">
        <v>8520</v>
      </c>
      <c r="AO8524" s="11">
        <v>23116.400000000001</v>
      </c>
      <c r="AP8524" s="9">
        <v>3.6281841683756375</v>
      </c>
    </row>
    <row r="8525" spans="40:42" x14ac:dyDescent="0.3">
      <c r="AN8525">
        <v>8521</v>
      </c>
      <c r="AO8525" s="11">
        <v>31478.48</v>
      </c>
      <c r="AP8525" s="9">
        <v>3.3471564011354165</v>
      </c>
    </row>
    <row r="8526" spans="40:42" x14ac:dyDescent="0.3">
      <c r="AN8526">
        <v>8522</v>
      </c>
      <c r="AO8526" s="11">
        <v>37862.019999999997</v>
      </c>
      <c r="AP8526" s="9">
        <v>3.8705625710420124</v>
      </c>
    </row>
    <row r="8527" spans="40:42" x14ac:dyDescent="0.3">
      <c r="AN8527">
        <v>8523</v>
      </c>
      <c r="AO8527" s="11">
        <v>23848.84</v>
      </c>
      <c r="AP8527" s="9">
        <v>3.0934900805867156</v>
      </c>
    </row>
    <row r="8528" spans="40:42" x14ac:dyDescent="0.3">
      <c r="AN8528">
        <v>8524</v>
      </c>
      <c r="AO8528" s="11">
        <v>17059.939999999999</v>
      </c>
      <c r="AP8528" s="9">
        <v>3.6175382413282167</v>
      </c>
    </row>
    <row r="8529" spans="40:42" x14ac:dyDescent="0.3">
      <c r="AN8529">
        <v>8525</v>
      </c>
      <c r="AO8529" s="11">
        <v>31137.54</v>
      </c>
      <c r="AP8529" s="9">
        <v>3.5567033199603313</v>
      </c>
    </row>
    <row r="8530" spans="40:42" x14ac:dyDescent="0.3">
      <c r="AN8530">
        <v>8526</v>
      </c>
      <c r="AO8530" s="11">
        <v>27885.19</v>
      </c>
      <c r="AP8530" s="9">
        <v>4.1799689506856978</v>
      </c>
    </row>
    <row r="8531" spans="40:42" x14ac:dyDescent="0.3">
      <c r="AN8531">
        <v>8527</v>
      </c>
      <c r="AO8531" s="11">
        <v>30183.91</v>
      </c>
      <c r="AP8531" s="9">
        <v>3.764008995324883</v>
      </c>
    </row>
    <row r="8532" spans="40:42" x14ac:dyDescent="0.3">
      <c r="AN8532">
        <v>8528</v>
      </c>
      <c r="AO8532" s="11">
        <v>18069.830000000002</v>
      </c>
      <c r="AP8532" s="9">
        <v>3.0900497214292106</v>
      </c>
    </row>
    <row r="8533" spans="40:42" x14ac:dyDescent="0.3">
      <c r="AN8533">
        <v>8529</v>
      </c>
      <c r="AO8533" s="11">
        <v>26515.14</v>
      </c>
      <c r="AP8533" s="9">
        <v>3.1264218149430176</v>
      </c>
    </row>
    <row r="8534" spans="40:42" x14ac:dyDescent="0.3">
      <c r="AN8534">
        <v>8530</v>
      </c>
      <c r="AO8534" s="11">
        <v>22392.67</v>
      </c>
      <c r="AP8534" s="9">
        <v>2.9026540286989024</v>
      </c>
    </row>
    <row r="8535" spans="40:42" x14ac:dyDescent="0.3">
      <c r="AN8535">
        <v>8531</v>
      </c>
      <c r="AO8535" s="11">
        <v>30598.98</v>
      </c>
      <c r="AP8535" s="9">
        <v>3.7857431990014683</v>
      </c>
    </row>
    <row r="8536" spans="40:42" x14ac:dyDescent="0.3">
      <c r="AN8536">
        <v>8532</v>
      </c>
      <c r="AO8536" s="11">
        <v>36128.76</v>
      </c>
      <c r="AP8536" s="9">
        <v>3.3283498996574155</v>
      </c>
    </row>
    <row r="8537" spans="40:42" x14ac:dyDescent="0.3">
      <c r="AN8537">
        <v>8533</v>
      </c>
      <c r="AO8537" s="11">
        <v>32012.41</v>
      </c>
      <c r="AP8537" s="9">
        <v>3.7402129273807416</v>
      </c>
    </row>
    <row r="8538" spans="40:42" x14ac:dyDescent="0.3">
      <c r="AN8538">
        <v>8534</v>
      </c>
      <c r="AO8538" s="11">
        <v>22560.18</v>
      </c>
      <c r="AP8538" s="9">
        <v>3.2958946863073071</v>
      </c>
    </row>
    <row r="8539" spans="40:42" x14ac:dyDescent="0.3">
      <c r="AN8539">
        <v>8535</v>
      </c>
      <c r="AO8539" s="11">
        <v>25892.41</v>
      </c>
      <c r="AP8539" s="9">
        <v>3.6370811555741707</v>
      </c>
    </row>
    <row r="8540" spans="40:42" x14ac:dyDescent="0.3">
      <c r="AN8540">
        <v>8536</v>
      </c>
      <c r="AO8540" s="11">
        <v>64355.48</v>
      </c>
      <c r="AP8540" s="9">
        <v>4.6361223962713316</v>
      </c>
    </row>
    <row r="8541" spans="40:42" x14ac:dyDescent="0.3">
      <c r="AN8541">
        <v>8537</v>
      </c>
      <c r="AO8541" s="11">
        <v>17326.11</v>
      </c>
      <c r="AP8541" s="9">
        <v>3.1875898147567527</v>
      </c>
    </row>
    <row r="8542" spans="40:42" x14ac:dyDescent="0.3">
      <c r="AN8542">
        <v>8538</v>
      </c>
      <c r="AO8542" s="11">
        <v>29796.73</v>
      </c>
      <c r="AP8542" s="9">
        <v>3.5312170343198965</v>
      </c>
    </row>
    <row r="8543" spans="40:42" x14ac:dyDescent="0.3">
      <c r="AN8543">
        <v>8539</v>
      </c>
      <c r="AO8543" s="11">
        <v>15792.26</v>
      </c>
      <c r="AP8543" s="9">
        <v>2.5733629244649712</v>
      </c>
    </row>
    <row r="8544" spans="40:42" x14ac:dyDescent="0.3">
      <c r="AN8544">
        <v>8540</v>
      </c>
      <c r="AO8544" s="11">
        <v>15041.73</v>
      </c>
      <c r="AP8544" s="9">
        <v>3.0919202430202253</v>
      </c>
    </row>
    <row r="8545" spans="40:42" x14ac:dyDescent="0.3">
      <c r="AN8545">
        <v>8541</v>
      </c>
      <c r="AO8545" s="11">
        <v>23315.33</v>
      </c>
      <c r="AP8545" s="9">
        <v>2.4965112192286201</v>
      </c>
    </row>
    <row r="8546" spans="40:42" x14ac:dyDescent="0.3">
      <c r="AN8546">
        <v>8542</v>
      </c>
      <c r="AO8546" s="11">
        <v>23865.05</v>
      </c>
      <c r="AP8546" s="9">
        <v>3.2880524481904483</v>
      </c>
    </row>
    <row r="8547" spans="40:42" x14ac:dyDescent="0.3">
      <c r="AN8547">
        <v>8543</v>
      </c>
      <c r="AO8547" s="11">
        <v>32204.33</v>
      </c>
      <c r="AP8547" s="9">
        <v>4.0626769440919857</v>
      </c>
    </row>
    <row r="8548" spans="40:42" x14ac:dyDescent="0.3">
      <c r="AN8548">
        <v>8544</v>
      </c>
      <c r="AO8548" s="11">
        <v>37779.620000000003</v>
      </c>
      <c r="AP8548" s="9">
        <v>3.825248171919541</v>
      </c>
    </row>
    <row r="8549" spans="40:42" x14ac:dyDescent="0.3">
      <c r="AN8549">
        <v>8545</v>
      </c>
      <c r="AO8549" s="11">
        <v>28070.39</v>
      </c>
      <c r="AP8549" s="9">
        <v>3.6938805136905417</v>
      </c>
    </row>
    <row r="8550" spans="40:42" x14ac:dyDescent="0.3">
      <c r="AN8550">
        <v>8546</v>
      </c>
      <c r="AO8550" s="11">
        <v>19503.71</v>
      </c>
      <c r="AP8550" s="9">
        <v>2.4986846247268222</v>
      </c>
    </row>
    <row r="8551" spans="40:42" x14ac:dyDescent="0.3">
      <c r="AN8551">
        <v>8547</v>
      </c>
      <c r="AO8551" s="11">
        <v>30623.13</v>
      </c>
      <c r="AP8551" s="9">
        <v>3.4685472280755518</v>
      </c>
    </row>
    <row r="8552" spans="40:42" x14ac:dyDescent="0.3">
      <c r="AN8552">
        <v>8548</v>
      </c>
      <c r="AO8552" s="11">
        <v>32375.51</v>
      </c>
      <c r="AP8552" s="9">
        <v>3.5885709096721574</v>
      </c>
    </row>
    <row r="8553" spans="40:42" x14ac:dyDescent="0.3">
      <c r="AN8553">
        <v>8549</v>
      </c>
      <c r="AO8553" s="11">
        <v>56486.35</v>
      </c>
      <c r="AP8553" s="9">
        <v>3.5886089473197891</v>
      </c>
    </row>
    <row r="8554" spans="40:42" x14ac:dyDescent="0.3">
      <c r="AN8554">
        <v>8550</v>
      </c>
      <c r="AO8554" s="11">
        <v>34007.49</v>
      </c>
      <c r="AP8554" s="9">
        <v>3.3897611409938704</v>
      </c>
    </row>
    <row r="8555" spans="40:42" x14ac:dyDescent="0.3">
      <c r="AN8555">
        <v>8551</v>
      </c>
      <c r="AO8555" s="11">
        <v>27346.33</v>
      </c>
      <c r="AP8555" s="9">
        <v>3.0366342882924502</v>
      </c>
    </row>
    <row r="8556" spans="40:42" x14ac:dyDescent="0.3">
      <c r="AN8556">
        <v>8552</v>
      </c>
      <c r="AO8556" s="11">
        <v>33430.800000000003</v>
      </c>
      <c r="AP8556" s="9">
        <v>3.7235631916588448</v>
      </c>
    </row>
    <row r="8557" spans="40:42" x14ac:dyDescent="0.3">
      <c r="AN8557">
        <v>8553</v>
      </c>
      <c r="AO8557" s="11">
        <v>24898.27</v>
      </c>
      <c r="AP8557" s="9">
        <v>3.1117864637118724</v>
      </c>
    </row>
    <row r="8558" spans="40:42" x14ac:dyDescent="0.3">
      <c r="AN8558">
        <v>8554</v>
      </c>
      <c r="AO8558" s="11">
        <v>29884.5</v>
      </c>
      <c r="AP8558" s="9">
        <v>3.3920102214571997</v>
      </c>
    </row>
    <row r="8559" spans="40:42" x14ac:dyDescent="0.3">
      <c r="AN8559">
        <v>8555</v>
      </c>
      <c r="AO8559" s="11">
        <v>30903.15</v>
      </c>
      <c r="AP8559" s="9">
        <v>3.4403954993431505</v>
      </c>
    </row>
    <row r="8560" spans="40:42" x14ac:dyDescent="0.3">
      <c r="AN8560">
        <v>8556</v>
      </c>
      <c r="AO8560" s="11">
        <v>23875.23</v>
      </c>
      <c r="AP8560" s="9">
        <v>4.0553326992235892</v>
      </c>
    </row>
    <row r="8561" spans="40:42" x14ac:dyDescent="0.3">
      <c r="AN8561">
        <v>8557</v>
      </c>
      <c r="AO8561" s="11">
        <v>19932.8</v>
      </c>
      <c r="AP8561" s="9">
        <v>3.7647377591892388</v>
      </c>
    </row>
    <row r="8562" spans="40:42" x14ac:dyDescent="0.3">
      <c r="AN8562">
        <v>8558</v>
      </c>
      <c r="AO8562" s="11">
        <v>18153.04</v>
      </c>
      <c r="AP8562" s="9">
        <v>3.2894400035055953</v>
      </c>
    </row>
    <row r="8563" spans="40:42" x14ac:dyDescent="0.3">
      <c r="AN8563">
        <v>8559</v>
      </c>
      <c r="AO8563" s="11">
        <v>25401.66</v>
      </c>
      <c r="AP8563" s="9">
        <v>3.1139795632996612</v>
      </c>
    </row>
    <row r="8564" spans="40:42" x14ac:dyDescent="0.3">
      <c r="AN8564">
        <v>8560</v>
      </c>
      <c r="AO8564" s="11">
        <v>40587.54</v>
      </c>
      <c r="AP8564" s="9">
        <v>3.5246652223129047</v>
      </c>
    </row>
    <row r="8565" spans="40:42" x14ac:dyDescent="0.3">
      <c r="AN8565">
        <v>8561</v>
      </c>
      <c r="AO8565" s="11">
        <v>21688.09</v>
      </c>
      <c r="AP8565" s="9">
        <v>4.0354968639024795</v>
      </c>
    </row>
    <row r="8566" spans="40:42" x14ac:dyDescent="0.3">
      <c r="AN8566">
        <v>8562</v>
      </c>
      <c r="AO8566" s="11">
        <v>20428.189999999999</v>
      </c>
      <c r="AP8566" s="9">
        <v>3.1239028812895206</v>
      </c>
    </row>
    <row r="8567" spans="40:42" x14ac:dyDescent="0.3">
      <c r="AN8567">
        <v>8563</v>
      </c>
      <c r="AO8567" s="11">
        <v>31584.07</v>
      </c>
      <c r="AP8567" s="9">
        <v>3.4338761643374789</v>
      </c>
    </row>
    <row r="8568" spans="40:42" x14ac:dyDescent="0.3">
      <c r="AN8568">
        <v>8564</v>
      </c>
      <c r="AO8568" s="11">
        <v>43636.31</v>
      </c>
      <c r="AP8568" s="9">
        <v>4.5273056555294504</v>
      </c>
    </row>
    <row r="8569" spans="40:42" x14ac:dyDescent="0.3">
      <c r="AN8569">
        <v>8565</v>
      </c>
      <c r="AO8569" s="11">
        <v>34676.93</v>
      </c>
      <c r="AP8569" s="9">
        <v>3.8065779516709637</v>
      </c>
    </row>
    <row r="8570" spans="40:42" x14ac:dyDescent="0.3">
      <c r="AN8570">
        <v>8566</v>
      </c>
      <c r="AO8570" s="11">
        <v>25706.43</v>
      </c>
      <c r="AP8570" s="9">
        <v>3.8147114727690732</v>
      </c>
    </row>
    <row r="8571" spans="40:42" x14ac:dyDescent="0.3">
      <c r="AN8571">
        <v>8567</v>
      </c>
      <c r="AO8571" s="11">
        <v>28669.41</v>
      </c>
      <c r="AP8571" s="9">
        <v>3.5190399822282079</v>
      </c>
    </row>
    <row r="8572" spans="40:42" x14ac:dyDescent="0.3">
      <c r="AN8572">
        <v>8568</v>
      </c>
      <c r="AO8572" s="11">
        <v>24998.59</v>
      </c>
      <c r="AP8572" s="9">
        <v>3.4086247462894144</v>
      </c>
    </row>
    <row r="8573" spans="40:42" x14ac:dyDescent="0.3">
      <c r="AN8573">
        <v>8569</v>
      </c>
      <c r="AO8573" s="11">
        <v>19027.21</v>
      </c>
      <c r="AP8573" s="9">
        <v>3.2663823504600629</v>
      </c>
    </row>
    <row r="8574" spans="40:42" x14ac:dyDescent="0.3">
      <c r="AN8574">
        <v>8570</v>
      </c>
      <c r="AO8574" s="11">
        <v>23030.080000000002</v>
      </c>
      <c r="AP8574" s="9">
        <v>3.8801958734105821</v>
      </c>
    </row>
    <row r="8575" spans="40:42" x14ac:dyDescent="0.3">
      <c r="AN8575">
        <v>8571</v>
      </c>
      <c r="AO8575" s="11">
        <v>26705.99</v>
      </c>
      <c r="AP8575" s="9">
        <v>3.384840597731325</v>
      </c>
    </row>
    <row r="8576" spans="40:42" x14ac:dyDescent="0.3">
      <c r="AN8576">
        <v>8572</v>
      </c>
      <c r="AO8576" s="11">
        <v>25679.18</v>
      </c>
      <c r="AP8576" s="9">
        <v>3.4542079232160692</v>
      </c>
    </row>
    <row r="8577" spans="40:42" x14ac:dyDescent="0.3">
      <c r="AN8577">
        <v>8573</v>
      </c>
      <c r="AO8577" s="11">
        <v>18019.21</v>
      </c>
      <c r="AP8577" s="9">
        <v>4.2066620788678897</v>
      </c>
    </row>
    <row r="8578" spans="40:42" x14ac:dyDescent="0.3">
      <c r="AN8578">
        <v>8574</v>
      </c>
      <c r="AO8578" s="11">
        <v>22131.73</v>
      </c>
      <c r="AP8578" s="9">
        <v>3.7518925144887247</v>
      </c>
    </row>
    <row r="8579" spans="40:42" x14ac:dyDescent="0.3">
      <c r="AN8579">
        <v>8575</v>
      </c>
      <c r="AO8579" s="11">
        <v>30831.62</v>
      </c>
      <c r="AP8579" s="9">
        <v>3.0971558498091034</v>
      </c>
    </row>
    <row r="8580" spans="40:42" x14ac:dyDescent="0.3">
      <c r="AN8580">
        <v>8576</v>
      </c>
      <c r="AO8580" s="11">
        <v>33673.480000000003</v>
      </c>
      <c r="AP8580" s="9">
        <v>3.1083443638168018</v>
      </c>
    </row>
    <row r="8581" spans="40:42" x14ac:dyDescent="0.3">
      <c r="AN8581">
        <v>8577</v>
      </c>
      <c r="AO8581" s="11">
        <v>26904.880000000001</v>
      </c>
      <c r="AP8581" s="9">
        <v>3.1998277790712017</v>
      </c>
    </row>
    <row r="8582" spans="40:42" x14ac:dyDescent="0.3">
      <c r="AN8582">
        <v>8578</v>
      </c>
      <c r="AO8582" s="11">
        <v>15585.2</v>
      </c>
      <c r="AP8582" s="9">
        <v>2.8228406711851504</v>
      </c>
    </row>
    <row r="8583" spans="40:42" x14ac:dyDescent="0.3">
      <c r="AN8583">
        <v>8579</v>
      </c>
      <c r="AO8583" s="11">
        <v>33290.53</v>
      </c>
      <c r="AP8583" s="9">
        <v>3.6811312281842605</v>
      </c>
    </row>
    <row r="8584" spans="40:42" x14ac:dyDescent="0.3">
      <c r="AN8584">
        <v>8580</v>
      </c>
      <c r="AO8584" s="11">
        <v>14448.71</v>
      </c>
      <c r="AP8584" s="9">
        <v>3.2025108900923116</v>
      </c>
    </row>
    <row r="8585" spans="40:42" x14ac:dyDescent="0.3">
      <c r="AN8585">
        <v>8581</v>
      </c>
      <c r="AO8585" s="11">
        <v>16021.41</v>
      </c>
      <c r="AP8585" s="9">
        <v>2.7688730131429424</v>
      </c>
    </row>
    <row r="8586" spans="40:42" x14ac:dyDescent="0.3">
      <c r="AN8586">
        <v>8582</v>
      </c>
      <c r="AO8586" s="11">
        <v>33054.910000000003</v>
      </c>
      <c r="AP8586" s="9">
        <v>4.0013168272447679</v>
      </c>
    </row>
    <row r="8587" spans="40:42" x14ac:dyDescent="0.3">
      <c r="AN8587">
        <v>8583</v>
      </c>
      <c r="AO8587" s="11">
        <v>18953.78</v>
      </c>
      <c r="AP8587" s="9">
        <v>3.137448920002218</v>
      </c>
    </row>
    <row r="8588" spans="40:42" x14ac:dyDescent="0.3">
      <c r="AN8588">
        <v>8584</v>
      </c>
      <c r="AO8588" s="11">
        <v>19523.490000000002</v>
      </c>
      <c r="AP8588" s="9">
        <v>3.1632986856074639</v>
      </c>
    </row>
    <row r="8589" spans="40:42" x14ac:dyDescent="0.3">
      <c r="AN8589">
        <v>8585</v>
      </c>
      <c r="AO8589" s="11">
        <v>22396.720000000001</v>
      </c>
      <c r="AP8589" s="9">
        <v>3.5737996694819252</v>
      </c>
    </row>
    <row r="8590" spans="40:42" x14ac:dyDescent="0.3">
      <c r="AN8590">
        <v>8586</v>
      </c>
      <c r="AO8590" s="11">
        <v>28028.2</v>
      </c>
      <c r="AP8590" s="9">
        <v>3.5587277430256337</v>
      </c>
    </row>
    <row r="8591" spans="40:42" x14ac:dyDescent="0.3">
      <c r="AN8591">
        <v>8587</v>
      </c>
      <c r="AO8591" s="11">
        <v>23909.45</v>
      </c>
      <c r="AP8591" s="9">
        <v>3.5409409217961385</v>
      </c>
    </row>
    <row r="8592" spans="40:42" x14ac:dyDescent="0.3">
      <c r="AN8592">
        <v>8588</v>
      </c>
      <c r="AO8592" s="11">
        <v>42498.83</v>
      </c>
      <c r="AP8592" s="9">
        <v>3.5055485865335712</v>
      </c>
    </row>
    <row r="8593" spans="40:42" x14ac:dyDescent="0.3">
      <c r="AN8593">
        <v>8589</v>
      </c>
      <c r="AO8593" s="11">
        <v>44402.06</v>
      </c>
      <c r="AP8593" s="9">
        <v>3.5078630751685873</v>
      </c>
    </row>
    <row r="8594" spans="40:42" x14ac:dyDescent="0.3">
      <c r="AN8594">
        <v>8590</v>
      </c>
      <c r="AO8594" s="11">
        <v>24990.84</v>
      </c>
      <c r="AP8594" s="9">
        <v>3.5983289566451595</v>
      </c>
    </row>
    <row r="8595" spans="40:42" x14ac:dyDescent="0.3">
      <c r="AN8595">
        <v>8591</v>
      </c>
      <c r="AO8595" s="11">
        <v>29124.66</v>
      </c>
      <c r="AP8595" s="9">
        <v>4.1471042856338149</v>
      </c>
    </row>
    <row r="8596" spans="40:42" x14ac:dyDescent="0.3">
      <c r="AN8596">
        <v>8592</v>
      </c>
      <c r="AO8596" s="11">
        <v>25374.43</v>
      </c>
      <c r="AP8596" s="9">
        <v>2.8294843725259113</v>
      </c>
    </row>
    <row r="8597" spans="40:42" x14ac:dyDescent="0.3">
      <c r="AN8597">
        <v>8593</v>
      </c>
      <c r="AO8597" s="11">
        <v>30577.49</v>
      </c>
      <c r="AP8597" s="9">
        <v>3.5992242662184872</v>
      </c>
    </row>
    <row r="8598" spans="40:42" x14ac:dyDescent="0.3">
      <c r="AN8598">
        <v>8594</v>
      </c>
      <c r="AO8598" s="11">
        <v>22733.47</v>
      </c>
      <c r="AP8598" s="9">
        <v>3.2144701641726674</v>
      </c>
    </row>
    <row r="8599" spans="40:42" x14ac:dyDescent="0.3">
      <c r="AN8599">
        <v>8595</v>
      </c>
      <c r="AO8599" s="11">
        <v>15706.86</v>
      </c>
      <c r="AP8599" s="9">
        <v>2.8897381508880033</v>
      </c>
    </row>
    <row r="8600" spans="40:42" x14ac:dyDescent="0.3">
      <c r="AN8600">
        <v>8596</v>
      </c>
      <c r="AO8600" s="11">
        <v>29396.55</v>
      </c>
      <c r="AP8600" s="9">
        <v>3.1914897477455115</v>
      </c>
    </row>
    <row r="8601" spans="40:42" x14ac:dyDescent="0.3">
      <c r="AN8601">
        <v>8597</v>
      </c>
      <c r="AO8601" s="11">
        <v>18546.650000000001</v>
      </c>
      <c r="AP8601" s="9">
        <v>3.9077370029353773</v>
      </c>
    </row>
    <row r="8602" spans="40:42" x14ac:dyDescent="0.3">
      <c r="AN8602">
        <v>8598</v>
      </c>
      <c r="AO8602" s="11">
        <v>31849.03</v>
      </c>
      <c r="AP8602" s="9">
        <v>3.9016065295008153</v>
      </c>
    </row>
    <row r="8603" spans="40:42" x14ac:dyDescent="0.3">
      <c r="AN8603">
        <v>8599</v>
      </c>
      <c r="AO8603" s="11">
        <v>36473.660000000003</v>
      </c>
      <c r="AP8603" s="9">
        <v>3.2899459581737087</v>
      </c>
    </row>
    <row r="8604" spans="40:42" x14ac:dyDescent="0.3">
      <c r="AN8604">
        <v>8600</v>
      </c>
      <c r="AO8604" s="11">
        <v>35181.589999999997</v>
      </c>
      <c r="AP8604" s="9">
        <v>3.8337126033780651</v>
      </c>
    </row>
    <row r="8605" spans="40:42" x14ac:dyDescent="0.3">
      <c r="AN8605">
        <v>8601</v>
      </c>
      <c r="AO8605" s="11">
        <v>18962.53</v>
      </c>
      <c r="AP8605" s="9">
        <v>3.6862967580128632</v>
      </c>
    </row>
    <row r="8606" spans="40:42" x14ac:dyDescent="0.3">
      <c r="AN8606">
        <v>8602</v>
      </c>
      <c r="AO8606" s="11">
        <v>24693.08</v>
      </c>
      <c r="AP8606" s="9">
        <v>3.4302308764466702</v>
      </c>
    </row>
    <row r="8607" spans="40:42" x14ac:dyDescent="0.3">
      <c r="AN8607">
        <v>8603</v>
      </c>
      <c r="AO8607" s="11">
        <v>19817.22</v>
      </c>
      <c r="AP8607" s="9">
        <v>3.2856558078229638</v>
      </c>
    </row>
    <row r="8608" spans="40:42" x14ac:dyDescent="0.3">
      <c r="AN8608">
        <v>8604</v>
      </c>
      <c r="AO8608" s="11">
        <v>27765.41</v>
      </c>
      <c r="AP8608" s="9">
        <v>3.3836358939758298</v>
      </c>
    </row>
    <row r="8609" spans="40:42" x14ac:dyDescent="0.3">
      <c r="AN8609">
        <v>8605</v>
      </c>
      <c r="AO8609" s="11">
        <v>24550.91</v>
      </c>
      <c r="AP8609" s="9">
        <v>3.1197645051384923</v>
      </c>
    </row>
    <row r="8610" spans="40:42" x14ac:dyDescent="0.3">
      <c r="AN8610">
        <v>8606</v>
      </c>
      <c r="AO8610" s="11">
        <v>16447.419999999998</v>
      </c>
      <c r="AP8610" s="9">
        <v>3.3795700607432302</v>
      </c>
    </row>
    <row r="8611" spans="40:42" x14ac:dyDescent="0.3">
      <c r="AN8611">
        <v>8607</v>
      </c>
      <c r="AO8611" s="11">
        <v>25713.98</v>
      </c>
      <c r="AP8611" s="9">
        <v>3.602726347602077</v>
      </c>
    </row>
    <row r="8612" spans="40:42" x14ac:dyDescent="0.3">
      <c r="AN8612">
        <v>8608</v>
      </c>
      <c r="AO8612" s="11">
        <v>22533.02</v>
      </c>
      <c r="AP8612" s="9">
        <v>3.7804803892942349</v>
      </c>
    </row>
    <row r="8613" spans="40:42" x14ac:dyDescent="0.3">
      <c r="AN8613">
        <v>8609</v>
      </c>
      <c r="AO8613" s="11">
        <v>33886.33</v>
      </c>
      <c r="AP8613" s="9">
        <v>3.3600081645323829</v>
      </c>
    </row>
    <row r="8614" spans="40:42" x14ac:dyDescent="0.3">
      <c r="AN8614">
        <v>8610</v>
      </c>
      <c r="AO8614" s="11">
        <v>33138.21</v>
      </c>
      <c r="AP8614" s="9">
        <v>3.6228314850108143</v>
      </c>
    </row>
    <row r="8615" spans="40:42" x14ac:dyDescent="0.3">
      <c r="AN8615">
        <v>8611</v>
      </c>
      <c r="AO8615" s="11">
        <v>24502.22</v>
      </c>
      <c r="AP8615" s="9">
        <v>3.5226762232734563</v>
      </c>
    </row>
    <row r="8616" spans="40:42" x14ac:dyDescent="0.3">
      <c r="AN8616">
        <v>8612</v>
      </c>
      <c r="AO8616" s="11">
        <v>21532.28</v>
      </c>
      <c r="AP8616" s="9">
        <v>3.5010931626987811</v>
      </c>
    </row>
    <row r="8617" spans="40:42" x14ac:dyDescent="0.3">
      <c r="AN8617">
        <v>8613</v>
      </c>
      <c r="AO8617" s="11">
        <v>42131.22</v>
      </c>
      <c r="AP8617" s="9">
        <v>3.4051922468215468</v>
      </c>
    </row>
    <row r="8618" spans="40:42" x14ac:dyDescent="0.3">
      <c r="AN8618">
        <v>8614</v>
      </c>
      <c r="AO8618" s="11">
        <v>31686.21</v>
      </c>
      <c r="AP8618" s="9">
        <v>3.5181146943836441</v>
      </c>
    </row>
    <row r="8619" spans="40:42" x14ac:dyDescent="0.3">
      <c r="AN8619">
        <v>8615</v>
      </c>
      <c r="AO8619" s="11">
        <v>33750.199999999997</v>
      </c>
      <c r="AP8619" s="9">
        <v>2.9675330595460707</v>
      </c>
    </row>
    <row r="8620" spans="40:42" x14ac:dyDescent="0.3">
      <c r="AN8620">
        <v>8616</v>
      </c>
      <c r="AO8620" s="11">
        <v>25228.27</v>
      </c>
      <c r="AP8620" s="9">
        <v>3.5423854316170824</v>
      </c>
    </row>
    <row r="8621" spans="40:42" x14ac:dyDescent="0.3">
      <c r="AN8621">
        <v>8617</v>
      </c>
      <c r="AO8621" s="11">
        <v>27100.43</v>
      </c>
      <c r="AP8621" s="9">
        <v>3.5126618004343295</v>
      </c>
    </row>
    <row r="8622" spans="40:42" x14ac:dyDescent="0.3">
      <c r="AN8622">
        <v>8618</v>
      </c>
      <c r="AO8622" s="11">
        <v>23491.81</v>
      </c>
      <c r="AP8622" s="9">
        <v>3.4221690859833429</v>
      </c>
    </row>
    <row r="8623" spans="40:42" x14ac:dyDescent="0.3">
      <c r="AN8623">
        <v>8619</v>
      </c>
      <c r="AO8623" s="11">
        <v>31733.54</v>
      </c>
      <c r="AP8623" s="9">
        <v>3.5335706831863471</v>
      </c>
    </row>
    <row r="8624" spans="40:42" x14ac:dyDescent="0.3">
      <c r="AN8624">
        <v>8620</v>
      </c>
      <c r="AO8624" s="11">
        <v>26747.65</v>
      </c>
      <c r="AP8624" s="9">
        <v>3.1297841430403417</v>
      </c>
    </row>
    <row r="8625" spans="40:42" x14ac:dyDescent="0.3">
      <c r="AN8625">
        <v>8621</v>
      </c>
      <c r="AO8625" s="11">
        <v>15787.48</v>
      </c>
      <c r="AP8625" s="9">
        <v>3.5100450333141158</v>
      </c>
    </row>
    <row r="8626" spans="40:42" x14ac:dyDescent="0.3">
      <c r="AN8626">
        <v>8622</v>
      </c>
      <c r="AO8626" s="11">
        <v>19555.5</v>
      </c>
      <c r="AP8626" s="9">
        <v>2.9185540559308327</v>
      </c>
    </row>
    <row r="8627" spans="40:42" x14ac:dyDescent="0.3">
      <c r="AN8627">
        <v>8623</v>
      </c>
      <c r="AO8627" s="11">
        <v>35030.78</v>
      </c>
      <c r="AP8627" s="9">
        <v>3.3873391033054197</v>
      </c>
    </row>
    <row r="8628" spans="40:42" x14ac:dyDescent="0.3">
      <c r="AN8628">
        <v>8624</v>
      </c>
      <c r="AO8628" s="11">
        <v>43289.04</v>
      </c>
      <c r="AP8628" s="9">
        <v>3.6873005459619024</v>
      </c>
    </row>
    <row r="8629" spans="40:42" x14ac:dyDescent="0.3">
      <c r="AN8629">
        <v>8625</v>
      </c>
      <c r="AO8629" s="11">
        <v>34600.769999999997</v>
      </c>
      <c r="AP8629" s="9">
        <v>3.7727245304991937</v>
      </c>
    </row>
    <row r="8630" spans="40:42" x14ac:dyDescent="0.3">
      <c r="AN8630">
        <v>8626</v>
      </c>
      <c r="AO8630" s="11">
        <v>23343.87</v>
      </c>
      <c r="AP8630" s="9">
        <v>3.2871744421753055</v>
      </c>
    </row>
    <row r="8631" spans="40:42" x14ac:dyDescent="0.3">
      <c r="AN8631">
        <v>8627</v>
      </c>
      <c r="AO8631" s="11">
        <v>22143.62</v>
      </c>
      <c r="AP8631" s="9">
        <v>3.7768047071817015</v>
      </c>
    </row>
    <row r="8632" spans="40:42" x14ac:dyDescent="0.3">
      <c r="AN8632">
        <v>8628</v>
      </c>
      <c r="AO8632" s="11">
        <v>30339.89</v>
      </c>
      <c r="AP8632" s="9">
        <v>3.5979137110614388</v>
      </c>
    </row>
    <row r="8633" spans="40:42" x14ac:dyDescent="0.3">
      <c r="AN8633">
        <v>8629</v>
      </c>
      <c r="AO8633" s="11">
        <v>20612.919999999998</v>
      </c>
      <c r="AP8633" s="9">
        <v>3.30637720928822</v>
      </c>
    </row>
    <row r="8634" spans="40:42" x14ac:dyDescent="0.3">
      <c r="AN8634">
        <v>8630</v>
      </c>
      <c r="AO8634" s="11">
        <v>31898.44</v>
      </c>
      <c r="AP8634" s="9">
        <v>3.7222760512395432</v>
      </c>
    </row>
    <row r="8635" spans="40:42" x14ac:dyDescent="0.3">
      <c r="AN8635">
        <v>8631</v>
      </c>
      <c r="AO8635" s="11">
        <v>28448.2</v>
      </c>
      <c r="AP8635" s="9">
        <v>3.2146542957390793</v>
      </c>
    </row>
    <row r="8636" spans="40:42" x14ac:dyDescent="0.3">
      <c r="AN8636">
        <v>8632</v>
      </c>
      <c r="AO8636" s="11">
        <v>24596.639999999999</v>
      </c>
      <c r="AP8636" s="9">
        <v>2.3968237851171268</v>
      </c>
    </row>
    <row r="8637" spans="40:42" x14ac:dyDescent="0.3">
      <c r="AN8637">
        <v>8633</v>
      </c>
      <c r="AO8637" s="11">
        <v>30838.95</v>
      </c>
      <c r="AP8637" s="9">
        <v>3.0048742550327763</v>
      </c>
    </row>
    <row r="8638" spans="40:42" x14ac:dyDescent="0.3">
      <c r="AN8638">
        <v>8634</v>
      </c>
      <c r="AO8638" s="11">
        <v>25363.98</v>
      </c>
      <c r="AP8638" s="9">
        <v>3.1241902470398317</v>
      </c>
    </row>
    <row r="8639" spans="40:42" x14ac:dyDescent="0.3">
      <c r="AN8639">
        <v>8635</v>
      </c>
      <c r="AO8639" s="11">
        <v>22743.39</v>
      </c>
      <c r="AP8639" s="9">
        <v>3.4763233372247688</v>
      </c>
    </row>
    <row r="8640" spans="40:42" x14ac:dyDescent="0.3">
      <c r="AN8640">
        <v>8636</v>
      </c>
      <c r="AO8640" s="11">
        <v>31438.36</v>
      </c>
      <c r="AP8640" s="9">
        <v>3.3057749611788219</v>
      </c>
    </row>
    <row r="8641" spans="40:42" x14ac:dyDescent="0.3">
      <c r="AN8641">
        <v>8637</v>
      </c>
      <c r="AO8641" s="11">
        <v>23650.86</v>
      </c>
      <c r="AP8641" s="9">
        <v>2.7796858569323484</v>
      </c>
    </row>
    <row r="8642" spans="40:42" x14ac:dyDescent="0.3">
      <c r="AN8642">
        <v>8638</v>
      </c>
      <c r="AO8642" s="11">
        <v>32368.19</v>
      </c>
      <c r="AP8642" s="9">
        <v>3.2369746845428904</v>
      </c>
    </row>
    <row r="8643" spans="40:42" x14ac:dyDescent="0.3">
      <c r="AN8643">
        <v>8639</v>
      </c>
      <c r="AO8643" s="11">
        <v>17522.27</v>
      </c>
      <c r="AP8643" s="9">
        <v>3.158463276657042</v>
      </c>
    </row>
    <row r="8644" spans="40:42" x14ac:dyDescent="0.3">
      <c r="AN8644">
        <v>8640</v>
      </c>
      <c r="AO8644" s="11">
        <v>26414.09</v>
      </c>
      <c r="AP8644" s="9">
        <v>3.0779140117032475</v>
      </c>
    </row>
    <row r="8645" spans="40:42" x14ac:dyDescent="0.3">
      <c r="AN8645">
        <v>8641</v>
      </c>
      <c r="AO8645" s="11">
        <v>27334.74</v>
      </c>
      <c r="AP8645" s="9">
        <v>2.8876046559473223</v>
      </c>
    </row>
    <row r="8646" spans="40:42" x14ac:dyDescent="0.3">
      <c r="AN8646">
        <v>8642</v>
      </c>
      <c r="AO8646" s="11">
        <v>37942.699999999997</v>
      </c>
      <c r="AP8646" s="9">
        <v>3.8504946564294928</v>
      </c>
    </row>
    <row r="8647" spans="40:42" x14ac:dyDescent="0.3">
      <c r="AN8647">
        <v>8643</v>
      </c>
      <c r="AO8647" s="11">
        <v>26261.53</v>
      </c>
      <c r="AP8647" s="9">
        <v>3.0000692165097003</v>
      </c>
    </row>
    <row r="8648" spans="40:42" x14ac:dyDescent="0.3">
      <c r="AN8648">
        <v>8644</v>
      </c>
      <c r="AO8648" s="11">
        <v>22668.01</v>
      </c>
      <c r="AP8648" s="9">
        <v>3.2623480627109096</v>
      </c>
    </row>
    <row r="8649" spans="40:42" x14ac:dyDescent="0.3">
      <c r="AN8649">
        <v>8645</v>
      </c>
      <c r="AO8649" s="11">
        <v>31621.18</v>
      </c>
      <c r="AP8649" s="9">
        <v>3.7292680420947049</v>
      </c>
    </row>
    <row r="8650" spans="40:42" x14ac:dyDescent="0.3">
      <c r="AN8650">
        <v>8646</v>
      </c>
      <c r="AO8650" s="11">
        <v>40024.92</v>
      </c>
      <c r="AP8650" s="9">
        <v>3.5731339876186183</v>
      </c>
    </row>
    <row r="8651" spans="40:42" x14ac:dyDescent="0.3">
      <c r="AN8651">
        <v>8647</v>
      </c>
      <c r="AO8651" s="11">
        <v>25762.07</v>
      </c>
      <c r="AP8651" s="9">
        <v>3.38382976722714</v>
      </c>
    </row>
    <row r="8652" spans="40:42" x14ac:dyDescent="0.3">
      <c r="AN8652">
        <v>8648</v>
      </c>
      <c r="AO8652" s="11">
        <v>21015.95</v>
      </c>
      <c r="AP8652" s="9">
        <v>3.1268989711166713</v>
      </c>
    </row>
    <row r="8653" spans="40:42" x14ac:dyDescent="0.3">
      <c r="AN8653">
        <v>8649</v>
      </c>
      <c r="AO8653" s="11">
        <v>32091.91</v>
      </c>
      <c r="AP8653" s="9">
        <v>3.4501309960917905</v>
      </c>
    </row>
    <row r="8654" spans="40:42" x14ac:dyDescent="0.3">
      <c r="AN8654">
        <v>8650</v>
      </c>
      <c r="AO8654" s="11">
        <v>27702.89</v>
      </c>
      <c r="AP8654" s="9">
        <v>3.4556589149602819</v>
      </c>
    </row>
    <row r="8655" spans="40:42" x14ac:dyDescent="0.3">
      <c r="AN8655">
        <v>8651</v>
      </c>
      <c r="AO8655" s="11">
        <v>35676.19</v>
      </c>
      <c r="AP8655" s="9">
        <v>4.7968521503893768</v>
      </c>
    </row>
    <row r="8656" spans="40:42" x14ac:dyDescent="0.3">
      <c r="AN8656">
        <v>8652</v>
      </c>
      <c r="AO8656" s="11">
        <v>16278.15</v>
      </c>
      <c r="AP8656" s="9">
        <v>3.2959125062579679</v>
      </c>
    </row>
    <row r="8657" spans="40:42" x14ac:dyDescent="0.3">
      <c r="AN8657">
        <v>8653</v>
      </c>
      <c r="AO8657" s="11">
        <v>25504.46</v>
      </c>
      <c r="AP8657" s="9">
        <v>3.5568624872568848</v>
      </c>
    </row>
    <row r="8658" spans="40:42" x14ac:dyDescent="0.3">
      <c r="AN8658">
        <v>8654</v>
      </c>
      <c r="AO8658" s="11">
        <v>28244.43</v>
      </c>
      <c r="AP8658" s="9">
        <v>3.3278455180863431</v>
      </c>
    </row>
    <row r="8659" spans="40:42" x14ac:dyDescent="0.3">
      <c r="AN8659">
        <v>8655</v>
      </c>
      <c r="AO8659" s="11">
        <v>19362.900000000001</v>
      </c>
      <c r="AP8659" s="9">
        <v>3.3837439965189446</v>
      </c>
    </row>
    <row r="8660" spans="40:42" x14ac:dyDescent="0.3">
      <c r="AN8660">
        <v>8656</v>
      </c>
      <c r="AO8660" s="11">
        <v>30041.32</v>
      </c>
      <c r="AP8660" s="9">
        <v>3.7424088224347658</v>
      </c>
    </row>
    <row r="8661" spans="40:42" x14ac:dyDescent="0.3">
      <c r="AN8661">
        <v>8657</v>
      </c>
      <c r="AO8661" s="11">
        <v>28390.55</v>
      </c>
      <c r="AP8661" s="9">
        <v>4.1036542992123257</v>
      </c>
    </row>
    <row r="8662" spans="40:42" x14ac:dyDescent="0.3">
      <c r="AN8662">
        <v>8658</v>
      </c>
      <c r="AO8662" s="11">
        <v>33961.72</v>
      </c>
      <c r="AP8662" s="9">
        <v>3.6678608380341138</v>
      </c>
    </row>
    <row r="8663" spans="40:42" x14ac:dyDescent="0.3">
      <c r="AN8663">
        <v>8659</v>
      </c>
      <c r="AO8663" s="11">
        <v>18918.150000000001</v>
      </c>
      <c r="AP8663" s="9">
        <v>3.4510949976080467</v>
      </c>
    </row>
    <row r="8664" spans="40:42" x14ac:dyDescent="0.3">
      <c r="AN8664">
        <v>8660</v>
      </c>
      <c r="AO8664" s="11">
        <v>35267.440000000002</v>
      </c>
      <c r="AP8664" s="9">
        <v>4.1311847416100669</v>
      </c>
    </row>
    <row r="8665" spans="40:42" x14ac:dyDescent="0.3">
      <c r="AN8665">
        <v>8661</v>
      </c>
      <c r="AO8665" s="11">
        <v>26204.38</v>
      </c>
      <c r="AP8665" s="9">
        <v>3.6809421593090916</v>
      </c>
    </row>
    <row r="8666" spans="40:42" x14ac:dyDescent="0.3">
      <c r="AN8666">
        <v>8662</v>
      </c>
      <c r="AO8666" s="11">
        <v>27729.73</v>
      </c>
      <c r="AP8666" s="9">
        <v>3.5590402984438327</v>
      </c>
    </row>
    <row r="8667" spans="40:42" x14ac:dyDescent="0.3">
      <c r="AN8667">
        <v>8663</v>
      </c>
      <c r="AO8667" s="11">
        <v>22530.2</v>
      </c>
      <c r="AP8667" s="9">
        <v>2.7368667233271364</v>
      </c>
    </row>
    <row r="8668" spans="40:42" x14ac:dyDescent="0.3">
      <c r="AN8668">
        <v>8664</v>
      </c>
      <c r="AO8668" s="11">
        <v>24726.76</v>
      </c>
      <c r="AP8668" s="9">
        <v>3.7571784118427942</v>
      </c>
    </row>
    <row r="8669" spans="40:42" x14ac:dyDescent="0.3">
      <c r="AN8669">
        <v>8665</v>
      </c>
      <c r="AO8669" s="11">
        <v>22125.56</v>
      </c>
      <c r="AP8669" s="9">
        <v>3.0799542100495105</v>
      </c>
    </row>
    <row r="8670" spans="40:42" x14ac:dyDescent="0.3">
      <c r="AN8670">
        <v>8666</v>
      </c>
      <c r="AO8670" s="11">
        <v>27377.4</v>
      </c>
      <c r="AP8670" s="9">
        <v>3.6317166229761586</v>
      </c>
    </row>
    <row r="8671" spans="40:42" x14ac:dyDescent="0.3">
      <c r="AN8671">
        <v>8667</v>
      </c>
      <c r="AO8671" s="11">
        <v>26769.64</v>
      </c>
      <c r="AP8671" s="9">
        <v>3.9654766334739602</v>
      </c>
    </row>
    <row r="8672" spans="40:42" x14ac:dyDescent="0.3">
      <c r="AN8672">
        <v>8668</v>
      </c>
      <c r="AO8672" s="11">
        <v>23675.37</v>
      </c>
      <c r="AP8672" s="9">
        <v>3.251273411775641</v>
      </c>
    </row>
    <row r="8673" spans="40:42" x14ac:dyDescent="0.3">
      <c r="AN8673">
        <v>8669</v>
      </c>
      <c r="AO8673" s="11">
        <v>33304.86</v>
      </c>
      <c r="AP8673" s="9">
        <v>3.4535548244345371</v>
      </c>
    </row>
    <row r="8674" spans="40:42" x14ac:dyDescent="0.3">
      <c r="AN8674">
        <v>8670</v>
      </c>
      <c r="AO8674" s="11">
        <v>26178.28</v>
      </c>
      <c r="AP8674" s="9">
        <v>3.5426111462490608</v>
      </c>
    </row>
    <row r="8675" spans="40:42" x14ac:dyDescent="0.3">
      <c r="AN8675">
        <v>8671</v>
      </c>
      <c r="AO8675" s="11">
        <v>29334.880000000001</v>
      </c>
      <c r="AP8675" s="9">
        <v>3.7193994105665089</v>
      </c>
    </row>
    <row r="8676" spans="40:42" x14ac:dyDescent="0.3">
      <c r="AN8676">
        <v>8672</v>
      </c>
      <c r="AO8676" s="11">
        <v>18581.86</v>
      </c>
      <c r="AP8676" s="9">
        <v>2.8693079676192896</v>
      </c>
    </row>
    <row r="8677" spans="40:42" x14ac:dyDescent="0.3">
      <c r="AN8677">
        <v>8673</v>
      </c>
      <c r="AO8677" s="11">
        <v>32100.98</v>
      </c>
      <c r="AP8677" s="9">
        <v>3.4230880281836229</v>
      </c>
    </row>
    <row r="8678" spans="40:42" x14ac:dyDescent="0.3">
      <c r="AN8678">
        <v>8674</v>
      </c>
      <c r="AO8678" s="11">
        <v>23574.23</v>
      </c>
      <c r="AP8678" s="9">
        <v>3.8332460238918959</v>
      </c>
    </row>
    <row r="8679" spans="40:42" x14ac:dyDescent="0.3">
      <c r="AN8679">
        <v>8675</v>
      </c>
      <c r="AO8679" s="11">
        <v>34740.080000000002</v>
      </c>
      <c r="AP8679" s="9">
        <v>3.6568744901223109</v>
      </c>
    </row>
    <row r="8680" spans="40:42" x14ac:dyDescent="0.3">
      <c r="AN8680">
        <v>8676</v>
      </c>
      <c r="AO8680" s="11">
        <v>32688.47</v>
      </c>
      <c r="AP8680" s="9">
        <v>3.5227967839493437</v>
      </c>
    </row>
    <row r="8681" spans="40:42" x14ac:dyDescent="0.3">
      <c r="AN8681">
        <v>8677</v>
      </c>
      <c r="AO8681" s="11">
        <v>29685.45</v>
      </c>
      <c r="AP8681" s="9">
        <v>3.203893941999103</v>
      </c>
    </row>
    <row r="8682" spans="40:42" x14ac:dyDescent="0.3">
      <c r="AN8682">
        <v>8678</v>
      </c>
      <c r="AO8682" s="11">
        <v>27664.240000000002</v>
      </c>
      <c r="AP8682" s="9">
        <v>3.128731749584218</v>
      </c>
    </row>
    <row r="8683" spans="40:42" x14ac:dyDescent="0.3">
      <c r="AN8683">
        <v>8679</v>
      </c>
      <c r="AO8683" s="11">
        <v>31470.48</v>
      </c>
      <c r="AP8683" s="9">
        <v>3.7780974462731081</v>
      </c>
    </row>
    <row r="8684" spans="40:42" x14ac:dyDescent="0.3">
      <c r="AN8684">
        <v>8680</v>
      </c>
      <c r="AO8684" s="11">
        <v>33289.879999999997</v>
      </c>
      <c r="AP8684" s="9">
        <v>3.5050897482490515</v>
      </c>
    </row>
    <row r="8685" spans="40:42" x14ac:dyDescent="0.3">
      <c r="AN8685">
        <v>8681</v>
      </c>
      <c r="AO8685" s="11">
        <v>32303.88</v>
      </c>
      <c r="AP8685" s="9">
        <v>3.2697904305526939</v>
      </c>
    </row>
    <row r="8686" spans="40:42" x14ac:dyDescent="0.3">
      <c r="AN8686">
        <v>8682</v>
      </c>
      <c r="AO8686" s="11">
        <v>29832.85</v>
      </c>
      <c r="AP8686" s="9">
        <v>3.7979016965699501</v>
      </c>
    </row>
    <row r="8687" spans="40:42" x14ac:dyDescent="0.3">
      <c r="AN8687">
        <v>8683</v>
      </c>
      <c r="AO8687" s="11">
        <v>34438.080000000002</v>
      </c>
      <c r="AP8687" s="9">
        <v>3.7072782341898631</v>
      </c>
    </row>
    <row r="8688" spans="40:42" x14ac:dyDescent="0.3">
      <c r="AN8688">
        <v>8684</v>
      </c>
      <c r="AO8688" s="11">
        <v>37838.120000000003</v>
      </c>
      <c r="AP8688" s="9">
        <v>3.8066944307959556</v>
      </c>
    </row>
    <row r="8689" spans="40:42" x14ac:dyDescent="0.3">
      <c r="AN8689">
        <v>8685</v>
      </c>
      <c r="AO8689" s="11">
        <v>41623.85</v>
      </c>
      <c r="AP8689" s="9">
        <v>4.1650831059039239</v>
      </c>
    </row>
    <row r="8690" spans="40:42" x14ac:dyDescent="0.3">
      <c r="AN8690">
        <v>8686</v>
      </c>
      <c r="AO8690" s="11">
        <v>42622.53</v>
      </c>
      <c r="AP8690" s="9">
        <v>3.1299489935856388</v>
      </c>
    </row>
    <row r="8691" spans="40:42" x14ac:dyDescent="0.3">
      <c r="AN8691">
        <v>8687</v>
      </c>
      <c r="AO8691" s="11">
        <v>23905.01</v>
      </c>
      <c r="AP8691" s="9">
        <v>3.2072036468826113</v>
      </c>
    </row>
    <row r="8692" spans="40:42" x14ac:dyDescent="0.3">
      <c r="AN8692">
        <v>8688</v>
      </c>
      <c r="AO8692" s="11">
        <v>21707.47</v>
      </c>
      <c r="AP8692" s="9">
        <v>3.6091579666126656</v>
      </c>
    </row>
    <row r="8693" spans="40:42" x14ac:dyDescent="0.3">
      <c r="AN8693">
        <v>8689</v>
      </c>
      <c r="AO8693" s="11">
        <v>20459.689999999999</v>
      </c>
      <c r="AP8693" s="9">
        <v>3.4095344701143282</v>
      </c>
    </row>
    <row r="8694" spans="40:42" x14ac:dyDescent="0.3">
      <c r="AN8694">
        <v>8690</v>
      </c>
      <c r="AO8694" s="11">
        <v>15617.76</v>
      </c>
      <c r="AP8694" s="9">
        <v>3.2330485826453659</v>
      </c>
    </row>
    <row r="8695" spans="40:42" x14ac:dyDescent="0.3">
      <c r="AN8695">
        <v>8691</v>
      </c>
      <c r="AO8695" s="11">
        <v>11805.07</v>
      </c>
      <c r="AP8695" s="9">
        <v>2.5996484250252565</v>
      </c>
    </row>
    <row r="8696" spans="40:42" x14ac:dyDescent="0.3">
      <c r="AN8696">
        <v>8692</v>
      </c>
      <c r="AO8696" s="11">
        <v>28360.41</v>
      </c>
      <c r="AP8696" s="9">
        <v>3.6852969161451408</v>
      </c>
    </row>
    <row r="8697" spans="40:42" x14ac:dyDescent="0.3">
      <c r="AN8697">
        <v>8693</v>
      </c>
      <c r="AO8697" s="11">
        <v>31900.36</v>
      </c>
      <c r="AP8697" s="9">
        <v>3.8018915016792163</v>
      </c>
    </row>
    <row r="8698" spans="40:42" x14ac:dyDescent="0.3">
      <c r="AN8698">
        <v>8694</v>
      </c>
      <c r="AO8698" s="11">
        <v>34452.53</v>
      </c>
      <c r="AP8698" s="9">
        <v>3.9233162558214287</v>
      </c>
    </row>
    <row r="8699" spans="40:42" x14ac:dyDescent="0.3">
      <c r="AN8699">
        <v>8695</v>
      </c>
      <c r="AO8699" s="11">
        <v>37562.6</v>
      </c>
      <c r="AP8699" s="9">
        <v>4.0554430462526794</v>
      </c>
    </row>
    <row r="8700" spans="40:42" x14ac:dyDescent="0.3">
      <c r="AN8700">
        <v>8696</v>
      </c>
      <c r="AO8700" s="11">
        <v>23098.87</v>
      </c>
      <c r="AP8700" s="9">
        <v>3.5685798449622497</v>
      </c>
    </row>
    <row r="8701" spans="40:42" x14ac:dyDescent="0.3">
      <c r="AN8701">
        <v>8697</v>
      </c>
      <c r="AO8701" s="11">
        <v>20741.810000000001</v>
      </c>
      <c r="AP8701" s="9">
        <v>2.8934365309251313</v>
      </c>
    </row>
    <row r="8702" spans="40:42" x14ac:dyDescent="0.3">
      <c r="AN8702">
        <v>8698</v>
      </c>
      <c r="AO8702" s="11">
        <v>25195.19</v>
      </c>
      <c r="AP8702" s="9">
        <v>4.0433024942183495</v>
      </c>
    </row>
    <row r="8703" spans="40:42" x14ac:dyDescent="0.3">
      <c r="AN8703">
        <v>8699</v>
      </c>
      <c r="AO8703" s="11">
        <v>18477.91</v>
      </c>
      <c r="AP8703" s="9">
        <v>2.9705216617738412</v>
      </c>
    </row>
    <row r="8704" spans="40:42" x14ac:dyDescent="0.3">
      <c r="AN8704">
        <v>8700</v>
      </c>
      <c r="AO8704" s="11">
        <v>32360.33</v>
      </c>
      <c r="AP8704" s="9">
        <v>3.9864761141450082</v>
      </c>
    </row>
    <row r="8705" spans="40:42" x14ac:dyDescent="0.3">
      <c r="AN8705">
        <v>8701</v>
      </c>
      <c r="AO8705" s="11">
        <v>20762.169999999998</v>
      </c>
      <c r="AP8705" s="9">
        <v>3.2242835985079634</v>
      </c>
    </row>
    <row r="8706" spans="40:42" x14ac:dyDescent="0.3">
      <c r="AN8706">
        <v>8702</v>
      </c>
      <c r="AO8706" s="11">
        <v>48270.93</v>
      </c>
      <c r="AP8706" s="9">
        <v>3.3375349158787095</v>
      </c>
    </row>
    <row r="8707" spans="40:42" x14ac:dyDescent="0.3">
      <c r="AN8707">
        <v>8703</v>
      </c>
      <c r="AO8707" s="11">
        <v>42532.92</v>
      </c>
      <c r="AP8707" s="9">
        <v>3.609061323724017</v>
      </c>
    </row>
    <row r="8708" spans="40:42" x14ac:dyDescent="0.3">
      <c r="AN8708">
        <v>8704</v>
      </c>
      <c r="AO8708" s="11">
        <v>26464.65</v>
      </c>
      <c r="AP8708" s="9">
        <v>3.0933669888902622</v>
      </c>
    </row>
    <row r="8709" spans="40:42" x14ac:dyDescent="0.3">
      <c r="AN8709">
        <v>8705</v>
      </c>
      <c r="AO8709" s="11">
        <v>22430.26</v>
      </c>
      <c r="AP8709" s="9">
        <v>3.0237758322592247</v>
      </c>
    </row>
    <row r="8710" spans="40:42" x14ac:dyDescent="0.3">
      <c r="AN8710">
        <v>8706</v>
      </c>
      <c r="AO8710" s="11">
        <v>32152.880000000001</v>
      </c>
      <c r="AP8710" s="9">
        <v>3.1469218736877669</v>
      </c>
    </row>
    <row r="8711" spans="40:42" x14ac:dyDescent="0.3">
      <c r="AN8711">
        <v>8707</v>
      </c>
      <c r="AO8711" s="11">
        <v>26479.9</v>
      </c>
      <c r="AP8711" s="9">
        <v>2.7385534049811007</v>
      </c>
    </row>
    <row r="8712" spans="40:42" x14ac:dyDescent="0.3">
      <c r="AN8712">
        <v>8708</v>
      </c>
      <c r="AO8712" s="11">
        <v>45479.15</v>
      </c>
      <c r="AP8712" s="9">
        <v>4.0939323233537168</v>
      </c>
    </row>
    <row r="8713" spans="40:42" x14ac:dyDescent="0.3">
      <c r="AN8713">
        <v>8709</v>
      </c>
      <c r="AO8713" s="11">
        <v>23078.400000000001</v>
      </c>
      <c r="AP8713" s="9">
        <v>2.9424153969921538</v>
      </c>
    </row>
    <row r="8714" spans="40:42" x14ac:dyDescent="0.3">
      <c r="AN8714">
        <v>8710</v>
      </c>
      <c r="AO8714" s="11">
        <v>28065.71</v>
      </c>
      <c r="AP8714" s="9">
        <v>3.7469859320708316</v>
      </c>
    </row>
    <row r="8715" spans="40:42" x14ac:dyDescent="0.3">
      <c r="AN8715">
        <v>8711</v>
      </c>
      <c r="AO8715" s="11">
        <v>29068.92</v>
      </c>
      <c r="AP8715" s="9">
        <v>3.6367099046697136</v>
      </c>
    </row>
    <row r="8716" spans="40:42" x14ac:dyDescent="0.3">
      <c r="AN8716">
        <v>8712</v>
      </c>
      <c r="AO8716" s="11">
        <v>33504.43</v>
      </c>
      <c r="AP8716" s="9">
        <v>3.7373259413789932</v>
      </c>
    </row>
    <row r="8717" spans="40:42" x14ac:dyDescent="0.3">
      <c r="AN8717">
        <v>8713</v>
      </c>
      <c r="AO8717" s="11">
        <v>43042.65</v>
      </c>
      <c r="AP8717" s="9">
        <v>3.4136844523597909</v>
      </c>
    </row>
    <row r="8718" spans="40:42" x14ac:dyDescent="0.3">
      <c r="AN8718">
        <v>8714</v>
      </c>
      <c r="AO8718" s="11">
        <v>22597.3</v>
      </c>
      <c r="AP8718" s="9">
        <v>3.5996936745423214</v>
      </c>
    </row>
    <row r="8719" spans="40:42" x14ac:dyDescent="0.3">
      <c r="AN8719">
        <v>8715</v>
      </c>
      <c r="AO8719" s="11">
        <v>30283.83</v>
      </c>
      <c r="AP8719" s="9">
        <v>3.6124062809750681</v>
      </c>
    </row>
    <row r="8720" spans="40:42" x14ac:dyDescent="0.3">
      <c r="AN8720">
        <v>8716</v>
      </c>
      <c r="AO8720" s="11">
        <v>29782.67</v>
      </c>
      <c r="AP8720" s="9">
        <v>3.3689078475709633</v>
      </c>
    </row>
    <row r="8721" spans="40:42" x14ac:dyDescent="0.3">
      <c r="AN8721">
        <v>8717</v>
      </c>
      <c r="AO8721" s="11">
        <v>33250.19</v>
      </c>
      <c r="AP8721" s="9">
        <v>3.0672547561427215</v>
      </c>
    </row>
    <row r="8722" spans="40:42" x14ac:dyDescent="0.3">
      <c r="AN8722">
        <v>8718</v>
      </c>
      <c r="AO8722" s="11">
        <v>19706.080000000002</v>
      </c>
      <c r="AP8722" s="9">
        <v>4.0604633329161288</v>
      </c>
    </row>
    <row r="8723" spans="40:42" x14ac:dyDescent="0.3">
      <c r="AN8723">
        <v>8719</v>
      </c>
      <c r="AO8723" s="11">
        <v>29330.36</v>
      </c>
      <c r="AP8723" s="9">
        <v>3.5380912805387736</v>
      </c>
    </row>
    <row r="8724" spans="40:42" x14ac:dyDescent="0.3">
      <c r="AN8724">
        <v>8720</v>
      </c>
      <c r="AO8724" s="11">
        <v>18933.82</v>
      </c>
      <c r="AP8724" s="9">
        <v>3.1204035465012629</v>
      </c>
    </row>
    <row r="8725" spans="40:42" x14ac:dyDescent="0.3">
      <c r="AN8725">
        <v>8721</v>
      </c>
      <c r="AO8725" s="11">
        <v>24200.76</v>
      </c>
      <c r="AP8725" s="9">
        <v>3.6541673738335056</v>
      </c>
    </row>
    <row r="8726" spans="40:42" x14ac:dyDescent="0.3">
      <c r="AN8726">
        <v>8722</v>
      </c>
      <c r="AO8726" s="11">
        <v>31986.51</v>
      </c>
      <c r="AP8726" s="9">
        <v>3.1632940022396445</v>
      </c>
    </row>
    <row r="8727" spans="40:42" x14ac:dyDescent="0.3">
      <c r="AN8727">
        <v>8723</v>
      </c>
      <c r="AO8727" s="11">
        <v>22046.43</v>
      </c>
      <c r="AP8727" s="9">
        <v>3.1365489539582088</v>
      </c>
    </row>
    <row r="8728" spans="40:42" x14ac:dyDescent="0.3">
      <c r="AN8728">
        <v>8724</v>
      </c>
      <c r="AO8728" s="11">
        <v>31894.639999999999</v>
      </c>
      <c r="AP8728" s="9">
        <v>2.97960506008357</v>
      </c>
    </row>
    <row r="8729" spans="40:42" x14ac:dyDescent="0.3">
      <c r="AN8729">
        <v>8725</v>
      </c>
      <c r="AO8729" s="11">
        <v>27873.39</v>
      </c>
      <c r="AP8729" s="9">
        <v>2.9736858323439592</v>
      </c>
    </row>
    <row r="8730" spans="40:42" x14ac:dyDescent="0.3">
      <c r="AN8730">
        <v>8726</v>
      </c>
      <c r="AO8730" s="11">
        <v>24445.63</v>
      </c>
      <c r="AP8730" s="9">
        <v>3.2952771193005361</v>
      </c>
    </row>
    <row r="8731" spans="40:42" x14ac:dyDescent="0.3">
      <c r="AN8731">
        <v>8727</v>
      </c>
      <c r="AO8731" s="11">
        <v>38536.58</v>
      </c>
      <c r="AP8731" s="9">
        <v>3.5415116090258087</v>
      </c>
    </row>
    <row r="8732" spans="40:42" x14ac:dyDescent="0.3">
      <c r="AN8732">
        <v>8728</v>
      </c>
      <c r="AO8732" s="11">
        <v>33490.870000000003</v>
      </c>
      <c r="AP8732" s="9">
        <v>3.3691088026021632</v>
      </c>
    </row>
    <row r="8733" spans="40:42" x14ac:dyDescent="0.3">
      <c r="AN8733">
        <v>8729</v>
      </c>
      <c r="AO8733" s="11">
        <v>24835.17</v>
      </c>
      <c r="AP8733" s="9">
        <v>3.7034900653683378</v>
      </c>
    </row>
    <row r="8734" spans="40:42" x14ac:dyDescent="0.3">
      <c r="AN8734">
        <v>8730</v>
      </c>
      <c r="AO8734" s="11">
        <v>35915.230000000003</v>
      </c>
      <c r="AP8734" s="9">
        <v>3.38423437264044</v>
      </c>
    </row>
    <row r="8735" spans="40:42" x14ac:dyDescent="0.3">
      <c r="AN8735">
        <v>8731</v>
      </c>
      <c r="AO8735" s="11">
        <v>19201.36</v>
      </c>
      <c r="AP8735" s="9">
        <v>2.5910075039546112</v>
      </c>
    </row>
    <row r="8736" spans="40:42" x14ac:dyDescent="0.3">
      <c r="AN8736">
        <v>8732</v>
      </c>
      <c r="AO8736" s="11">
        <v>23232.68</v>
      </c>
      <c r="AP8736" s="9">
        <v>3.7470005680952512</v>
      </c>
    </row>
    <row r="8737" spans="40:42" x14ac:dyDescent="0.3">
      <c r="AN8737">
        <v>8733</v>
      </c>
      <c r="AO8737" s="11">
        <v>13858.02</v>
      </c>
      <c r="AP8737" s="9">
        <v>3.2253171182012381</v>
      </c>
    </row>
    <row r="8738" spans="40:42" x14ac:dyDescent="0.3">
      <c r="AN8738">
        <v>8734</v>
      </c>
      <c r="AO8738" s="11">
        <v>23456</v>
      </c>
      <c r="AP8738" s="9">
        <v>2.8036796982679739</v>
      </c>
    </row>
    <row r="8739" spans="40:42" x14ac:dyDescent="0.3">
      <c r="AN8739">
        <v>8735</v>
      </c>
      <c r="AO8739" s="11">
        <v>36877.01</v>
      </c>
      <c r="AP8739" s="9">
        <v>2.9791700734848998</v>
      </c>
    </row>
    <row r="8740" spans="40:42" x14ac:dyDescent="0.3">
      <c r="AN8740">
        <v>8736</v>
      </c>
      <c r="AO8740" s="11">
        <v>25908.28</v>
      </c>
      <c r="AP8740" s="9">
        <v>2.8149361484530813</v>
      </c>
    </row>
    <row r="8741" spans="40:42" x14ac:dyDescent="0.3">
      <c r="AN8741">
        <v>8737</v>
      </c>
      <c r="AO8741" s="11">
        <v>39522.160000000003</v>
      </c>
      <c r="AP8741" s="9">
        <v>4.7986250189575692</v>
      </c>
    </row>
    <row r="8742" spans="40:42" x14ac:dyDescent="0.3">
      <c r="AN8742">
        <v>8738</v>
      </c>
      <c r="AO8742" s="11">
        <v>19419.86</v>
      </c>
      <c r="AP8742" s="9">
        <v>3.8882683785453107</v>
      </c>
    </row>
    <row r="8743" spans="40:42" x14ac:dyDescent="0.3">
      <c r="AN8743">
        <v>8739</v>
      </c>
      <c r="AO8743" s="11">
        <v>23532.41</v>
      </c>
      <c r="AP8743" s="9">
        <v>3.0823935565797229</v>
      </c>
    </row>
    <row r="8744" spans="40:42" x14ac:dyDescent="0.3">
      <c r="AN8744">
        <v>8740</v>
      </c>
      <c r="AO8744" s="11">
        <v>14715.84</v>
      </c>
      <c r="AP8744" s="9">
        <v>2.8211206187869426</v>
      </c>
    </row>
    <row r="8745" spans="40:42" x14ac:dyDescent="0.3">
      <c r="AN8745">
        <v>8741</v>
      </c>
      <c r="AO8745" s="11">
        <v>27316.62</v>
      </c>
      <c r="AP8745" s="9">
        <v>3.3479133920611774</v>
      </c>
    </row>
    <row r="8746" spans="40:42" x14ac:dyDescent="0.3">
      <c r="AN8746">
        <v>8742</v>
      </c>
      <c r="AO8746" s="11">
        <v>36315.760000000002</v>
      </c>
      <c r="AP8746" s="9">
        <v>3.4863885017169269</v>
      </c>
    </row>
    <row r="8747" spans="40:42" x14ac:dyDescent="0.3">
      <c r="AN8747">
        <v>8743</v>
      </c>
      <c r="AO8747" s="11">
        <v>24169.33</v>
      </c>
      <c r="AP8747" s="9">
        <v>3.2622396235235813</v>
      </c>
    </row>
    <row r="8748" spans="40:42" x14ac:dyDescent="0.3">
      <c r="AN8748">
        <v>8744</v>
      </c>
      <c r="AO8748" s="11">
        <v>31599.599999999999</v>
      </c>
      <c r="AP8748" s="9">
        <v>3.3814455859196335</v>
      </c>
    </row>
    <row r="8749" spans="40:42" x14ac:dyDescent="0.3">
      <c r="AN8749">
        <v>8745</v>
      </c>
      <c r="AO8749" s="11">
        <v>19502.669999999998</v>
      </c>
      <c r="AP8749" s="9">
        <v>2.9940798094546057</v>
      </c>
    </row>
    <row r="8750" spans="40:42" x14ac:dyDescent="0.3">
      <c r="AN8750">
        <v>8746</v>
      </c>
      <c r="AO8750" s="11">
        <v>23911.02</v>
      </c>
      <c r="AP8750" s="9">
        <v>3.6668382845642133</v>
      </c>
    </row>
    <row r="8751" spans="40:42" x14ac:dyDescent="0.3">
      <c r="AN8751">
        <v>8747</v>
      </c>
      <c r="AO8751" s="11">
        <v>37201.160000000003</v>
      </c>
      <c r="AP8751" s="9">
        <v>3.8834110231514218</v>
      </c>
    </row>
    <row r="8752" spans="40:42" x14ac:dyDescent="0.3">
      <c r="AN8752">
        <v>8748</v>
      </c>
      <c r="AO8752" s="11">
        <v>14438.44</v>
      </c>
      <c r="AP8752" s="9">
        <v>2.7901321471443614</v>
      </c>
    </row>
    <row r="8753" spans="40:42" x14ac:dyDescent="0.3">
      <c r="AN8753">
        <v>8749</v>
      </c>
      <c r="AO8753" s="11">
        <v>23183.63</v>
      </c>
      <c r="AP8753" s="9">
        <v>3.0154712025417045</v>
      </c>
    </row>
    <row r="8754" spans="40:42" x14ac:dyDescent="0.3">
      <c r="AN8754">
        <v>8750</v>
      </c>
      <c r="AO8754" s="11">
        <v>15744.51</v>
      </c>
      <c r="AP8754" s="9">
        <v>3.0888595118673372</v>
      </c>
    </row>
    <row r="8755" spans="40:42" x14ac:dyDescent="0.3">
      <c r="AN8755">
        <v>8751</v>
      </c>
      <c r="AO8755" s="11">
        <v>32683.75</v>
      </c>
      <c r="AP8755" s="9">
        <v>3.5013395037133188</v>
      </c>
    </row>
    <row r="8756" spans="40:42" x14ac:dyDescent="0.3">
      <c r="AN8756">
        <v>8752</v>
      </c>
      <c r="AO8756" s="11">
        <v>33305.22</v>
      </c>
      <c r="AP8756" s="9">
        <v>3.4459292738260352</v>
      </c>
    </row>
    <row r="8757" spans="40:42" x14ac:dyDescent="0.3">
      <c r="AN8757">
        <v>8753</v>
      </c>
      <c r="AO8757" s="11">
        <v>20232.900000000001</v>
      </c>
      <c r="AP8757" s="9">
        <v>3.3996878850447527</v>
      </c>
    </row>
    <row r="8758" spans="40:42" x14ac:dyDescent="0.3">
      <c r="AN8758">
        <v>8754</v>
      </c>
      <c r="AO8758" s="11">
        <v>25778.080000000002</v>
      </c>
      <c r="AP8758" s="9">
        <v>3.4781718999671396</v>
      </c>
    </row>
    <row r="8759" spans="40:42" x14ac:dyDescent="0.3">
      <c r="AN8759">
        <v>8755</v>
      </c>
      <c r="AO8759" s="11">
        <v>22544.86</v>
      </c>
      <c r="AP8759" s="9">
        <v>2.7050249569006231</v>
      </c>
    </row>
    <row r="8760" spans="40:42" x14ac:dyDescent="0.3">
      <c r="AN8760">
        <v>8756</v>
      </c>
      <c r="AO8760" s="11">
        <v>19221.86</v>
      </c>
      <c r="AP8760" s="9">
        <v>3.582160007536797</v>
      </c>
    </row>
    <row r="8761" spans="40:42" x14ac:dyDescent="0.3">
      <c r="AN8761">
        <v>8757</v>
      </c>
      <c r="AO8761" s="11">
        <v>20521.32</v>
      </c>
      <c r="AP8761" s="9">
        <v>2.940365924646855</v>
      </c>
    </row>
    <row r="8762" spans="40:42" x14ac:dyDescent="0.3">
      <c r="AN8762">
        <v>8758</v>
      </c>
      <c r="AO8762" s="11">
        <v>32243.32</v>
      </c>
      <c r="AP8762" s="9">
        <v>3.4942757766735411</v>
      </c>
    </row>
    <row r="8763" spans="40:42" x14ac:dyDescent="0.3">
      <c r="AN8763">
        <v>8759</v>
      </c>
      <c r="AO8763" s="11">
        <v>29852.5</v>
      </c>
      <c r="AP8763" s="9">
        <v>3.6692207750623247</v>
      </c>
    </row>
    <row r="8764" spans="40:42" x14ac:dyDescent="0.3">
      <c r="AN8764">
        <v>8760</v>
      </c>
      <c r="AO8764" s="11">
        <v>25536.46</v>
      </c>
      <c r="AP8764" s="9">
        <v>3.5559151408307486</v>
      </c>
    </row>
    <row r="8765" spans="40:42" x14ac:dyDescent="0.3">
      <c r="AN8765">
        <v>8761</v>
      </c>
      <c r="AO8765" s="11">
        <v>22946.959999999999</v>
      </c>
      <c r="AP8765" s="9">
        <v>3.0090677206295111</v>
      </c>
    </row>
    <row r="8766" spans="40:42" x14ac:dyDescent="0.3">
      <c r="AN8766">
        <v>8762</v>
      </c>
      <c r="AO8766" s="11">
        <v>21531.3</v>
      </c>
      <c r="AP8766" s="9">
        <v>4.0139850948007174</v>
      </c>
    </row>
    <row r="8767" spans="40:42" x14ac:dyDescent="0.3">
      <c r="AN8767">
        <v>8763</v>
      </c>
      <c r="AO8767" s="11">
        <v>31960.06</v>
      </c>
      <c r="AP8767" s="9">
        <v>4.2928706736300235</v>
      </c>
    </row>
    <row r="8768" spans="40:42" x14ac:dyDescent="0.3">
      <c r="AN8768">
        <v>8764</v>
      </c>
      <c r="AO8768" s="11">
        <v>38262.26</v>
      </c>
      <c r="AP8768" s="9">
        <v>4.2655399114140113</v>
      </c>
    </row>
    <row r="8769" spans="40:42" x14ac:dyDescent="0.3">
      <c r="AN8769">
        <v>8765</v>
      </c>
      <c r="AO8769" s="11">
        <v>45153.95</v>
      </c>
      <c r="AP8769" s="9">
        <v>3.9089403882350524</v>
      </c>
    </row>
    <row r="8770" spans="40:42" x14ac:dyDescent="0.3">
      <c r="AN8770">
        <v>8766</v>
      </c>
      <c r="AO8770" s="11">
        <v>19286.580000000002</v>
      </c>
      <c r="AP8770" s="9">
        <v>2.8060093909741481</v>
      </c>
    </row>
    <row r="8771" spans="40:42" x14ac:dyDescent="0.3">
      <c r="AN8771">
        <v>8767</v>
      </c>
      <c r="AO8771" s="11">
        <v>15309.28</v>
      </c>
      <c r="AP8771" s="9">
        <v>2.8076126417163736</v>
      </c>
    </row>
    <row r="8772" spans="40:42" x14ac:dyDescent="0.3">
      <c r="AN8772">
        <v>8768</v>
      </c>
      <c r="AO8772" s="11">
        <v>23117.45</v>
      </c>
      <c r="AP8772" s="9">
        <v>3.3069855577402696</v>
      </c>
    </row>
    <row r="8773" spans="40:42" x14ac:dyDescent="0.3">
      <c r="AN8773">
        <v>8769</v>
      </c>
      <c r="AO8773" s="11">
        <v>25451.62</v>
      </c>
      <c r="AP8773" s="9">
        <v>3.5022159633159746</v>
      </c>
    </row>
    <row r="8774" spans="40:42" x14ac:dyDescent="0.3">
      <c r="AN8774">
        <v>8770</v>
      </c>
      <c r="AO8774" s="11">
        <v>25375.27</v>
      </c>
      <c r="AP8774" s="9">
        <v>3.7544823522697728</v>
      </c>
    </row>
    <row r="8775" spans="40:42" x14ac:dyDescent="0.3">
      <c r="AN8775">
        <v>8771</v>
      </c>
      <c r="AO8775" s="11">
        <v>49882.65</v>
      </c>
      <c r="AP8775" s="9">
        <v>4.2823505669205444</v>
      </c>
    </row>
    <row r="8776" spans="40:42" x14ac:dyDescent="0.3">
      <c r="AN8776">
        <v>8772</v>
      </c>
      <c r="AO8776" s="11">
        <v>43942.48</v>
      </c>
      <c r="AP8776" s="9">
        <v>3.6518579864982841</v>
      </c>
    </row>
    <row r="8777" spans="40:42" x14ac:dyDescent="0.3">
      <c r="AN8777">
        <v>8773</v>
      </c>
      <c r="AO8777" s="11">
        <v>26640.66</v>
      </c>
      <c r="AP8777" s="9">
        <v>3.4495974256049746</v>
      </c>
    </row>
    <row r="8778" spans="40:42" x14ac:dyDescent="0.3">
      <c r="AN8778">
        <v>8774</v>
      </c>
      <c r="AO8778" s="11">
        <v>35749.31</v>
      </c>
      <c r="AP8778" s="9">
        <v>3.3902099528257512</v>
      </c>
    </row>
    <row r="8779" spans="40:42" x14ac:dyDescent="0.3">
      <c r="AN8779">
        <v>8775</v>
      </c>
      <c r="AO8779" s="11">
        <v>27771.55</v>
      </c>
      <c r="AP8779" s="9">
        <v>3.3987317619218045</v>
      </c>
    </row>
    <row r="8780" spans="40:42" x14ac:dyDescent="0.3">
      <c r="AN8780">
        <v>8776</v>
      </c>
      <c r="AO8780" s="11">
        <v>22449.86</v>
      </c>
      <c r="AP8780" s="9">
        <v>3.1033524888875101</v>
      </c>
    </row>
    <row r="8781" spans="40:42" x14ac:dyDescent="0.3">
      <c r="AN8781">
        <v>8777</v>
      </c>
      <c r="AO8781" s="11">
        <v>25380.28</v>
      </c>
      <c r="AP8781" s="9">
        <v>3.4621885628430915</v>
      </c>
    </row>
    <row r="8782" spans="40:42" x14ac:dyDescent="0.3">
      <c r="AN8782">
        <v>8778</v>
      </c>
      <c r="AO8782" s="11">
        <v>14030.46</v>
      </c>
      <c r="AP8782" s="9">
        <v>2.9581109990046963</v>
      </c>
    </row>
    <row r="8783" spans="40:42" x14ac:dyDescent="0.3">
      <c r="AN8783">
        <v>8779</v>
      </c>
      <c r="AO8783" s="11">
        <v>19783.77</v>
      </c>
      <c r="AP8783" s="9">
        <v>3.7817570026526832</v>
      </c>
    </row>
    <row r="8784" spans="40:42" x14ac:dyDescent="0.3">
      <c r="AN8784">
        <v>8780</v>
      </c>
      <c r="AO8784" s="11">
        <v>18461.5</v>
      </c>
      <c r="AP8784" s="9">
        <v>3.6137464813245361</v>
      </c>
    </row>
    <row r="8785" spans="40:42" x14ac:dyDescent="0.3">
      <c r="AN8785">
        <v>8781</v>
      </c>
      <c r="AO8785" s="11">
        <v>20759.5</v>
      </c>
      <c r="AP8785" s="9">
        <v>3.2513092459646309</v>
      </c>
    </row>
    <row r="8786" spans="40:42" x14ac:dyDescent="0.3">
      <c r="AN8786">
        <v>8782</v>
      </c>
      <c r="AO8786" s="11">
        <v>30150.97</v>
      </c>
      <c r="AP8786" s="9">
        <v>4.1303541491357416</v>
      </c>
    </row>
    <row r="8787" spans="40:42" x14ac:dyDescent="0.3">
      <c r="AN8787">
        <v>8783</v>
      </c>
      <c r="AO8787" s="11">
        <v>29692.83</v>
      </c>
      <c r="AP8787" s="9">
        <v>3.0697368138659589</v>
      </c>
    </row>
    <row r="8788" spans="40:42" x14ac:dyDescent="0.3">
      <c r="AN8788">
        <v>8784</v>
      </c>
      <c r="AO8788" s="11">
        <v>27355.45</v>
      </c>
      <c r="AP8788" s="9">
        <v>3.4185587717920654</v>
      </c>
    </row>
    <row r="8789" spans="40:42" x14ac:dyDescent="0.3">
      <c r="AN8789">
        <v>8785</v>
      </c>
      <c r="AO8789" s="11">
        <v>22679.13</v>
      </c>
      <c r="AP8789" s="9">
        <v>3.8826616659100504</v>
      </c>
    </row>
    <row r="8790" spans="40:42" x14ac:dyDescent="0.3">
      <c r="AN8790">
        <v>8786</v>
      </c>
      <c r="AO8790" s="11">
        <v>24159.87</v>
      </c>
      <c r="AP8790" s="9">
        <v>3.3449164598080849</v>
      </c>
    </row>
    <row r="8791" spans="40:42" x14ac:dyDescent="0.3">
      <c r="AN8791">
        <v>8787</v>
      </c>
      <c r="AO8791" s="11">
        <v>47258.53</v>
      </c>
      <c r="AP8791" s="9">
        <v>4.3098935778976619</v>
      </c>
    </row>
    <row r="8792" spans="40:42" x14ac:dyDescent="0.3">
      <c r="AN8792">
        <v>8788</v>
      </c>
      <c r="AO8792" s="11">
        <v>25190.14</v>
      </c>
      <c r="AP8792" s="9">
        <v>3.4551914535939408</v>
      </c>
    </row>
    <row r="8793" spans="40:42" x14ac:dyDescent="0.3">
      <c r="AN8793">
        <v>8789</v>
      </c>
      <c r="AO8793" s="11">
        <v>31588.55</v>
      </c>
      <c r="AP8793" s="9">
        <v>3.5583413310691565</v>
      </c>
    </row>
    <row r="8794" spans="40:42" x14ac:dyDescent="0.3">
      <c r="AN8794">
        <v>8790</v>
      </c>
      <c r="AO8794" s="11">
        <v>20401.349999999999</v>
      </c>
      <c r="AP8794" s="9">
        <v>2.6903324742707411</v>
      </c>
    </row>
    <row r="8795" spans="40:42" x14ac:dyDescent="0.3">
      <c r="AN8795">
        <v>8791</v>
      </c>
      <c r="AO8795" s="11">
        <v>26774.97</v>
      </c>
      <c r="AP8795" s="9">
        <v>3.3894505111370283</v>
      </c>
    </row>
    <row r="8796" spans="40:42" x14ac:dyDescent="0.3">
      <c r="AN8796">
        <v>8792</v>
      </c>
      <c r="AO8796" s="11">
        <v>33310.550000000003</v>
      </c>
      <c r="AP8796" s="9">
        <v>3.8127987904435594</v>
      </c>
    </row>
    <row r="8797" spans="40:42" x14ac:dyDescent="0.3">
      <c r="AN8797">
        <v>8793</v>
      </c>
      <c r="AO8797" s="11">
        <v>26435.49</v>
      </c>
      <c r="AP8797" s="9">
        <v>3.1221309817466585</v>
      </c>
    </row>
    <row r="8798" spans="40:42" x14ac:dyDescent="0.3">
      <c r="AN8798">
        <v>8794</v>
      </c>
      <c r="AO8798" s="11">
        <v>21985.58</v>
      </c>
      <c r="AP8798" s="9">
        <v>3.3888115111698793</v>
      </c>
    </row>
    <row r="8799" spans="40:42" x14ac:dyDescent="0.3">
      <c r="AN8799">
        <v>8795</v>
      </c>
      <c r="AO8799" s="11">
        <v>27942.97</v>
      </c>
      <c r="AP8799" s="9">
        <v>2.996764214294271</v>
      </c>
    </row>
    <row r="8800" spans="40:42" x14ac:dyDescent="0.3">
      <c r="AN8800">
        <v>8796</v>
      </c>
      <c r="AO8800" s="11">
        <v>24365.06</v>
      </c>
      <c r="AP8800" s="9">
        <v>3.8303010256598875</v>
      </c>
    </row>
    <row r="8801" spans="40:42" x14ac:dyDescent="0.3">
      <c r="AN8801">
        <v>8797</v>
      </c>
      <c r="AO8801" s="11">
        <v>26845.21</v>
      </c>
      <c r="AP8801" s="9">
        <v>3.320081635167325</v>
      </c>
    </row>
    <row r="8802" spans="40:42" x14ac:dyDescent="0.3">
      <c r="AN8802">
        <v>8798</v>
      </c>
      <c r="AO8802" s="11">
        <v>19805.64</v>
      </c>
      <c r="AP8802" s="9">
        <v>3.0364794235174881</v>
      </c>
    </row>
    <row r="8803" spans="40:42" x14ac:dyDescent="0.3">
      <c r="AN8803">
        <v>8799</v>
      </c>
      <c r="AO8803" s="11">
        <v>24801.49</v>
      </c>
      <c r="AP8803" s="9">
        <v>2.6120189383432302</v>
      </c>
    </row>
    <row r="8804" spans="40:42" x14ac:dyDescent="0.3">
      <c r="AN8804">
        <v>8800</v>
      </c>
      <c r="AO8804" s="11">
        <v>29778.79</v>
      </c>
      <c r="AP8804" s="9">
        <v>3.4964877160765955</v>
      </c>
    </row>
    <row r="8805" spans="40:42" x14ac:dyDescent="0.3">
      <c r="AN8805">
        <v>8801</v>
      </c>
      <c r="AO8805" s="11">
        <v>26280</v>
      </c>
      <c r="AP8805" s="9">
        <v>3.8597689486251765</v>
      </c>
    </row>
    <row r="8806" spans="40:42" x14ac:dyDescent="0.3">
      <c r="AN8806">
        <v>8802</v>
      </c>
      <c r="AO8806" s="11">
        <v>26528.68</v>
      </c>
      <c r="AP8806" s="9">
        <v>3.1852222798753598</v>
      </c>
    </row>
    <row r="8807" spans="40:42" x14ac:dyDescent="0.3">
      <c r="AN8807">
        <v>8803</v>
      </c>
      <c r="AO8807" s="11">
        <v>42889.06</v>
      </c>
      <c r="AP8807" s="9">
        <v>3.9583485252566968</v>
      </c>
    </row>
    <row r="8808" spans="40:42" x14ac:dyDescent="0.3">
      <c r="AN8808">
        <v>8804</v>
      </c>
      <c r="AO8808" s="11">
        <v>23241.8</v>
      </c>
      <c r="AP8808" s="9">
        <v>2.7228892371545537</v>
      </c>
    </row>
    <row r="8809" spans="40:42" x14ac:dyDescent="0.3">
      <c r="AN8809">
        <v>8805</v>
      </c>
      <c r="AO8809" s="11">
        <v>26228.63</v>
      </c>
      <c r="AP8809" s="9">
        <v>3.6905813209343732</v>
      </c>
    </row>
    <row r="8810" spans="40:42" x14ac:dyDescent="0.3">
      <c r="AN8810">
        <v>8806</v>
      </c>
      <c r="AO8810" s="11">
        <v>32631.85</v>
      </c>
      <c r="AP8810" s="9">
        <v>3.683729849468556</v>
      </c>
    </row>
    <row r="8811" spans="40:42" x14ac:dyDescent="0.3">
      <c r="AN8811">
        <v>8807</v>
      </c>
      <c r="AO8811" s="11">
        <v>16540.87</v>
      </c>
      <c r="AP8811" s="9">
        <v>2.6591949438718117</v>
      </c>
    </row>
    <row r="8812" spans="40:42" x14ac:dyDescent="0.3">
      <c r="AN8812">
        <v>8808</v>
      </c>
      <c r="AO8812" s="11">
        <v>22603.21</v>
      </c>
      <c r="AP8812" s="9">
        <v>3.1230183579293085</v>
      </c>
    </row>
    <row r="8813" spans="40:42" x14ac:dyDescent="0.3">
      <c r="AN8813">
        <v>8809</v>
      </c>
      <c r="AO8813" s="11">
        <v>35147.760000000002</v>
      </c>
      <c r="AP8813" s="9">
        <v>3.1653581173888843</v>
      </c>
    </row>
    <row r="8814" spans="40:42" x14ac:dyDescent="0.3">
      <c r="AN8814">
        <v>8810</v>
      </c>
      <c r="AO8814" s="11">
        <v>16437.54</v>
      </c>
      <c r="AP8814" s="9">
        <v>3.1711463110647142</v>
      </c>
    </row>
    <row r="8815" spans="40:42" x14ac:dyDescent="0.3">
      <c r="AN8815">
        <v>8811</v>
      </c>
      <c r="AO8815" s="11">
        <v>29570.07</v>
      </c>
      <c r="AP8815" s="9">
        <v>4.1750921840853632</v>
      </c>
    </row>
    <row r="8816" spans="40:42" x14ac:dyDescent="0.3">
      <c r="AN8816">
        <v>8812</v>
      </c>
      <c r="AO8816" s="11">
        <v>26759.360000000001</v>
      </c>
      <c r="AP8816" s="9">
        <v>3.152690068845116</v>
      </c>
    </row>
    <row r="8817" spans="40:42" x14ac:dyDescent="0.3">
      <c r="AN8817">
        <v>8813</v>
      </c>
      <c r="AO8817" s="11">
        <v>21121.08</v>
      </c>
      <c r="AP8817" s="9">
        <v>3.4744303494117204</v>
      </c>
    </row>
    <row r="8818" spans="40:42" x14ac:dyDescent="0.3">
      <c r="AN8818">
        <v>8814</v>
      </c>
      <c r="AO8818" s="11">
        <v>23705.25</v>
      </c>
      <c r="AP8818" s="9">
        <v>3.4433274046025932</v>
      </c>
    </row>
    <row r="8819" spans="40:42" x14ac:dyDescent="0.3">
      <c r="AN8819">
        <v>8815</v>
      </c>
      <c r="AO8819" s="11">
        <v>30022.26</v>
      </c>
      <c r="AP8819" s="9">
        <v>2.9608639732472857</v>
      </c>
    </row>
    <row r="8820" spans="40:42" x14ac:dyDescent="0.3">
      <c r="AN8820">
        <v>8816</v>
      </c>
      <c r="AO8820" s="11">
        <v>24110.36</v>
      </c>
      <c r="AP8820" s="9">
        <v>3.7719851098193757</v>
      </c>
    </row>
    <row r="8821" spans="40:42" x14ac:dyDescent="0.3">
      <c r="AN8821">
        <v>8817</v>
      </c>
      <c r="AO8821" s="11">
        <v>24669.42</v>
      </c>
      <c r="AP8821" s="9">
        <v>3.5801003173558281</v>
      </c>
    </row>
    <row r="8822" spans="40:42" x14ac:dyDescent="0.3">
      <c r="AN8822">
        <v>8818</v>
      </c>
      <c r="AO8822" s="11">
        <v>18499.09</v>
      </c>
      <c r="AP8822" s="9">
        <v>3.0590580889525008</v>
      </c>
    </row>
    <row r="8823" spans="40:42" x14ac:dyDescent="0.3">
      <c r="AN8823">
        <v>8819</v>
      </c>
      <c r="AO8823" s="11">
        <v>20958.37</v>
      </c>
      <c r="AP8823" s="9">
        <v>2.9916625519708675</v>
      </c>
    </row>
    <row r="8824" spans="40:42" x14ac:dyDescent="0.3">
      <c r="AN8824">
        <v>8820</v>
      </c>
      <c r="AO8824" s="11">
        <v>25699.89</v>
      </c>
      <c r="AP8824" s="9">
        <v>2.983398552235367</v>
      </c>
    </row>
    <row r="8825" spans="40:42" x14ac:dyDescent="0.3">
      <c r="AN8825">
        <v>8821</v>
      </c>
      <c r="AO8825" s="11">
        <v>23232.5</v>
      </c>
      <c r="AP8825" s="9">
        <v>3.5368333758023676</v>
      </c>
    </row>
    <row r="8826" spans="40:42" x14ac:dyDescent="0.3">
      <c r="AN8826">
        <v>8822</v>
      </c>
      <c r="AO8826" s="11">
        <v>20813.12</v>
      </c>
      <c r="AP8826" s="9">
        <v>3.2156848995160812</v>
      </c>
    </row>
    <row r="8827" spans="40:42" x14ac:dyDescent="0.3">
      <c r="AN8827">
        <v>8823</v>
      </c>
      <c r="AO8827" s="11">
        <v>24409.97</v>
      </c>
      <c r="AP8827" s="9">
        <v>3.5380311667391942</v>
      </c>
    </row>
    <row r="8828" spans="40:42" x14ac:dyDescent="0.3">
      <c r="AN8828">
        <v>8824</v>
      </c>
      <c r="AO8828" s="11">
        <v>21053.55</v>
      </c>
      <c r="AP8828" s="9">
        <v>3.0666239435828762</v>
      </c>
    </row>
    <row r="8829" spans="40:42" x14ac:dyDescent="0.3">
      <c r="AN8829">
        <v>8825</v>
      </c>
      <c r="AO8829" s="11">
        <v>30802.22</v>
      </c>
      <c r="AP8829" s="9">
        <v>3.0750103498923398</v>
      </c>
    </row>
    <row r="8830" spans="40:42" x14ac:dyDescent="0.3">
      <c r="AN8830">
        <v>8826</v>
      </c>
      <c r="AO8830" s="11">
        <v>20121.05</v>
      </c>
      <c r="AP8830" s="9">
        <v>2.7434413609197952</v>
      </c>
    </row>
    <row r="8831" spans="40:42" x14ac:dyDescent="0.3">
      <c r="AN8831">
        <v>8827</v>
      </c>
      <c r="AO8831" s="11">
        <v>26639.16</v>
      </c>
      <c r="AP8831" s="9">
        <v>3.9260315945478923</v>
      </c>
    </row>
    <row r="8832" spans="40:42" x14ac:dyDescent="0.3">
      <c r="AN8832">
        <v>8828</v>
      </c>
      <c r="AO8832" s="11">
        <v>17273.41</v>
      </c>
      <c r="AP8832" s="9">
        <v>2.906532172220416</v>
      </c>
    </row>
    <row r="8833" spans="40:42" x14ac:dyDescent="0.3">
      <c r="AN8833">
        <v>8829</v>
      </c>
      <c r="AO8833" s="11">
        <v>40006.42</v>
      </c>
      <c r="AP8833" s="9">
        <v>3.5811051796764919</v>
      </c>
    </row>
    <row r="8834" spans="40:42" x14ac:dyDescent="0.3">
      <c r="AN8834">
        <v>8830</v>
      </c>
      <c r="AO8834" s="11">
        <v>12858.79</v>
      </c>
      <c r="AP8834" s="9">
        <v>2.9066345775038283</v>
      </c>
    </row>
    <row r="8835" spans="40:42" x14ac:dyDescent="0.3">
      <c r="AN8835">
        <v>8831</v>
      </c>
      <c r="AO8835" s="11">
        <v>28042.53</v>
      </c>
      <c r="AP8835" s="9">
        <v>3.4594962688066726</v>
      </c>
    </row>
    <row r="8836" spans="40:42" x14ac:dyDescent="0.3">
      <c r="AN8836">
        <v>8832</v>
      </c>
      <c r="AO8836" s="11">
        <v>21246.83</v>
      </c>
      <c r="AP8836" s="9">
        <v>2.8663765441436397</v>
      </c>
    </row>
    <row r="8837" spans="40:42" x14ac:dyDescent="0.3">
      <c r="AN8837">
        <v>8833</v>
      </c>
      <c r="AO8837" s="11">
        <v>33536.559999999998</v>
      </c>
      <c r="AP8837" s="9">
        <v>3.4838548137010075</v>
      </c>
    </row>
    <row r="8838" spans="40:42" x14ac:dyDescent="0.3">
      <c r="AN8838">
        <v>8834</v>
      </c>
      <c r="AO8838" s="11">
        <v>26526.99</v>
      </c>
      <c r="AP8838" s="9">
        <v>3.5313859001785786</v>
      </c>
    </row>
    <row r="8839" spans="40:42" x14ac:dyDescent="0.3">
      <c r="AN8839">
        <v>8835</v>
      </c>
      <c r="AO8839" s="11">
        <v>20938.2</v>
      </c>
      <c r="AP8839" s="9">
        <v>2.6602346943889263</v>
      </c>
    </row>
    <row r="8840" spans="40:42" x14ac:dyDescent="0.3">
      <c r="AN8840">
        <v>8836</v>
      </c>
      <c r="AO8840" s="11">
        <v>26771.57</v>
      </c>
      <c r="AP8840" s="9">
        <v>3.6496645573508055</v>
      </c>
    </row>
    <row r="8841" spans="40:42" x14ac:dyDescent="0.3">
      <c r="AN8841">
        <v>8837</v>
      </c>
      <c r="AO8841" s="11">
        <v>18134.22</v>
      </c>
      <c r="AP8841" s="9">
        <v>2.9253634333709302</v>
      </c>
    </row>
    <row r="8842" spans="40:42" x14ac:dyDescent="0.3">
      <c r="AN8842">
        <v>8838</v>
      </c>
      <c r="AO8842" s="11">
        <v>22767.89</v>
      </c>
      <c r="AP8842" s="9">
        <v>3.1263841625232045</v>
      </c>
    </row>
    <row r="8843" spans="40:42" x14ac:dyDescent="0.3">
      <c r="AN8843">
        <v>8839</v>
      </c>
      <c r="AO8843" s="11">
        <v>23751.119999999999</v>
      </c>
      <c r="AP8843" s="9">
        <v>3.3318888422454531</v>
      </c>
    </row>
    <row r="8844" spans="40:42" x14ac:dyDescent="0.3">
      <c r="AN8844">
        <v>8840</v>
      </c>
      <c r="AO8844" s="11">
        <v>37326.949999999997</v>
      </c>
      <c r="AP8844" s="9">
        <v>3.9156542643650378</v>
      </c>
    </row>
    <row r="8845" spans="40:42" x14ac:dyDescent="0.3">
      <c r="AN8845">
        <v>8841</v>
      </c>
      <c r="AO8845" s="11">
        <v>37861.72</v>
      </c>
      <c r="AP8845" s="9">
        <v>3.5618659110807491</v>
      </c>
    </row>
    <row r="8846" spans="40:42" x14ac:dyDescent="0.3">
      <c r="AN8846">
        <v>8842</v>
      </c>
      <c r="AO8846" s="11">
        <v>33068.74</v>
      </c>
      <c r="AP8846" s="9">
        <v>2.8898765272600557</v>
      </c>
    </row>
    <row r="8847" spans="40:42" x14ac:dyDescent="0.3">
      <c r="AN8847">
        <v>8843</v>
      </c>
      <c r="AO8847" s="11">
        <v>32173.35</v>
      </c>
      <c r="AP8847" s="9">
        <v>3.2908348591556034</v>
      </c>
    </row>
    <row r="8848" spans="40:42" x14ac:dyDescent="0.3">
      <c r="AN8848">
        <v>8844</v>
      </c>
      <c r="AO8848" s="11">
        <v>28112.43</v>
      </c>
      <c r="AP8848" s="9">
        <v>3.2300735893068602</v>
      </c>
    </row>
    <row r="8849" spans="40:42" x14ac:dyDescent="0.3">
      <c r="AN8849">
        <v>8845</v>
      </c>
      <c r="AO8849" s="11">
        <v>31754.94</v>
      </c>
      <c r="AP8849" s="9">
        <v>3.9364074931676636</v>
      </c>
    </row>
    <row r="8850" spans="40:42" x14ac:dyDescent="0.3">
      <c r="AN8850">
        <v>8846</v>
      </c>
      <c r="AO8850" s="11">
        <v>29876.97</v>
      </c>
      <c r="AP8850" s="9">
        <v>3.3508621553710372</v>
      </c>
    </row>
    <row r="8851" spans="40:42" x14ac:dyDescent="0.3">
      <c r="AN8851">
        <v>8847</v>
      </c>
      <c r="AO8851" s="11">
        <v>45018.43</v>
      </c>
      <c r="AP8851" s="9">
        <v>3.9946321101360409</v>
      </c>
    </row>
    <row r="8852" spans="40:42" x14ac:dyDescent="0.3">
      <c r="AN8852">
        <v>8848</v>
      </c>
      <c r="AO8852" s="11">
        <v>26177.040000000001</v>
      </c>
      <c r="AP8852" s="9">
        <v>3.8002784522390476</v>
      </c>
    </row>
    <row r="8853" spans="40:42" x14ac:dyDescent="0.3">
      <c r="AN8853">
        <v>8849</v>
      </c>
      <c r="AO8853" s="11">
        <v>31324.13</v>
      </c>
      <c r="AP8853" s="9">
        <v>4.1149586373388916</v>
      </c>
    </row>
    <row r="8854" spans="40:42" x14ac:dyDescent="0.3">
      <c r="AN8854">
        <v>8850</v>
      </c>
      <c r="AO8854" s="11">
        <v>33825.51</v>
      </c>
      <c r="AP8854" s="9">
        <v>4.1384464652172674</v>
      </c>
    </row>
    <row r="8855" spans="40:42" x14ac:dyDescent="0.3">
      <c r="AN8855">
        <v>8851</v>
      </c>
      <c r="AO8855" s="11">
        <v>24689.37</v>
      </c>
      <c r="AP8855" s="9">
        <v>3.3273405370327001</v>
      </c>
    </row>
    <row r="8856" spans="40:42" x14ac:dyDescent="0.3">
      <c r="AN8856">
        <v>8852</v>
      </c>
      <c r="AO8856" s="11">
        <v>22096.880000000001</v>
      </c>
      <c r="AP8856" s="9">
        <v>3.241830098716171</v>
      </c>
    </row>
    <row r="8857" spans="40:42" x14ac:dyDescent="0.3">
      <c r="AN8857">
        <v>8853</v>
      </c>
      <c r="AO8857" s="11">
        <v>26262.01</v>
      </c>
      <c r="AP8857" s="9">
        <v>3.2741819954497284</v>
      </c>
    </row>
    <row r="8858" spans="40:42" x14ac:dyDescent="0.3">
      <c r="AN8858">
        <v>8854</v>
      </c>
      <c r="AO8858" s="11">
        <v>21194.92</v>
      </c>
      <c r="AP8858" s="9">
        <v>3.1552989783325227</v>
      </c>
    </row>
    <row r="8859" spans="40:42" x14ac:dyDescent="0.3">
      <c r="AN8859">
        <v>8855</v>
      </c>
      <c r="AO8859" s="11">
        <v>32835.82</v>
      </c>
      <c r="AP8859" s="9">
        <v>3.3721055252471897</v>
      </c>
    </row>
    <row r="8860" spans="40:42" x14ac:dyDescent="0.3">
      <c r="AN8860">
        <v>8856</v>
      </c>
      <c r="AO8860" s="11">
        <v>12511.95</v>
      </c>
      <c r="AP8860" s="9">
        <v>3.2452609445276979</v>
      </c>
    </row>
    <row r="8861" spans="40:42" x14ac:dyDescent="0.3">
      <c r="AN8861">
        <v>8857</v>
      </c>
      <c r="AO8861" s="11">
        <v>20163.07</v>
      </c>
      <c r="AP8861" s="9">
        <v>3.1501627694676313</v>
      </c>
    </row>
    <row r="8862" spans="40:42" x14ac:dyDescent="0.3">
      <c r="AN8862">
        <v>8858</v>
      </c>
      <c r="AO8862" s="11">
        <v>24681.51</v>
      </c>
      <c r="AP8862" s="9">
        <v>3.4667223147889539</v>
      </c>
    </row>
    <row r="8863" spans="40:42" x14ac:dyDescent="0.3">
      <c r="AN8863">
        <v>8859</v>
      </c>
      <c r="AO8863" s="11">
        <v>21386.81</v>
      </c>
      <c r="AP8863" s="9">
        <v>3.3890298162419663</v>
      </c>
    </row>
    <row r="8864" spans="40:42" x14ac:dyDescent="0.3">
      <c r="AN8864">
        <v>8860</v>
      </c>
      <c r="AO8864" s="11">
        <v>32023.93</v>
      </c>
      <c r="AP8864" s="9">
        <v>3.5671237877392805</v>
      </c>
    </row>
    <row r="8865" spans="40:42" x14ac:dyDescent="0.3">
      <c r="AN8865">
        <v>8861</v>
      </c>
      <c r="AO8865" s="11">
        <v>32880.18</v>
      </c>
      <c r="AP8865" s="9">
        <v>3.7739233017651075</v>
      </c>
    </row>
    <row r="8866" spans="40:42" x14ac:dyDescent="0.3">
      <c r="AN8866">
        <v>8862</v>
      </c>
      <c r="AO8866" s="11">
        <v>14190.74</v>
      </c>
      <c r="AP8866" s="9">
        <v>2.9622947716616985</v>
      </c>
    </row>
    <row r="8867" spans="40:42" x14ac:dyDescent="0.3">
      <c r="AN8867">
        <v>8863</v>
      </c>
      <c r="AO8867" s="11">
        <v>18973.3</v>
      </c>
      <c r="AP8867" s="9">
        <v>4.23363369607282</v>
      </c>
    </row>
    <row r="8868" spans="40:42" x14ac:dyDescent="0.3">
      <c r="AN8868">
        <v>8864</v>
      </c>
      <c r="AO8868" s="11">
        <v>29048.54</v>
      </c>
      <c r="AP8868" s="9">
        <v>3.1580947726772912</v>
      </c>
    </row>
    <row r="8869" spans="40:42" x14ac:dyDescent="0.3">
      <c r="AN8869">
        <v>8865</v>
      </c>
      <c r="AO8869" s="11">
        <v>26124.14</v>
      </c>
      <c r="AP8869" s="9">
        <v>3.1742848654712201</v>
      </c>
    </row>
    <row r="8870" spans="40:42" x14ac:dyDescent="0.3">
      <c r="AN8870">
        <v>8866</v>
      </c>
      <c r="AO8870" s="11">
        <v>20877.75</v>
      </c>
      <c r="AP8870" s="9">
        <v>3.2167353009582227</v>
      </c>
    </row>
    <row r="8871" spans="40:42" x14ac:dyDescent="0.3">
      <c r="AN8871">
        <v>8867</v>
      </c>
      <c r="AO8871" s="11">
        <v>21193.53</v>
      </c>
      <c r="AP8871" s="9">
        <v>3.2073933192724882</v>
      </c>
    </row>
    <row r="8872" spans="40:42" x14ac:dyDescent="0.3">
      <c r="AN8872">
        <v>8868</v>
      </c>
      <c r="AO8872" s="11">
        <v>32162.63</v>
      </c>
      <c r="AP8872" s="9">
        <v>2.8933595910375129</v>
      </c>
    </row>
    <row r="8873" spans="40:42" x14ac:dyDescent="0.3">
      <c r="AN8873">
        <v>8869</v>
      </c>
      <c r="AO8873" s="11">
        <v>24140.59</v>
      </c>
      <c r="AP8873" s="9">
        <v>2.9496301287741198</v>
      </c>
    </row>
    <row r="8874" spans="40:42" x14ac:dyDescent="0.3">
      <c r="AN8874">
        <v>8870</v>
      </c>
      <c r="AO8874" s="11">
        <v>33764.25</v>
      </c>
      <c r="AP8874" s="9">
        <v>3.5502524179705017</v>
      </c>
    </row>
    <row r="8875" spans="40:42" x14ac:dyDescent="0.3">
      <c r="AN8875">
        <v>8871</v>
      </c>
      <c r="AO8875" s="11">
        <v>18592.73</v>
      </c>
      <c r="AP8875" s="9">
        <v>2.9300707641413823</v>
      </c>
    </row>
    <row r="8876" spans="40:42" x14ac:dyDescent="0.3">
      <c r="AN8876">
        <v>8872</v>
      </c>
      <c r="AO8876" s="11">
        <v>23513.54</v>
      </c>
      <c r="AP8876" s="9">
        <v>4.1821226536042655</v>
      </c>
    </row>
    <row r="8877" spans="40:42" x14ac:dyDescent="0.3">
      <c r="AN8877">
        <v>8873</v>
      </c>
      <c r="AO8877" s="11">
        <v>20389.990000000002</v>
      </c>
      <c r="AP8877" s="9">
        <v>3.6161573922674153</v>
      </c>
    </row>
    <row r="8878" spans="40:42" x14ac:dyDescent="0.3">
      <c r="AN8878">
        <v>8874</v>
      </c>
      <c r="AO8878" s="11">
        <v>19155.79</v>
      </c>
      <c r="AP8878" s="9">
        <v>2.913203026170355</v>
      </c>
    </row>
    <row r="8879" spans="40:42" x14ac:dyDescent="0.3">
      <c r="AN8879">
        <v>8875</v>
      </c>
      <c r="AO8879" s="11">
        <v>28169.85</v>
      </c>
      <c r="AP8879" s="9">
        <v>3.6510423916738906</v>
      </c>
    </row>
    <row r="8880" spans="40:42" x14ac:dyDescent="0.3">
      <c r="AN8880">
        <v>8876</v>
      </c>
      <c r="AO8880" s="11">
        <v>37288.6</v>
      </c>
      <c r="AP8880" s="9">
        <v>3.9022310648245777</v>
      </c>
    </row>
    <row r="8881" spans="40:42" x14ac:dyDescent="0.3">
      <c r="AN8881">
        <v>8877</v>
      </c>
      <c r="AO8881" s="11">
        <v>24927.75</v>
      </c>
      <c r="AP8881" s="9">
        <v>3.2323675167054535</v>
      </c>
    </row>
    <row r="8882" spans="40:42" x14ac:dyDescent="0.3">
      <c r="AN8882">
        <v>8878</v>
      </c>
      <c r="AO8882" s="11">
        <v>35872.93</v>
      </c>
      <c r="AP8882" s="9">
        <v>3.6349203320841545</v>
      </c>
    </row>
    <row r="8883" spans="40:42" x14ac:dyDescent="0.3">
      <c r="AN8883">
        <v>8879</v>
      </c>
      <c r="AO8883" s="11">
        <v>37681.68</v>
      </c>
      <c r="AP8883" s="9">
        <v>3.2477312207591673</v>
      </c>
    </row>
    <row r="8884" spans="40:42" x14ac:dyDescent="0.3">
      <c r="AN8884">
        <v>8880</v>
      </c>
      <c r="AO8884" s="11">
        <v>32095.07</v>
      </c>
      <c r="AP8884" s="9">
        <v>3.6730284115064116</v>
      </c>
    </row>
    <row r="8885" spans="40:42" x14ac:dyDescent="0.3">
      <c r="AN8885">
        <v>8881</v>
      </c>
      <c r="AO8885" s="11">
        <v>32699.14</v>
      </c>
      <c r="AP8885" s="9">
        <v>3.3730512601323843</v>
      </c>
    </row>
    <row r="8886" spans="40:42" x14ac:dyDescent="0.3">
      <c r="AN8886">
        <v>8882</v>
      </c>
      <c r="AO8886" s="11">
        <v>29379.29</v>
      </c>
      <c r="AP8886" s="9">
        <v>3.3854494490849421</v>
      </c>
    </row>
    <row r="8887" spans="40:42" x14ac:dyDescent="0.3">
      <c r="AN8887">
        <v>8883</v>
      </c>
      <c r="AO8887" s="11">
        <v>24090.89</v>
      </c>
      <c r="AP8887" s="9">
        <v>3.0511371602564425</v>
      </c>
    </row>
    <row r="8888" spans="40:42" x14ac:dyDescent="0.3">
      <c r="AN8888">
        <v>8884</v>
      </c>
      <c r="AO8888" s="11">
        <v>24655.88</v>
      </c>
      <c r="AP8888" s="9">
        <v>2.8167560558944942</v>
      </c>
    </row>
    <row r="8889" spans="40:42" x14ac:dyDescent="0.3">
      <c r="AN8889">
        <v>8885</v>
      </c>
      <c r="AO8889" s="11">
        <v>22212.42</v>
      </c>
      <c r="AP8889" s="9">
        <v>3.0459678784949662</v>
      </c>
    </row>
    <row r="8890" spans="40:42" x14ac:dyDescent="0.3">
      <c r="AN8890">
        <v>8886</v>
      </c>
      <c r="AO8890" s="11">
        <v>27010.87</v>
      </c>
      <c r="AP8890" s="9">
        <v>2.9191042953962292</v>
      </c>
    </row>
    <row r="8891" spans="40:42" x14ac:dyDescent="0.3">
      <c r="AN8891">
        <v>8887</v>
      </c>
      <c r="AO8891" s="11">
        <v>29491.97</v>
      </c>
      <c r="AP8891" s="9">
        <v>3.1218317610285835</v>
      </c>
    </row>
    <row r="8892" spans="40:42" x14ac:dyDescent="0.3">
      <c r="AN8892">
        <v>8888</v>
      </c>
      <c r="AO8892" s="11">
        <v>18310.91</v>
      </c>
      <c r="AP8892" s="9">
        <v>3.2475040661928807</v>
      </c>
    </row>
    <row r="8893" spans="40:42" x14ac:dyDescent="0.3">
      <c r="AN8893">
        <v>8889</v>
      </c>
      <c r="AO8893" s="11">
        <v>41343.53</v>
      </c>
      <c r="AP8893" s="9">
        <v>3.0617738357335491</v>
      </c>
    </row>
    <row r="8894" spans="40:42" x14ac:dyDescent="0.3">
      <c r="AN8894">
        <v>8890</v>
      </c>
      <c r="AO8894" s="11">
        <v>38413.14</v>
      </c>
      <c r="AP8894" s="9">
        <v>3.9207960595570768</v>
      </c>
    </row>
    <row r="8895" spans="40:42" x14ac:dyDescent="0.3">
      <c r="AN8895">
        <v>8891</v>
      </c>
      <c r="AO8895" s="11">
        <v>35044.94</v>
      </c>
      <c r="AP8895" s="9">
        <v>4.493771044457203</v>
      </c>
    </row>
    <row r="8896" spans="40:42" x14ac:dyDescent="0.3">
      <c r="AN8896">
        <v>8892</v>
      </c>
      <c r="AO8896" s="11">
        <v>28389.279999999999</v>
      </c>
      <c r="AP8896" s="9">
        <v>3.3393653596440838</v>
      </c>
    </row>
    <row r="8897" spans="40:42" x14ac:dyDescent="0.3">
      <c r="AN8897">
        <v>8893</v>
      </c>
      <c r="AO8897" s="11">
        <v>21229.26</v>
      </c>
      <c r="AP8897" s="9">
        <v>3.2984254793143788</v>
      </c>
    </row>
    <row r="8898" spans="40:42" x14ac:dyDescent="0.3">
      <c r="AN8898">
        <v>8894</v>
      </c>
      <c r="AO8898" s="11">
        <v>36896.17</v>
      </c>
      <c r="AP8898" s="9">
        <v>3.9170129297003324</v>
      </c>
    </row>
    <row r="8899" spans="40:42" x14ac:dyDescent="0.3">
      <c r="AN8899">
        <v>8895</v>
      </c>
      <c r="AO8899" s="11">
        <v>22196.68</v>
      </c>
      <c r="AP8899" s="9">
        <v>3.3585072581084523</v>
      </c>
    </row>
    <row r="8900" spans="40:42" x14ac:dyDescent="0.3">
      <c r="AN8900">
        <v>8896</v>
      </c>
      <c r="AO8900" s="11">
        <v>21484.400000000001</v>
      </c>
      <c r="AP8900" s="9">
        <v>2.9418757589275875</v>
      </c>
    </row>
    <row r="8901" spans="40:42" x14ac:dyDescent="0.3">
      <c r="AN8901">
        <v>8897</v>
      </c>
      <c r="AO8901" s="11">
        <v>20359.11</v>
      </c>
      <c r="AP8901" s="9">
        <v>3.1291231706925444</v>
      </c>
    </row>
    <row r="8902" spans="40:42" x14ac:dyDescent="0.3">
      <c r="AN8902">
        <v>8898</v>
      </c>
      <c r="AO8902" s="11">
        <v>28778.04</v>
      </c>
      <c r="AP8902" s="9">
        <v>3.3817301718135226</v>
      </c>
    </row>
    <row r="8903" spans="40:42" x14ac:dyDescent="0.3">
      <c r="AN8903">
        <v>8899</v>
      </c>
      <c r="AO8903" s="11">
        <v>17359.53</v>
      </c>
      <c r="AP8903" s="9">
        <v>3.6808505403790286</v>
      </c>
    </row>
    <row r="8904" spans="40:42" x14ac:dyDescent="0.3">
      <c r="AN8904">
        <v>8900</v>
      </c>
      <c r="AO8904" s="11">
        <v>36231.18</v>
      </c>
      <c r="AP8904" s="9">
        <v>2.8754927232490326</v>
      </c>
    </row>
    <row r="8905" spans="40:42" x14ac:dyDescent="0.3">
      <c r="AN8905">
        <v>8901</v>
      </c>
      <c r="AO8905" s="11">
        <v>37534.74</v>
      </c>
      <c r="AP8905" s="9">
        <v>3.6853407434513983</v>
      </c>
    </row>
    <row r="8906" spans="40:42" x14ac:dyDescent="0.3">
      <c r="AN8906">
        <v>8902</v>
      </c>
      <c r="AO8906" s="11">
        <v>22476.69</v>
      </c>
      <c r="AP8906" s="9">
        <v>3.017112202560992</v>
      </c>
    </row>
    <row r="8907" spans="40:42" x14ac:dyDescent="0.3">
      <c r="AN8907">
        <v>8903</v>
      </c>
      <c r="AO8907" s="11">
        <v>28628.78</v>
      </c>
      <c r="AP8907" s="9">
        <v>3.4049480489516477</v>
      </c>
    </row>
    <row r="8908" spans="40:42" x14ac:dyDescent="0.3">
      <c r="AN8908">
        <v>8904</v>
      </c>
      <c r="AO8908" s="11">
        <v>24978.75</v>
      </c>
      <c r="AP8908" s="9">
        <v>3.1480873202488127</v>
      </c>
    </row>
    <row r="8909" spans="40:42" x14ac:dyDescent="0.3">
      <c r="AN8909">
        <v>8905</v>
      </c>
      <c r="AO8909" s="11">
        <v>24975.439999999999</v>
      </c>
      <c r="AP8909" s="9">
        <v>3.1886418799644822</v>
      </c>
    </row>
    <row r="8910" spans="40:42" x14ac:dyDescent="0.3">
      <c r="AN8910">
        <v>8906</v>
      </c>
      <c r="AO8910" s="11">
        <v>30524.84</v>
      </c>
      <c r="AP8910" s="9">
        <v>3.1724778980035939</v>
      </c>
    </row>
    <row r="8911" spans="40:42" x14ac:dyDescent="0.3">
      <c r="AN8911">
        <v>8907</v>
      </c>
      <c r="AO8911" s="11">
        <v>30107.29</v>
      </c>
      <c r="AP8911" s="9">
        <v>3.3610040815310072</v>
      </c>
    </row>
    <row r="8912" spans="40:42" x14ac:dyDescent="0.3">
      <c r="AN8912">
        <v>8908</v>
      </c>
      <c r="AO8912" s="11">
        <v>21306.46</v>
      </c>
      <c r="AP8912" s="9">
        <v>3.5132357140596935</v>
      </c>
    </row>
    <row r="8913" spans="40:42" x14ac:dyDescent="0.3">
      <c r="AN8913">
        <v>8909</v>
      </c>
      <c r="AO8913" s="11">
        <v>23150.32</v>
      </c>
      <c r="AP8913" s="9">
        <v>2.9371891064285882</v>
      </c>
    </row>
    <row r="8914" spans="40:42" x14ac:dyDescent="0.3">
      <c r="AN8914">
        <v>8910</v>
      </c>
      <c r="AO8914" s="11">
        <v>16253.74</v>
      </c>
      <c r="AP8914" s="9">
        <v>3.128742338243153</v>
      </c>
    </row>
    <row r="8915" spans="40:42" x14ac:dyDescent="0.3">
      <c r="AN8915">
        <v>8911</v>
      </c>
      <c r="AO8915" s="11">
        <v>36920.449999999997</v>
      </c>
      <c r="AP8915" s="9">
        <v>3.7200961801874812</v>
      </c>
    </row>
    <row r="8916" spans="40:42" x14ac:dyDescent="0.3">
      <c r="AN8916">
        <v>8912</v>
      </c>
      <c r="AO8916" s="11">
        <v>26930.6</v>
      </c>
      <c r="AP8916" s="9">
        <v>3.8191187326215092</v>
      </c>
    </row>
    <row r="8917" spans="40:42" x14ac:dyDescent="0.3">
      <c r="AN8917">
        <v>8913</v>
      </c>
      <c r="AO8917" s="11">
        <v>27149.93</v>
      </c>
      <c r="AP8917" s="9">
        <v>3.1975026797548538</v>
      </c>
    </row>
    <row r="8918" spans="40:42" x14ac:dyDescent="0.3">
      <c r="AN8918">
        <v>8914</v>
      </c>
      <c r="AO8918" s="11">
        <v>27008.65</v>
      </c>
      <c r="AP8918" s="9">
        <v>3.2367678960893125</v>
      </c>
    </row>
    <row r="8919" spans="40:42" x14ac:dyDescent="0.3">
      <c r="AN8919">
        <v>8915</v>
      </c>
      <c r="AO8919" s="11">
        <v>19669.86</v>
      </c>
      <c r="AP8919" s="9">
        <v>3.1302292241309071</v>
      </c>
    </row>
    <row r="8920" spans="40:42" x14ac:dyDescent="0.3">
      <c r="AN8920">
        <v>8916</v>
      </c>
      <c r="AO8920" s="11">
        <v>21511.85</v>
      </c>
      <c r="AP8920" s="9">
        <v>3.6483950373719289</v>
      </c>
    </row>
    <row r="8921" spans="40:42" x14ac:dyDescent="0.3">
      <c r="AN8921">
        <v>8917</v>
      </c>
      <c r="AO8921" s="11">
        <v>16329.41</v>
      </c>
      <c r="AP8921" s="9">
        <v>3.1878799095105292</v>
      </c>
    </row>
    <row r="8922" spans="40:42" x14ac:dyDescent="0.3">
      <c r="AN8922">
        <v>8918</v>
      </c>
      <c r="AO8922" s="11">
        <v>16440.38</v>
      </c>
      <c r="AP8922" s="9">
        <v>2.8779549122079926</v>
      </c>
    </row>
    <row r="8923" spans="40:42" x14ac:dyDescent="0.3">
      <c r="AN8923">
        <v>8919</v>
      </c>
      <c r="AO8923" s="11">
        <v>39458.14</v>
      </c>
      <c r="AP8923" s="9">
        <v>4.1552149993705676</v>
      </c>
    </row>
    <row r="8924" spans="40:42" x14ac:dyDescent="0.3">
      <c r="AN8924">
        <v>8920</v>
      </c>
      <c r="AO8924" s="11">
        <v>30539.06</v>
      </c>
      <c r="AP8924" s="9">
        <v>3.7737850802647133</v>
      </c>
    </row>
    <row r="8925" spans="40:42" x14ac:dyDescent="0.3">
      <c r="AN8925">
        <v>8921</v>
      </c>
      <c r="AO8925" s="11">
        <v>37161.050000000003</v>
      </c>
      <c r="AP8925" s="9">
        <v>3.4887262454985057</v>
      </c>
    </row>
    <row r="8926" spans="40:42" x14ac:dyDescent="0.3">
      <c r="AN8926">
        <v>8922</v>
      </c>
      <c r="AO8926" s="11">
        <v>40668.639999999999</v>
      </c>
      <c r="AP8926" s="9">
        <v>3.3948301599396147</v>
      </c>
    </row>
    <row r="8927" spans="40:42" x14ac:dyDescent="0.3">
      <c r="AN8927">
        <v>8923</v>
      </c>
      <c r="AO8927" s="11">
        <v>36126.76</v>
      </c>
      <c r="AP8927" s="9">
        <v>4.9308643601194682</v>
      </c>
    </row>
    <row r="8928" spans="40:42" x14ac:dyDescent="0.3">
      <c r="AN8928">
        <v>8924</v>
      </c>
      <c r="AO8928" s="11">
        <v>33910.17</v>
      </c>
      <c r="AP8928" s="9">
        <v>3.5239264748919994</v>
      </c>
    </row>
    <row r="8929" spans="40:42" x14ac:dyDescent="0.3">
      <c r="AN8929">
        <v>8925</v>
      </c>
      <c r="AO8929" s="11">
        <v>28588.7</v>
      </c>
      <c r="AP8929" s="9">
        <v>3.8431358201925407</v>
      </c>
    </row>
    <row r="8930" spans="40:42" x14ac:dyDescent="0.3">
      <c r="AN8930">
        <v>8926</v>
      </c>
      <c r="AO8930" s="11">
        <v>22492.57</v>
      </c>
      <c r="AP8930" s="9">
        <v>2.9469636046297638</v>
      </c>
    </row>
    <row r="8931" spans="40:42" x14ac:dyDescent="0.3">
      <c r="AN8931">
        <v>8927</v>
      </c>
      <c r="AO8931" s="11">
        <v>22712.2</v>
      </c>
      <c r="AP8931" s="9">
        <v>3.470633344218006</v>
      </c>
    </row>
    <row r="8932" spans="40:42" x14ac:dyDescent="0.3">
      <c r="AN8932">
        <v>8928</v>
      </c>
      <c r="AO8932" s="11">
        <v>32195.63</v>
      </c>
      <c r="AP8932" s="9">
        <v>3.1877428204162732</v>
      </c>
    </row>
    <row r="8933" spans="40:42" x14ac:dyDescent="0.3">
      <c r="AN8933">
        <v>8929</v>
      </c>
      <c r="AO8933" s="11">
        <v>27123.55</v>
      </c>
      <c r="AP8933" s="9">
        <v>3.9530049308774728</v>
      </c>
    </row>
    <row r="8934" spans="40:42" x14ac:dyDescent="0.3">
      <c r="AN8934">
        <v>8930</v>
      </c>
      <c r="AO8934" s="11">
        <v>23295.71</v>
      </c>
      <c r="AP8934" s="9">
        <v>3.5838293001843669</v>
      </c>
    </row>
    <row r="8935" spans="40:42" x14ac:dyDescent="0.3">
      <c r="AN8935">
        <v>8931</v>
      </c>
      <c r="AO8935" s="11">
        <v>31221.69</v>
      </c>
      <c r="AP8935" s="9">
        <v>3.8263375714359444</v>
      </c>
    </row>
    <row r="8936" spans="40:42" x14ac:dyDescent="0.3">
      <c r="AN8936">
        <v>8932</v>
      </c>
      <c r="AO8936" s="11">
        <v>26704.91</v>
      </c>
      <c r="AP8936" s="9">
        <v>3.3338890228586613</v>
      </c>
    </row>
    <row r="8937" spans="40:42" x14ac:dyDescent="0.3">
      <c r="AN8937">
        <v>8933</v>
      </c>
      <c r="AO8937" s="11">
        <v>17316.05</v>
      </c>
      <c r="AP8937" s="9">
        <v>2.7969035282021166</v>
      </c>
    </row>
    <row r="8938" spans="40:42" x14ac:dyDescent="0.3">
      <c r="AN8938">
        <v>8934</v>
      </c>
      <c r="AO8938" s="11">
        <v>18983</v>
      </c>
      <c r="AP8938" s="9">
        <v>3.3140726571669883</v>
      </c>
    </row>
    <row r="8939" spans="40:42" x14ac:dyDescent="0.3">
      <c r="AN8939">
        <v>8935</v>
      </c>
      <c r="AO8939" s="11">
        <v>28789.51</v>
      </c>
      <c r="AP8939" s="9">
        <v>3.5116202234845377</v>
      </c>
    </row>
    <row r="8940" spans="40:42" x14ac:dyDescent="0.3">
      <c r="AN8940">
        <v>8936</v>
      </c>
      <c r="AO8940" s="11">
        <v>31021</v>
      </c>
      <c r="AP8940" s="9">
        <v>3.0551384025585362</v>
      </c>
    </row>
    <row r="8941" spans="40:42" x14ac:dyDescent="0.3">
      <c r="AN8941">
        <v>8937</v>
      </c>
      <c r="AO8941" s="11">
        <v>37755.85</v>
      </c>
      <c r="AP8941" s="9">
        <v>3.7069282023360639</v>
      </c>
    </row>
    <row r="8942" spans="40:42" x14ac:dyDescent="0.3">
      <c r="AN8942">
        <v>8938</v>
      </c>
      <c r="AO8942" s="11">
        <v>23950.09</v>
      </c>
      <c r="AP8942" s="9">
        <v>3.5456897007429005</v>
      </c>
    </row>
    <row r="8943" spans="40:42" x14ac:dyDescent="0.3">
      <c r="AN8943">
        <v>8939</v>
      </c>
      <c r="AO8943" s="11">
        <v>17339.169999999998</v>
      </c>
      <c r="AP8943" s="9">
        <v>3.2979864455542383</v>
      </c>
    </row>
    <row r="8944" spans="40:42" x14ac:dyDescent="0.3">
      <c r="AN8944">
        <v>8940</v>
      </c>
      <c r="AO8944" s="11">
        <v>29965.89</v>
      </c>
      <c r="AP8944" s="9">
        <v>3.6117932628916107</v>
      </c>
    </row>
    <row r="8945" spans="40:42" x14ac:dyDescent="0.3">
      <c r="AN8945">
        <v>8941</v>
      </c>
      <c r="AO8945" s="11">
        <v>23258.9</v>
      </c>
      <c r="AP8945" s="9">
        <v>3.5454468824542396</v>
      </c>
    </row>
    <row r="8946" spans="40:42" x14ac:dyDescent="0.3">
      <c r="AN8946">
        <v>8942</v>
      </c>
      <c r="AO8946" s="11">
        <v>19880.259999999998</v>
      </c>
      <c r="AP8946" s="9">
        <v>3.5335290176865213</v>
      </c>
    </row>
    <row r="8947" spans="40:42" x14ac:dyDescent="0.3">
      <c r="AN8947">
        <v>8943</v>
      </c>
      <c r="AO8947" s="11">
        <v>15699.32</v>
      </c>
      <c r="AP8947" s="9">
        <v>3.3881775518764554</v>
      </c>
    </row>
    <row r="8948" spans="40:42" x14ac:dyDescent="0.3">
      <c r="AN8948">
        <v>8944</v>
      </c>
      <c r="AO8948" s="11">
        <v>23766.66</v>
      </c>
      <c r="AP8948" s="9">
        <v>3.4238686367095266</v>
      </c>
    </row>
    <row r="8949" spans="40:42" x14ac:dyDescent="0.3">
      <c r="AN8949">
        <v>8945</v>
      </c>
      <c r="AO8949" s="11">
        <v>22440.74</v>
      </c>
      <c r="AP8949" s="9">
        <v>3.2457345631894161</v>
      </c>
    </row>
    <row r="8950" spans="40:42" x14ac:dyDescent="0.3">
      <c r="AN8950">
        <v>8946</v>
      </c>
      <c r="AO8950" s="11">
        <v>38890.370000000003</v>
      </c>
      <c r="AP8950" s="9">
        <v>3.6043389558511651</v>
      </c>
    </row>
    <row r="8951" spans="40:42" x14ac:dyDescent="0.3">
      <c r="AN8951">
        <v>8947</v>
      </c>
      <c r="AO8951" s="11">
        <v>24164.720000000001</v>
      </c>
      <c r="AP8951" s="9">
        <v>2.8608884913186756</v>
      </c>
    </row>
    <row r="8952" spans="40:42" x14ac:dyDescent="0.3">
      <c r="AN8952">
        <v>8948</v>
      </c>
      <c r="AO8952" s="11">
        <v>32009.38</v>
      </c>
      <c r="AP8952" s="9">
        <v>4.0590714328875857</v>
      </c>
    </row>
    <row r="8953" spans="40:42" x14ac:dyDescent="0.3">
      <c r="AN8953">
        <v>8949</v>
      </c>
      <c r="AO8953" s="11">
        <v>27095.279999999999</v>
      </c>
      <c r="AP8953" s="9">
        <v>4.1364927918971928</v>
      </c>
    </row>
    <row r="8954" spans="40:42" x14ac:dyDescent="0.3">
      <c r="AN8954">
        <v>8950</v>
      </c>
      <c r="AO8954" s="11">
        <v>31381.71</v>
      </c>
      <c r="AP8954" s="9">
        <v>3.6268624751188545</v>
      </c>
    </row>
    <row r="8955" spans="40:42" x14ac:dyDescent="0.3">
      <c r="AN8955">
        <v>8951</v>
      </c>
      <c r="AO8955" s="11">
        <v>26393.9</v>
      </c>
      <c r="AP8955" s="9">
        <v>3.0917413606449964</v>
      </c>
    </row>
    <row r="8956" spans="40:42" x14ac:dyDescent="0.3">
      <c r="AN8956">
        <v>8952</v>
      </c>
      <c r="AO8956" s="11">
        <v>30405.24</v>
      </c>
      <c r="AP8956" s="9">
        <v>3.3184409005825004</v>
      </c>
    </row>
    <row r="8957" spans="40:42" x14ac:dyDescent="0.3">
      <c r="AN8957">
        <v>8953</v>
      </c>
      <c r="AO8957" s="11">
        <v>27719.8</v>
      </c>
      <c r="AP8957" s="9">
        <v>3.4263723657352521</v>
      </c>
    </row>
    <row r="8958" spans="40:42" x14ac:dyDescent="0.3">
      <c r="AN8958">
        <v>8954</v>
      </c>
      <c r="AO8958" s="11">
        <v>24306</v>
      </c>
      <c r="AP8958" s="9">
        <v>3.3047492606825983</v>
      </c>
    </row>
    <row r="8959" spans="40:42" x14ac:dyDescent="0.3">
      <c r="AN8959">
        <v>8955</v>
      </c>
      <c r="AO8959" s="11">
        <v>27270.17</v>
      </c>
      <c r="AP8959" s="9">
        <v>3.2349108782332534</v>
      </c>
    </row>
    <row r="8960" spans="40:42" x14ac:dyDescent="0.3">
      <c r="AN8960">
        <v>8956</v>
      </c>
      <c r="AO8960" s="11">
        <v>31846.71</v>
      </c>
      <c r="AP8960" s="9">
        <v>3.5861523343794479</v>
      </c>
    </row>
    <row r="8961" spans="40:42" x14ac:dyDescent="0.3">
      <c r="AN8961">
        <v>8957</v>
      </c>
      <c r="AO8961" s="11">
        <v>41522.49</v>
      </c>
      <c r="AP8961" s="9">
        <v>3.7106858681532904</v>
      </c>
    </row>
    <row r="8962" spans="40:42" x14ac:dyDescent="0.3">
      <c r="AN8962">
        <v>8958</v>
      </c>
      <c r="AO8962" s="11">
        <v>22252.11</v>
      </c>
      <c r="AP8962" s="9">
        <v>3.4377661230793946</v>
      </c>
    </row>
    <row r="8963" spans="40:42" x14ac:dyDescent="0.3">
      <c r="AN8963">
        <v>8959</v>
      </c>
      <c r="AO8963" s="11">
        <v>21929.4</v>
      </c>
      <c r="AP8963" s="9">
        <v>3.6322475192305763</v>
      </c>
    </row>
    <row r="8964" spans="40:42" x14ac:dyDescent="0.3">
      <c r="AN8964">
        <v>8960</v>
      </c>
      <c r="AO8964" s="11">
        <v>28356.86</v>
      </c>
      <c r="AP8964" s="9">
        <v>3.41131249457829</v>
      </c>
    </row>
    <row r="8965" spans="40:42" x14ac:dyDescent="0.3">
      <c r="AN8965">
        <v>8961</v>
      </c>
      <c r="AO8965" s="11">
        <v>17497.91</v>
      </c>
      <c r="AP8965" s="9">
        <v>3.033713221051495</v>
      </c>
    </row>
    <row r="8966" spans="40:42" x14ac:dyDescent="0.3">
      <c r="AN8966">
        <v>8962</v>
      </c>
      <c r="AO8966" s="11">
        <v>20440.189999999999</v>
      </c>
      <c r="AP8966" s="9">
        <v>3.387108864152411</v>
      </c>
    </row>
    <row r="8967" spans="40:42" x14ac:dyDescent="0.3">
      <c r="AN8967">
        <v>8963</v>
      </c>
      <c r="AO8967" s="11">
        <v>31469.01</v>
      </c>
      <c r="AP8967" s="9">
        <v>3.8242175081651335</v>
      </c>
    </row>
    <row r="8968" spans="40:42" x14ac:dyDescent="0.3">
      <c r="AN8968">
        <v>8964</v>
      </c>
      <c r="AO8968" s="11">
        <v>28397.14</v>
      </c>
      <c r="AP8968" s="9">
        <v>3.0263026006009444</v>
      </c>
    </row>
    <row r="8969" spans="40:42" x14ac:dyDescent="0.3">
      <c r="AN8969">
        <v>8965</v>
      </c>
      <c r="AO8969" s="11">
        <v>18752.39</v>
      </c>
      <c r="AP8969" s="9">
        <v>3.3136012245023068</v>
      </c>
    </row>
    <row r="8970" spans="40:42" x14ac:dyDescent="0.3">
      <c r="AN8970">
        <v>8966</v>
      </c>
      <c r="AO8970" s="11">
        <v>34090.639999999999</v>
      </c>
      <c r="AP8970" s="9">
        <v>3.0190497205448197</v>
      </c>
    </row>
    <row r="8971" spans="40:42" x14ac:dyDescent="0.3">
      <c r="AN8971">
        <v>8967</v>
      </c>
      <c r="AO8971" s="11">
        <v>24033.35</v>
      </c>
      <c r="AP8971" s="9">
        <v>3.2629066975993162</v>
      </c>
    </row>
    <row r="8972" spans="40:42" x14ac:dyDescent="0.3">
      <c r="AN8972">
        <v>8968</v>
      </c>
      <c r="AO8972" s="11">
        <v>33407.86</v>
      </c>
      <c r="AP8972" s="9">
        <v>3.8027554420835736</v>
      </c>
    </row>
    <row r="8973" spans="40:42" x14ac:dyDescent="0.3">
      <c r="AN8973">
        <v>8969</v>
      </c>
      <c r="AO8973" s="11">
        <v>17703.259999999998</v>
      </c>
      <c r="AP8973" s="9">
        <v>2.9721688497081469</v>
      </c>
    </row>
    <row r="8974" spans="40:42" x14ac:dyDescent="0.3">
      <c r="AN8974">
        <v>8970</v>
      </c>
      <c r="AO8974" s="11">
        <v>37540.769999999997</v>
      </c>
      <c r="AP8974" s="9">
        <v>3.9231199424011942</v>
      </c>
    </row>
    <row r="8975" spans="40:42" x14ac:dyDescent="0.3">
      <c r="AN8975">
        <v>8971</v>
      </c>
      <c r="AO8975" s="11">
        <v>27218.38</v>
      </c>
      <c r="AP8975" s="9">
        <v>3.0188901429821229</v>
      </c>
    </row>
    <row r="8976" spans="40:42" x14ac:dyDescent="0.3">
      <c r="AN8976">
        <v>8972</v>
      </c>
      <c r="AO8976" s="11">
        <v>22678.99</v>
      </c>
      <c r="AP8976" s="9">
        <v>3.4090906647972492</v>
      </c>
    </row>
    <row r="8977" spans="40:42" x14ac:dyDescent="0.3">
      <c r="AN8977">
        <v>8973</v>
      </c>
      <c r="AO8977" s="11">
        <v>25648.41</v>
      </c>
      <c r="AP8977" s="9">
        <v>3.5895608875446139</v>
      </c>
    </row>
    <row r="8978" spans="40:42" x14ac:dyDescent="0.3">
      <c r="AN8978">
        <v>8974</v>
      </c>
      <c r="AO8978" s="11">
        <v>32781.050000000003</v>
      </c>
      <c r="AP8978" s="9">
        <v>3.4330309595965649</v>
      </c>
    </row>
    <row r="8979" spans="40:42" x14ac:dyDescent="0.3">
      <c r="AN8979">
        <v>8975</v>
      </c>
      <c r="AO8979" s="11">
        <v>20436.349999999999</v>
      </c>
      <c r="AP8979" s="9">
        <v>3.5216061782212642</v>
      </c>
    </row>
    <row r="8980" spans="40:42" x14ac:dyDescent="0.3">
      <c r="AN8980">
        <v>8976</v>
      </c>
      <c r="AO8980" s="11">
        <v>23911.24</v>
      </c>
      <c r="AP8980" s="9">
        <v>2.8475701811255494</v>
      </c>
    </row>
    <row r="8981" spans="40:42" x14ac:dyDescent="0.3">
      <c r="AN8981">
        <v>8977</v>
      </c>
      <c r="AO8981" s="11">
        <v>32073.48</v>
      </c>
      <c r="AP8981" s="9">
        <v>3.530575035601982</v>
      </c>
    </row>
    <row r="8982" spans="40:42" x14ac:dyDescent="0.3">
      <c r="AN8982">
        <v>8978</v>
      </c>
      <c r="AO8982" s="11">
        <v>25715.22</v>
      </c>
      <c r="AP8982" s="9">
        <v>2.9183618511714853</v>
      </c>
    </row>
    <row r="8983" spans="40:42" x14ac:dyDescent="0.3">
      <c r="AN8983">
        <v>8979</v>
      </c>
      <c r="AO8983" s="11">
        <v>28339.21</v>
      </c>
      <c r="AP8983" s="9">
        <v>3.1033356360025679</v>
      </c>
    </row>
    <row r="8984" spans="40:42" x14ac:dyDescent="0.3">
      <c r="AN8984">
        <v>8980</v>
      </c>
      <c r="AO8984" s="11">
        <v>22972.5</v>
      </c>
      <c r="AP8984" s="9">
        <v>3.4044106233696714</v>
      </c>
    </row>
    <row r="8985" spans="40:42" x14ac:dyDescent="0.3">
      <c r="AN8985">
        <v>8981</v>
      </c>
      <c r="AO8985" s="11">
        <v>26351.66</v>
      </c>
      <c r="AP8985" s="9">
        <v>3.7558861031116111</v>
      </c>
    </row>
    <row r="8986" spans="40:42" x14ac:dyDescent="0.3">
      <c r="AN8986">
        <v>8982</v>
      </c>
      <c r="AO8986" s="11">
        <v>27764.38</v>
      </c>
      <c r="AP8986" s="9">
        <v>3.8932054878351514</v>
      </c>
    </row>
    <row r="8987" spans="40:42" x14ac:dyDescent="0.3">
      <c r="AN8987">
        <v>8983</v>
      </c>
      <c r="AO8987" s="11">
        <v>34543.300000000003</v>
      </c>
      <c r="AP8987" s="9">
        <v>3.8476739770183945</v>
      </c>
    </row>
    <row r="8988" spans="40:42" x14ac:dyDescent="0.3">
      <c r="AN8988">
        <v>8984</v>
      </c>
      <c r="AO8988" s="11">
        <v>43716.49</v>
      </c>
      <c r="AP8988" s="9">
        <v>3.9955276396885697</v>
      </c>
    </row>
    <row r="8989" spans="40:42" x14ac:dyDescent="0.3">
      <c r="AN8989">
        <v>8985</v>
      </c>
      <c r="AO8989" s="11">
        <v>22414.12</v>
      </c>
      <c r="AP8989" s="9">
        <v>3.2371127639569757</v>
      </c>
    </row>
    <row r="8990" spans="40:42" x14ac:dyDescent="0.3">
      <c r="AN8990">
        <v>8986</v>
      </c>
      <c r="AO8990" s="11">
        <v>21184.18</v>
      </c>
      <c r="AP8990" s="9">
        <v>3.0656969872836282</v>
      </c>
    </row>
    <row r="8991" spans="40:42" x14ac:dyDescent="0.3">
      <c r="AN8991">
        <v>8987</v>
      </c>
      <c r="AO8991" s="11">
        <v>24464.71</v>
      </c>
      <c r="AP8991" s="9">
        <v>3.1094780649069151</v>
      </c>
    </row>
    <row r="8992" spans="40:42" x14ac:dyDescent="0.3">
      <c r="AN8992">
        <v>8988</v>
      </c>
      <c r="AO8992" s="11">
        <v>25215.63</v>
      </c>
      <c r="AP8992" s="9">
        <v>3.7296167973908259</v>
      </c>
    </row>
    <row r="8993" spans="40:42" x14ac:dyDescent="0.3">
      <c r="AN8993">
        <v>8989</v>
      </c>
      <c r="AO8993" s="11">
        <v>26713.42</v>
      </c>
      <c r="AP8993" s="9">
        <v>3.2920522197495576</v>
      </c>
    </row>
    <row r="8994" spans="40:42" x14ac:dyDescent="0.3">
      <c r="AN8994">
        <v>8990</v>
      </c>
      <c r="AO8994" s="11">
        <v>46032.21</v>
      </c>
      <c r="AP8994" s="9">
        <v>3.9659388263612394</v>
      </c>
    </row>
    <row r="8995" spans="40:42" x14ac:dyDescent="0.3">
      <c r="AN8995">
        <v>8991</v>
      </c>
      <c r="AO8995" s="11">
        <v>31609.23</v>
      </c>
      <c r="AP8995" s="9">
        <v>3.5034192784463425</v>
      </c>
    </row>
    <row r="8996" spans="40:42" x14ac:dyDescent="0.3">
      <c r="AN8996">
        <v>8992</v>
      </c>
      <c r="AO8996" s="11">
        <v>32270.49</v>
      </c>
      <c r="AP8996" s="9">
        <v>3.2092151347554716</v>
      </c>
    </row>
    <row r="8997" spans="40:42" x14ac:dyDescent="0.3">
      <c r="AN8997">
        <v>8993</v>
      </c>
      <c r="AO8997" s="11">
        <v>37741.81</v>
      </c>
      <c r="AP8997" s="9">
        <v>3.7924546617753454</v>
      </c>
    </row>
    <row r="8998" spans="40:42" x14ac:dyDescent="0.3">
      <c r="AN8998">
        <v>8994</v>
      </c>
      <c r="AO8998" s="11">
        <v>18923.419999999998</v>
      </c>
      <c r="AP8998" s="9">
        <v>3.4194567130607001</v>
      </c>
    </row>
    <row r="8999" spans="40:42" x14ac:dyDescent="0.3">
      <c r="AN8999">
        <v>8995</v>
      </c>
      <c r="AO8999" s="11">
        <v>30828.959999999999</v>
      </c>
      <c r="AP8999" s="9">
        <v>3.8966861970677473</v>
      </c>
    </row>
    <row r="9000" spans="40:42" x14ac:dyDescent="0.3">
      <c r="AN9000">
        <v>8996</v>
      </c>
      <c r="AO9000" s="11">
        <v>28781.01</v>
      </c>
      <c r="AP9000" s="9">
        <v>3.5079350552135993</v>
      </c>
    </row>
    <row r="9001" spans="40:42" x14ac:dyDescent="0.3">
      <c r="AN9001">
        <v>8997</v>
      </c>
      <c r="AO9001" s="11">
        <v>20154.849999999999</v>
      </c>
      <c r="AP9001" s="9">
        <v>3.3508864091029888</v>
      </c>
    </row>
    <row r="9002" spans="40:42" x14ac:dyDescent="0.3">
      <c r="AN9002">
        <v>8998</v>
      </c>
      <c r="AO9002" s="11">
        <v>32458.25</v>
      </c>
      <c r="AP9002" s="9">
        <v>3.6859675449041105</v>
      </c>
    </row>
    <row r="9003" spans="40:42" x14ac:dyDescent="0.3">
      <c r="AN9003">
        <v>8999</v>
      </c>
      <c r="AO9003" s="11">
        <v>32243.48</v>
      </c>
      <c r="AP9003" s="9">
        <v>3.71495812962094</v>
      </c>
    </row>
    <row r="9004" spans="40:42" x14ac:dyDescent="0.3">
      <c r="AN9004">
        <v>9000</v>
      </c>
      <c r="AO9004" s="11">
        <v>22792.7</v>
      </c>
      <c r="AP9004" s="9">
        <v>3.3822501476402724</v>
      </c>
    </row>
    <row r="9005" spans="40:42" x14ac:dyDescent="0.3">
      <c r="AN9005">
        <v>9001</v>
      </c>
      <c r="AO9005" s="11">
        <v>19862.669999999998</v>
      </c>
      <c r="AP9005" s="9">
        <v>3.3598271680648768</v>
      </c>
    </row>
    <row r="9006" spans="40:42" x14ac:dyDescent="0.3">
      <c r="AN9006">
        <v>9002</v>
      </c>
      <c r="AO9006" s="11">
        <v>33333.800000000003</v>
      </c>
      <c r="AP9006" s="9">
        <v>3.5770428638188752</v>
      </c>
    </row>
    <row r="9007" spans="40:42" x14ac:dyDescent="0.3">
      <c r="AN9007">
        <v>9003</v>
      </c>
      <c r="AO9007" s="11">
        <v>28431.16</v>
      </c>
      <c r="AP9007" s="9">
        <v>3.4308727138490318</v>
      </c>
    </row>
    <row r="9008" spans="40:42" x14ac:dyDescent="0.3">
      <c r="AN9008">
        <v>9004</v>
      </c>
      <c r="AO9008" s="11">
        <v>14822.22</v>
      </c>
      <c r="AP9008" s="9">
        <v>3.0551150661410742</v>
      </c>
    </row>
    <row r="9009" spans="40:42" x14ac:dyDescent="0.3">
      <c r="AN9009">
        <v>9005</v>
      </c>
      <c r="AO9009" s="11">
        <v>28473.5</v>
      </c>
      <c r="AP9009" s="9">
        <v>3.423837221811691</v>
      </c>
    </row>
    <row r="9010" spans="40:42" x14ac:dyDescent="0.3">
      <c r="AN9010">
        <v>9006</v>
      </c>
      <c r="AO9010" s="11">
        <v>25235.18</v>
      </c>
      <c r="AP9010" s="9">
        <v>3.1569162419861039</v>
      </c>
    </row>
    <row r="9011" spans="40:42" x14ac:dyDescent="0.3">
      <c r="AN9011">
        <v>9007</v>
      </c>
      <c r="AO9011" s="11">
        <v>28605.32</v>
      </c>
      <c r="AP9011" s="9">
        <v>3.6180459537188852</v>
      </c>
    </row>
    <row r="9012" spans="40:42" x14ac:dyDescent="0.3">
      <c r="AN9012">
        <v>9008</v>
      </c>
      <c r="AO9012" s="11">
        <v>35155.26</v>
      </c>
      <c r="AP9012" s="9">
        <v>4.0971102382520952</v>
      </c>
    </row>
    <row r="9013" spans="40:42" x14ac:dyDescent="0.3">
      <c r="AN9013">
        <v>9009</v>
      </c>
      <c r="AO9013" s="11">
        <v>15421.2</v>
      </c>
      <c r="AP9013" s="9">
        <v>2.8053350526105039</v>
      </c>
    </row>
    <row r="9014" spans="40:42" x14ac:dyDescent="0.3">
      <c r="AN9014">
        <v>9010</v>
      </c>
      <c r="AO9014" s="11">
        <v>32259.64</v>
      </c>
      <c r="AP9014" s="9">
        <v>4.1005338352141223</v>
      </c>
    </row>
    <row r="9015" spans="40:42" x14ac:dyDescent="0.3">
      <c r="AN9015">
        <v>9011</v>
      </c>
      <c r="AO9015" s="11">
        <v>34829.17</v>
      </c>
      <c r="AP9015" s="9">
        <v>3.7392325502022148</v>
      </c>
    </row>
    <row r="9016" spans="40:42" x14ac:dyDescent="0.3">
      <c r="AN9016">
        <v>9012</v>
      </c>
      <c r="AO9016" s="11">
        <v>21749.27</v>
      </c>
      <c r="AP9016" s="9">
        <v>3.5249042358026448</v>
      </c>
    </row>
    <row r="9017" spans="40:42" x14ac:dyDescent="0.3">
      <c r="AN9017">
        <v>9013</v>
      </c>
      <c r="AO9017" s="11">
        <v>19082.009999999998</v>
      </c>
      <c r="AP9017" s="9">
        <v>3.3152967097968595</v>
      </c>
    </row>
    <row r="9018" spans="40:42" x14ac:dyDescent="0.3">
      <c r="AN9018">
        <v>9014</v>
      </c>
      <c r="AO9018" s="11">
        <v>18953.73</v>
      </c>
      <c r="AP9018" s="9">
        <v>3.0249962455309825</v>
      </c>
    </row>
    <row r="9019" spans="40:42" x14ac:dyDescent="0.3">
      <c r="AN9019">
        <v>9015</v>
      </c>
      <c r="AO9019" s="11">
        <v>17910.29</v>
      </c>
      <c r="AP9019" s="9">
        <v>3.2119060555372667</v>
      </c>
    </row>
    <row r="9020" spans="40:42" x14ac:dyDescent="0.3">
      <c r="AN9020">
        <v>9016</v>
      </c>
      <c r="AO9020" s="11">
        <v>24240.720000000001</v>
      </c>
      <c r="AP9020" s="9">
        <v>3.0681180809546129</v>
      </c>
    </row>
    <row r="9021" spans="40:42" x14ac:dyDescent="0.3">
      <c r="AN9021">
        <v>9017</v>
      </c>
      <c r="AO9021" s="11">
        <v>31750.01</v>
      </c>
      <c r="AP9021" s="9">
        <v>3.7881943688354132</v>
      </c>
    </row>
    <row r="9022" spans="40:42" x14ac:dyDescent="0.3">
      <c r="AN9022">
        <v>9018</v>
      </c>
      <c r="AO9022" s="11">
        <v>16376.38</v>
      </c>
      <c r="AP9022" s="9">
        <v>3.2385266481732966</v>
      </c>
    </row>
    <row r="9023" spans="40:42" x14ac:dyDescent="0.3">
      <c r="AN9023">
        <v>9019</v>
      </c>
      <c r="AO9023" s="11">
        <v>26814.22</v>
      </c>
      <c r="AP9023" s="9">
        <v>3.2680144764133243</v>
      </c>
    </row>
    <row r="9024" spans="40:42" x14ac:dyDescent="0.3">
      <c r="AN9024">
        <v>9020</v>
      </c>
      <c r="AO9024" s="11">
        <v>24137.9</v>
      </c>
      <c r="AP9024" s="9">
        <v>2.6014815012852375</v>
      </c>
    </row>
    <row r="9025" spans="40:42" x14ac:dyDescent="0.3">
      <c r="AN9025">
        <v>9021</v>
      </c>
      <c r="AO9025" s="11">
        <v>32788.82</v>
      </c>
      <c r="AP9025" s="9">
        <v>3.2427863633458074</v>
      </c>
    </row>
    <row r="9026" spans="40:42" x14ac:dyDescent="0.3">
      <c r="AN9026">
        <v>9022</v>
      </c>
      <c r="AO9026" s="11">
        <v>62423.44</v>
      </c>
      <c r="AP9026" s="9">
        <v>4.5721592265073019</v>
      </c>
    </row>
    <row r="9027" spans="40:42" x14ac:dyDescent="0.3">
      <c r="AN9027">
        <v>9023</v>
      </c>
      <c r="AO9027" s="11">
        <v>22059.93</v>
      </c>
      <c r="AP9027" s="9">
        <v>3.3819454960033437</v>
      </c>
    </row>
    <row r="9028" spans="40:42" x14ac:dyDescent="0.3">
      <c r="AN9028">
        <v>9024</v>
      </c>
      <c r="AO9028" s="11">
        <v>31564.13</v>
      </c>
      <c r="AP9028" s="9">
        <v>3.5777465759423137</v>
      </c>
    </row>
    <row r="9029" spans="40:42" x14ac:dyDescent="0.3">
      <c r="AN9029">
        <v>9025</v>
      </c>
      <c r="AO9029" s="11">
        <v>25384.3</v>
      </c>
      <c r="AP9029" s="9">
        <v>3.4802927277500073</v>
      </c>
    </row>
    <row r="9030" spans="40:42" x14ac:dyDescent="0.3">
      <c r="AN9030">
        <v>9026</v>
      </c>
      <c r="AO9030" s="11">
        <v>23786.65</v>
      </c>
      <c r="AP9030" s="9">
        <v>2.5938437752104893</v>
      </c>
    </row>
    <row r="9031" spans="40:42" x14ac:dyDescent="0.3">
      <c r="AN9031">
        <v>9027</v>
      </c>
      <c r="AO9031" s="11">
        <v>24654.400000000001</v>
      </c>
      <c r="AP9031" s="9">
        <v>3.879585313529883</v>
      </c>
    </row>
    <row r="9032" spans="40:42" x14ac:dyDescent="0.3">
      <c r="AN9032">
        <v>9028</v>
      </c>
      <c r="AO9032" s="11">
        <v>35288.97</v>
      </c>
      <c r="AP9032" s="9">
        <v>3.3668662909610232</v>
      </c>
    </row>
    <row r="9033" spans="40:42" x14ac:dyDescent="0.3">
      <c r="AN9033">
        <v>9029</v>
      </c>
      <c r="AO9033" s="11">
        <v>21737.78</v>
      </c>
      <c r="AP9033" s="9">
        <v>3.1996733750534769</v>
      </c>
    </row>
    <row r="9034" spans="40:42" x14ac:dyDescent="0.3">
      <c r="AN9034">
        <v>9030</v>
      </c>
      <c r="AO9034" s="11">
        <v>26499.38</v>
      </c>
      <c r="AP9034" s="9">
        <v>3.283360172981074</v>
      </c>
    </row>
    <row r="9035" spans="40:42" x14ac:dyDescent="0.3">
      <c r="AN9035">
        <v>9031</v>
      </c>
      <c r="AO9035" s="11">
        <v>31268.87</v>
      </c>
      <c r="AP9035" s="9">
        <v>3.598145159635632</v>
      </c>
    </row>
    <row r="9036" spans="40:42" x14ac:dyDescent="0.3">
      <c r="AN9036">
        <v>9032</v>
      </c>
      <c r="AO9036" s="11">
        <v>21582.41</v>
      </c>
      <c r="AP9036" s="9">
        <v>3.0281831129954608</v>
      </c>
    </row>
    <row r="9037" spans="40:42" x14ac:dyDescent="0.3">
      <c r="AN9037">
        <v>9033</v>
      </c>
      <c r="AO9037" s="11">
        <v>33070.269999999997</v>
      </c>
      <c r="AP9037" s="9">
        <v>3.6743476641301456</v>
      </c>
    </row>
    <row r="9038" spans="40:42" x14ac:dyDescent="0.3">
      <c r="AN9038">
        <v>9034</v>
      </c>
      <c r="AO9038" s="11">
        <v>39180.78</v>
      </c>
      <c r="AP9038" s="9">
        <v>3.374982968835357</v>
      </c>
    </row>
    <row r="9039" spans="40:42" x14ac:dyDescent="0.3">
      <c r="AN9039">
        <v>9035</v>
      </c>
      <c r="AO9039" s="11">
        <v>32382.68</v>
      </c>
      <c r="AP9039" s="9">
        <v>3.2140443413302537</v>
      </c>
    </row>
    <row r="9040" spans="40:42" x14ac:dyDescent="0.3">
      <c r="AN9040">
        <v>9036</v>
      </c>
      <c r="AO9040" s="11">
        <v>39877.120000000003</v>
      </c>
      <c r="AP9040" s="9">
        <v>3.289142337764313</v>
      </c>
    </row>
    <row r="9041" spans="40:42" x14ac:dyDescent="0.3">
      <c r="AN9041">
        <v>9037</v>
      </c>
      <c r="AO9041" s="11">
        <v>32413.87</v>
      </c>
      <c r="AP9041" s="9">
        <v>4.2060030856538706</v>
      </c>
    </row>
    <row r="9042" spans="40:42" x14ac:dyDescent="0.3">
      <c r="AN9042">
        <v>9038</v>
      </c>
      <c r="AO9042" s="11">
        <v>24881.1</v>
      </c>
      <c r="AP9042" s="9">
        <v>3.337446485806852</v>
      </c>
    </row>
    <row r="9043" spans="40:42" x14ac:dyDescent="0.3">
      <c r="AN9043">
        <v>9039</v>
      </c>
      <c r="AO9043" s="11">
        <v>24771.97</v>
      </c>
      <c r="AP9043" s="9">
        <v>3.4640603019278018</v>
      </c>
    </row>
    <row r="9044" spans="40:42" x14ac:dyDescent="0.3">
      <c r="AN9044">
        <v>9040</v>
      </c>
      <c r="AO9044" s="11">
        <v>27253.65</v>
      </c>
      <c r="AP9044" s="9">
        <v>3.1371255759511985</v>
      </c>
    </row>
    <row r="9045" spans="40:42" x14ac:dyDescent="0.3">
      <c r="AN9045">
        <v>9041</v>
      </c>
      <c r="AO9045" s="11">
        <v>24947.439999999999</v>
      </c>
      <c r="AP9045" s="9">
        <v>3.5371852923240654</v>
      </c>
    </row>
    <row r="9046" spans="40:42" x14ac:dyDescent="0.3">
      <c r="AN9046">
        <v>9042</v>
      </c>
      <c r="AO9046" s="11">
        <v>28757.46</v>
      </c>
      <c r="AP9046" s="9">
        <v>2.776863699579541</v>
      </c>
    </row>
    <row r="9047" spans="40:42" x14ac:dyDescent="0.3">
      <c r="AN9047">
        <v>9043</v>
      </c>
      <c r="AO9047" s="11">
        <v>30541.58</v>
      </c>
      <c r="AP9047" s="9">
        <v>3.0205489706995765</v>
      </c>
    </row>
    <row r="9048" spans="40:42" x14ac:dyDescent="0.3">
      <c r="AN9048">
        <v>9044</v>
      </c>
      <c r="AO9048" s="11">
        <v>25346.91</v>
      </c>
      <c r="AP9048" s="9">
        <v>3.7421012764839756</v>
      </c>
    </row>
    <row r="9049" spans="40:42" x14ac:dyDescent="0.3">
      <c r="AN9049">
        <v>9045</v>
      </c>
      <c r="AO9049" s="11">
        <v>27101.38</v>
      </c>
      <c r="AP9049" s="9">
        <v>3.5443282889695129</v>
      </c>
    </row>
    <row r="9050" spans="40:42" x14ac:dyDescent="0.3">
      <c r="AN9050">
        <v>9046</v>
      </c>
      <c r="AO9050" s="11">
        <v>26604.93</v>
      </c>
      <c r="AP9050" s="9">
        <v>3.6446589205482582</v>
      </c>
    </row>
    <row r="9051" spans="40:42" x14ac:dyDescent="0.3">
      <c r="AN9051">
        <v>9047</v>
      </c>
      <c r="AO9051" s="11">
        <v>15758.66</v>
      </c>
      <c r="AP9051" s="9">
        <v>3.5996562822036879</v>
      </c>
    </row>
    <row r="9052" spans="40:42" x14ac:dyDescent="0.3">
      <c r="AN9052">
        <v>9048</v>
      </c>
      <c r="AO9052" s="11">
        <v>45859.73</v>
      </c>
      <c r="AP9052" s="9">
        <v>4.0827321428656553</v>
      </c>
    </row>
    <row r="9053" spans="40:42" x14ac:dyDescent="0.3">
      <c r="AN9053">
        <v>9049</v>
      </c>
      <c r="AO9053" s="11">
        <v>38167.699999999997</v>
      </c>
      <c r="AP9053" s="9">
        <v>3.7979323359929347</v>
      </c>
    </row>
    <row r="9054" spans="40:42" x14ac:dyDescent="0.3">
      <c r="AN9054">
        <v>9050</v>
      </c>
      <c r="AO9054" s="11">
        <v>29417.05</v>
      </c>
      <c r="AP9054" s="9">
        <v>3.2257251918951884</v>
      </c>
    </row>
    <row r="9055" spans="40:42" x14ac:dyDescent="0.3">
      <c r="AN9055">
        <v>9051</v>
      </c>
      <c r="AO9055" s="11">
        <v>28959.9</v>
      </c>
      <c r="AP9055" s="9">
        <v>3.4542195863899434</v>
      </c>
    </row>
    <row r="9056" spans="40:42" x14ac:dyDescent="0.3">
      <c r="AN9056">
        <v>9052</v>
      </c>
      <c r="AO9056" s="11">
        <v>25793.74</v>
      </c>
      <c r="AP9056" s="9">
        <v>3.4482067441445974</v>
      </c>
    </row>
    <row r="9057" spans="40:42" x14ac:dyDescent="0.3">
      <c r="AN9057">
        <v>9053</v>
      </c>
      <c r="AO9057" s="11">
        <v>40658.370000000003</v>
      </c>
      <c r="AP9057" s="9">
        <v>4.2180950451729577</v>
      </c>
    </row>
    <row r="9058" spans="40:42" x14ac:dyDescent="0.3">
      <c r="AN9058">
        <v>9054</v>
      </c>
      <c r="AO9058" s="11">
        <v>18915.27</v>
      </c>
      <c r="AP9058" s="9">
        <v>3.5190718930798721</v>
      </c>
    </row>
    <row r="9059" spans="40:42" x14ac:dyDescent="0.3">
      <c r="AN9059">
        <v>9055</v>
      </c>
      <c r="AO9059" s="11">
        <v>29899.919999999998</v>
      </c>
      <c r="AP9059" s="9">
        <v>3.3793558286075127</v>
      </c>
    </row>
    <row r="9060" spans="40:42" x14ac:dyDescent="0.3">
      <c r="AN9060">
        <v>9056</v>
      </c>
      <c r="AO9060" s="11">
        <v>23573.69</v>
      </c>
      <c r="AP9060" s="9">
        <v>3.575833611617194</v>
      </c>
    </row>
    <row r="9061" spans="40:42" x14ac:dyDescent="0.3">
      <c r="AN9061">
        <v>9057</v>
      </c>
      <c r="AO9061" s="11">
        <v>34154.97</v>
      </c>
      <c r="AP9061" s="9">
        <v>3.5229365461209938</v>
      </c>
    </row>
    <row r="9062" spans="40:42" x14ac:dyDescent="0.3">
      <c r="AN9062">
        <v>9058</v>
      </c>
      <c r="AO9062" s="11">
        <v>16835.189999999999</v>
      </c>
      <c r="AP9062" s="9">
        <v>2.8772657850133729</v>
      </c>
    </row>
    <row r="9063" spans="40:42" x14ac:dyDescent="0.3">
      <c r="AN9063">
        <v>9059</v>
      </c>
      <c r="AO9063" s="11">
        <v>24160.19</v>
      </c>
      <c r="AP9063" s="9">
        <v>3.8648992494038272</v>
      </c>
    </row>
    <row r="9064" spans="40:42" x14ac:dyDescent="0.3">
      <c r="AN9064">
        <v>9060</v>
      </c>
      <c r="AO9064" s="11">
        <v>37689.01</v>
      </c>
      <c r="AP9064" s="9">
        <v>3.1593733895421359</v>
      </c>
    </row>
    <row r="9065" spans="40:42" x14ac:dyDescent="0.3">
      <c r="AN9065">
        <v>9061</v>
      </c>
      <c r="AO9065" s="11">
        <v>29377.32</v>
      </c>
      <c r="AP9065" s="9">
        <v>3.7962343717292177</v>
      </c>
    </row>
    <row r="9066" spans="40:42" x14ac:dyDescent="0.3">
      <c r="AN9066">
        <v>9062</v>
      </c>
      <c r="AO9066" s="11">
        <v>36796.31</v>
      </c>
      <c r="AP9066" s="9">
        <v>3.3731203635199551</v>
      </c>
    </row>
    <row r="9067" spans="40:42" x14ac:dyDescent="0.3">
      <c r="AN9067">
        <v>9063</v>
      </c>
      <c r="AO9067" s="11">
        <v>23449.39</v>
      </c>
      <c r="AP9067" s="9">
        <v>3.5304038661464197</v>
      </c>
    </row>
    <row r="9068" spans="40:42" x14ac:dyDescent="0.3">
      <c r="AN9068">
        <v>9064</v>
      </c>
      <c r="AO9068" s="11">
        <v>25816.720000000001</v>
      </c>
      <c r="AP9068" s="9">
        <v>2.667251063251395</v>
      </c>
    </row>
    <row r="9069" spans="40:42" x14ac:dyDescent="0.3">
      <c r="AN9069">
        <v>9065</v>
      </c>
      <c r="AO9069" s="11">
        <v>20028.34</v>
      </c>
      <c r="AP9069" s="9">
        <v>3.3194422377972521</v>
      </c>
    </row>
    <row r="9070" spans="40:42" x14ac:dyDescent="0.3">
      <c r="AN9070">
        <v>9066</v>
      </c>
      <c r="AO9070" s="11">
        <v>27266.53</v>
      </c>
      <c r="AP9070" s="9">
        <v>3.1324013147226224</v>
      </c>
    </row>
    <row r="9071" spans="40:42" x14ac:dyDescent="0.3">
      <c r="AN9071">
        <v>9067</v>
      </c>
      <c r="AO9071" s="11">
        <v>29239.02</v>
      </c>
      <c r="AP9071" s="9">
        <v>3.2243372906701615</v>
      </c>
    </row>
    <row r="9072" spans="40:42" x14ac:dyDescent="0.3">
      <c r="AN9072">
        <v>9068</v>
      </c>
      <c r="AO9072" s="11">
        <v>28018.83</v>
      </c>
      <c r="AP9072" s="9">
        <v>3.5540661885364631</v>
      </c>
    </row>
    <row r="9073" spans="40:42" x14ac:dyDescent="0.3">
      <c r="AN9073">
        <v>9069</v>
      </c>
      <c r="AO9073" s="11">
        <v>31085.48</v>
      </c>
      <c r="AP9073" s="9">
        <v>3.3294983206751256</v>
      </c>
    </row>
    <row r="9074" spans="40:42" x14ac:dyDescent="0.3">
      <c r="AN9074">
        <v>9070</v>
      </c>
      <c r="AO9074" s="11">
        <v>28237.56</v>
      </c>
      <c r="AP9074" s="9">
        <v>3.578914733544043</v>
      </c>
    </row>
    <row r="9075" spans="40:42" x14ac:dyDescent="0.3">
      <c r="AN9075">
        <v>9071</v>
      </c>
      <c r="AO9075" s="11">
        <v>25637.77</v>
      </c>
      <c r="AP9075" s="9">
        <v>3.3046412649506811</v>
      </c>
    </row>
    <row r="9076" spans="40:42" x14ac:dyDescent="0.3">
      <c r="AN9076">
        <v>9072</v>
      </c>
      <c r="AO9076" s="11">
        <v>25102.35</v>
      </c>
      <c r="AP9076" s="9">
        <v>2.8806576432325119</v>
      </c>
    </row>
    <row r="9077" spans="40:42" x14ac:dyDescent="0.3">
      <c r="AN9077">
        <v>9073</v>
      </c>
      <c r="AO9077" s="11">
        <v>33723.26</v>
      </c>
      <c r="AP9077" s="9">
        <v>3.714065798208769</v>
      </c>
    </row>
    <row r="9078" spans="40:42" x14ac:dyDescent="0.3">
      <c r="AN9078">
        <v>9074</v>
      </c>
      <c r="AO9078" s="11">
        <v>19579.419999999998</v>
      </c>
      <c r="AP9078" s="9">
        <v>3.146808815428602</v>
      </c>
    </row>
    <row r="9079" spans="40:42" x14ac:dyDescent="0.3">
      <c r="AN9079">
        <v>9075</v>
      </c>
      <c r="AO9079" s="11">
        <v>33605.08</v>
      </c>
      <c r="AP9079" s="9">
        <v>3.5105168627463108</v>
      </c>
    </row>
    <row r="9080" spans="40:42" x14ac:dyDescent="0.3">
      <c r="AN9080">
        <v>9076</v>
      </c>
      <c r="AO9080" s="11">
        <v>22126.15</v>
      </c>
      <c r="AP9080" s="9">
        <v>2.9862339833379989</v>
      </c>
    </row>
    <row r="9081" spans="40:42" x14ac:dyDescent="0.3">
      <c r="AN9081">
        <v>9077</v>
      </c>
      <c r="AO9081" s="11">
        <v>28999.38</v>
      </c>
      <c r="AP9081" s="9">
        <v>3.3397868107301605</v>
      </c>
    </row>
    <row r="9082" spans="40:42" x14ac:dyDescent="0.3">
      <c r="AN9082">
        <v>9078</v>
      </c>
      <c r="AO9082" s="11">
        <v>37162.230000000003</v>
      </c>
      <c r="AP9082" s="9">
        <v>3.4352220934171194</v>
      </c>
    </row>
    <row r="9083" spans="40:42" x14ac:dyDescent="0.3">
      <c r="AN9083">
        <v>9079</v>
      </c>
      <c r="AO9083" s="11">
        <v>49696.24</v>
      </c>
      <c r="AP9083" s="9">
        <v>3.5908650666707298</v>
      </c>
    </row>
    <row r="9084" spans="40:42" x14ac:dyDescent="0.3">
      <c r="AN9084">
        <v>9080</v>
      </c>
      <c r="AO9084" s="11">
        <v>32547.25</v>
      </c>
      <c r="AP9084" s="9">
        <v>3.556806411504863</v>
      </c>
    </row>
    <row r="9085" spans="40:42" x14ac:dyDescent="0.3">
      <c r="AN9085">
        <v>9081</v>
      </c>
      <c r="AO9085" s="11">
        <v>30070.33</v>
      </c>
      <c r="AP9085" s="9">
        <v>3.744415522406046</v>
      </c>
    </row>
    <row r="9086" spans="40:42" x14ac:dyDescent="0.3">
      <c r="AN9086">
        <v>9082</v>
      </c>
      <c r="AO9086" s="11">
        <v>32538.83</v>
      </c>
      <c r="AP9086" s="9">
        <v>3.0446559756948712</v>
      </c>
    </row>
    <row r="9087" spans="40:42" x14ac:dyDescent="0.3">
      <c r="AN9087">
        <v>9083</v>
      </c>
      <c r="AO9087" s="11">
        <v>28176.23</v>
      </c>
      <c r="AP9087" s="9">
        <v>3.1606091335502962</v>
      </c>
    </row>
    <row r="9088" spans="40:42" x14ac:dyDescent="0.3">
      <c r="AN9088">
        <v>9084</v>
      </c>
      <c r="AO9088" s="11">
        <v>26499.22</v>
      </c>
      <c r="AP9088" s="9">
        <v>2.9146733003118297</v>
      </c>
    </row>
    <row r="9089" spans="40:42" x14ac:dyDescent="0.3">
      <c r="AN9089">
        <v>9085</v>
      </c>
      <c r="AO9089" s="11">
        <v>27256.97</v>
      </c>
      <c r="AP9089" s="9">
        <v>3.5711920292771011</v>
      </c>
    </row>
    <row r="9090" spans="40:42" x14ac:dyDescent="0.3">
      <c r="AN9090">
        <v>9086</v>
      </c>
      <c r="AO9090" s="11">
        <v>36678.800000000003</v>
      </c>
      <c r="AP9090" s="9">
        <v>2.8797844595890045</v>
      </c>
    </row>
    <row r="9091" spans="40:42" x14ac:dyDescent="0.3">
      <c r="AN9091">
        <v>9087</v>
      </c>
      <c r="AO9091" s="11">
        <v>19945.2</v>
      </c>
      <c r="AP9091" s="9">
        <v>3.1560215701147443</v>
      </c>
    </row>
    <row r="9092" spans="40:42" x14ac:dyDescent="0.3">
      <c r="AN9092">
        <v>9088</v>
      </c>
      <c r="AO9092" s="11">
        <v>15497.71</v>
      </c>
      <c r="AP9092" s="9">
        <v>2.8326254381043481</v>
      </c>
    </row>
    <row r="9093" spans="40:42" x14ac:dyDescent="0.3">
      <c r="AN9093">
        <v>9089</v>
      </c>
      <c r="AO9093" s="11">
        <v>18326.3</v>
      </c>
      <c r="AP9093" s="9">
        <v>2.6742777451284856</v>
      </c>
    </row>
    <row r="9094" spans="40:42" x14ac:dyDescent="0.3">
      <c r="AN9094">
        <v>9090</v>
      </c>
      <c r="AO9094" s="11">
        <v>22064.22</v>
      </c>
      <c r="AP9094" s="9">
        <v>2.9713874127032462</v>
      </c>
    </row>
    <row r="9095" spans="40:42" x14ac:dyDescent="0.3">
      <c r="AN9095">
        <v>9091</v>
      </c>
      <c r="AO9095" s="11">
        <v>20932</v>
      </c>
      <c r="AP9095" s="9">
        <v>3.458278678192527</v>
      </c>
    </row>
    <row r="9096" spans="40:42" x14ac:dyDescent="0.3">
      <c r="AN9096">
        <v>9092</v>
      </c>
      <c r="AO9096" s="11">
        <v>20819.66</v>
      </c>
      <c r="AP9096" s="9">
        <v>3.9222796880154798</v>
      </c>
    </row>
    <row r="9097" spans="40:42" x14ac:dyDescent="0.3">
      <c r="AN9097">
        <v>9093</v>
      </c>
      <c r="AO9097" s="11">
        <v>17769.3</v>
      </c>
      <c r="AP9097" s="9">
        <v>2.9447415121418445</v>
      </c>
    </row>
    <row r="9098" spans="40:42" x14ac:dyDescent="0.3">
      <c r="AN9098">
        <v>9094</v>
      </c>
      <c r="AO9098" s="11">
        <v>17275.509999999998</v>
      </c>
      <c r="AP9098" s="9">
        <v>3.1558810333552527</v>
      </c>
    </row>
    <row r="9099" spans="40:42" x14ac:dyDescent="0.3">
      <c r="AN9099">
        <v>9095</v>
      </c>
      <c r="AO9099" s="11">
        <v>18435.240000000002</v>
      </c>
      <c r="AP9099" s="9">
        <v>4.0756485486161713</v>
      </c>
    </row>
    <row r="9100" spans="40:42" x14ac:dyDescent="0.3">
      <c r="AN9100">
        <v>9096</v>
      </c>
      <c r="AO9100" s="11">
        <v>24958.2</v>
      </c>
      <c r="AP9100" s="9">
        <v>4.095476470092227</v>
      </c>
    </row>
    <row r="9101" spans="40:42" x14ac:dyDescent="0.3">
      <c r="AN9101">
        <v>9097</v>
      </c>
      <c r="AO9101" s="11">
        <v>38189.17</v>
      </c>
      <c r="AP9101" s="9">
        <v>3.9655292156664568</v>
      </c>
    </row>
    <row r="9102" spans="40:42" x14ac:dyDescent="0.3">
      <c r="AN9102">
        <v>9098</v>
      </c>
      <c r="AO9102" s="11">
        <v>37326.400000000001</v>
      </c>
      <c r="AP9102" s="9">
        <v>3.386831665348907</v>
      </c>
    </row>
    <row r="9103" spans="40:42" x14ac:dyDescent="0.3">
      <c r="AN9103">
        <v>9099</v>
      </c>
      <c r="AO9103" s="11">
        <v>21647.119999999999</v>
      </c>
      <c r="AP9103" s="9">
        <v>2.9778130314873898</v>
      </c>
    </row>
    <row r="9104" spans="40:42" x14ac:dyDescent="0.3">
      <c r="AN9104">
        <v>9100</v>
      </c>
      <c r="AO9104" s="11">
        <v>34682.57</v>
      </c>
      <c r="AP9104" s="9">
        <v>2.8183575612805076</v>
      </c>
    </row>
    <row r="9105" spans="40:42" x14ac:dyDescent="0.3">
      <c r="AN9105">
        <v>9101</v>
      </c>
      <c r="AO9105" s="11">
        <v>23513.74</v>
      </c>
      <c r="AP9105" s="9">
        <v>2.6970785447871233</v>
      </c>
    </row>
    <row r="9106" spans="40:42" x14ac:dyDescent="0.3">
      <c r="AN9106">
        <v>9102</v>
      </c>
      <c r="AO9106" s="11">
        <v>21907.01</v>
      </c>
      <c r="AP9106" s="9">
        <v>2.8231709926320452</v>
      </c>
    </row>
    <row r="9107" spans="40:42" x14ac:dyDescent="0.3">
      <c r="AN9107">
        <v>9103</v>
      </c>
      <c r="AO9107" s="11">
        <v>25170.89</v>
      </c>
      <c r="AP9107" s="9">
        <v>3.2070569916394671</v>
      </c>
    </row>
    <row r="9108" spans="40:42" x14ac:dyDescent="0.3">
      <c r="AN9108">
        <v>9104</v>
      </c>
      <c r="AO9108" s="11">
        <v>13166.75</v>
      </c>
      <c r="AP9108" s="9">
        <v>3.2593304058069625</v>
      </c>
    </row>
    <row r="9109" spans="40:42" x14ac:dyDescent="0.3">
      <c r="AN9109">
        <v>9105</v>
      </c>
      <c r="AO9109" s="11">
        <v>15462.07</v>
      </c>
      <c r="AP9109" s="9">
        <v>3.0546384165265676</v>
      </c>
    </row>
    <row r="9110" spans="40:42" x14ac:dyDescent="0.3">
      <c r="AN9110">
        <v>9106</v>
      </c>
      <c r="AO9110" s="11">
        <v>28597.53</v>
      </c>
      <c r="AP9110" s="9">
        <v>3.6146105918463083</v>
      </c>
    </row>
    <row r="9111" spans="40:42" x14ac:dyDescent="0.3">
      <c r="AN9111">
        <v>9107</v>
      </c>
      <c r="AO9111" s="11">
        <v>18661.2</v>
      </c>
      <c r="AP9111" s="9">
        <v>2.7065147895751682</v>
      </c>
    </row>
    <row r="9112" spans="40:42" x14ac:dyDescent="0.3">
      <c r="AN9112">
        <v>9108</v>
      </c>
      <c r="AO9112" s="11">
        <v>25700.39</v>
      </c>
      <c r="AP9112" s="9">
        <v>3.582563524344788</v>
      </c>
    </row>
    <row r="9113" spans="40:42" x14ac:dyDescent="0.3">
      <c r="AN9113">
        <v>9109</v>
      </c>
      <c r="AO9113" s="11">
        <v>29359.24</v>
      </c>
      <c r="AP9113" s="9">
        <v>3.3622079317475202</v>
      </c>
    </row>
    <row r="9114" spans="40:42" x14ac:dyDescent="0.3">
      <c r="AN9114">
        <v>9110</v>
      </c>
      <c r="AO9114" s="11">
        <v>15318.93</v>
      </c>
      <c r="AP9114" s="9">
        <v>3.4263544083024287</v>
      </c>
    </row>
    <row r="9115" spans="40:42" x14ac:dyDescent="0.3">
      <c r="AN9115">
        <v>9111</v>
      </c>
      <c r="AO9115" s="11">
        <v>26059.54</v>
      </c>
      <c r="AP9115" s="9">
        <v>3.2197550000484414</v>
      </c>
    </row>
    <row r="9116" spans="40:42" x14ac:dyDescent="0.3">
      <c r="AN9116">
        <v>9112</v>
      </c>
      <c r="AO9116" s="11">
        <v>22615.01</v>
      </c>
      <c r="AP9116" s="9">
        <v>3.2607256821725552</v>
      </c>
    </row>
    <row r="9117" spans="40:42" x14ac:dyDescent="0.3">
      <c r="AN9117">
        <v>9113</v>
      </c>
      <c r="AO9117" s="11">
        <v>26440.98</v>
      </c>
      <c r="AP9117" s="9">
        <v>3.1974278628308181</v>
      </c>
    </row>
    <row r="9118" spans="40:42" x14ac:dyDescent="0.3">
      <c r="AN9118">
        <v>9114</v>
      </c>
      <c r="AO9118" s="11">
        <v>27729.77</v>
      </c>
      <c r="AP9118" s="9">
        <v>3.2195672191822222</v>
      </c>
    </row>
    <row r="9119" spans="40:42" x14ac:dyDescent="0.3">
      <c r="AN9119">
        <v>9115</v>
      </c>
      <c r="AO9119" s="11">
        <v>32069.32</v>
      </c>
      <c r="AP9119" s="9">
        <v>3.6486914527454553</v>
      </c>
    </row>
    <row r="9120" spans="40:42" x14ac:dyDescent="0.3">
      <c r="AN9120">
        <v>9116</v>
      </c>
      <c r="AO9120" s="11">
        <v>41828.06</v>
      </c>
      <c r="AP9120" s="9">
        <v>3.3364731878836023</v>
      </c>
    </row>
    <row r="9121" spans="40:42" x14ac:dyDescent="0.3">
      <c r="AN9121">
        <v>9117</v>
      </c>
      <c r="AO9121" s="11">
        <v>25695.55</v>
      </c>
      <c r="AP9121" s="9">
        <v>4.0252229524893313</v>
      </c>
    </row>
    <row r="9122" spans="40:42" x14ac:dyDescent="0.3">
      <c r="AN9122">
        <v>9118</v>
      </c>
      <c r="AO9122" s="11">
        <v>26286.04</v>
      </c>
      <c r="AP9122" s="9">
        <v>3.6409393362189859</v>
      </c>
    </row>
    <row r="9123" spans="40:42" x14ac:dyDescent="0.3">
      <c r="AN9123">
        <v>9119</v>
      </c>
      <c r="AO9123" s="11">
        <v>45622.77</v>
      </c>
      <c r="AP9123" s="9">
        <v>2.8604620486463843</v>
      </c>
    </row>
    <row r="9124" spans="40:42" x14ac:dyDescent="0.3">
      <c r="AN9124">
        <v>9120</v>
      </c>
      <c r="AO9124" s="11">
        <v>29304.74</v>
      </c>
      <c r="AP9124" s="9">
        <v>2.720554630611812</v>
      </c>
    </row>
    <row r="9125" spans="40:42" x14ac:dyDescent="0.3">
      <c r="AN9125">
        <v>9121</v>
      </c>
      <c r="AO9125" s="11">
        <v>17865.84</v>
      </c>
      <c r="AP9125" s="9">
        <v>3.7535632150477678</v>
      </c>
    </row>
    <row r="9126" spans="40:42" x14ac:dyDescent="0.3">
      <c r="AN9126">
        <v>9122</v>
      </c>
      <c r="AO9126" s="11">
        <v>25037.38</v>
      </c>
      <c r="AP9126" s="9">
        <v>2.8334011716194913</v>
      </c>
    </row>
    <row r="9127" spans="40:42" x14ac:dyDescent="0.3">
      <c r="AN9127">
        <v>9123</v>
      </c>
      <c r="AO9127" s="11">
        <v>19525.12</v>
      </c>
      <c r="AP9127" s="9">
        <v>3.1260135339154487</v>
      </c>
    </row>
    <row r="9128" spans="40:42" x14ac:dyDescent="0.3">
      <c r="AN9128">
        <v>9124</v>
      </c>
      <c r="AO9128" s="11">
        <v>21956.35</v>
      </c>
      <c r="AP9128" s="9">
        <v>3.1115469794822013</v>
      </c>
    </row>
    <row r="9129" spans="40:42" x14ac:dyDescent="0.3">
      <c r="AN9129">
        <v>9125</v>
      </c>
      <c r="AO9129" s="11">
        <v>33285.18</v>
      </c>
      <c r="AP9129" s="9">
        <v>3.729001937354365</v>
      </c>
    </row>
    <row r="9130" spans="40:42" x14ac:dyDescent="0.3">
      <c r="AN9130">
        <v>9126</v>
      </c>
      <c r="AO9130" s="11">
        <v>19909.939999999999</v>
      </c>
      <c r="AP9130" s="9">
        <v>3.2858506219382098</v>
      </c>
    </row>
    <row r="9131" spans="40:42" x14ac:dyDescent="0.3">
      <c r="AN9131">
        <v>9127</v>
      </c>
      <c r="AO9131" s="11">
        <v>26098.32</v>
      </c>
      <c r="AP9131" s="9">
        <v>3.693468211466763</v>
      </c>
    </row>
    <row r="9132" spans="40:42" x14ac:dyDescent="0.3">
      <c r="AN9132">
        <v>9128</v>
      </c>
      <c r="AO9132" s="11">
        <v>22173.95</v>
      </c>
      <c r="AP9132" s="9">
        <v>3.5127666081842612</v>
      </c>
    </row>
    <row r="9133" spans="40:42" x14ac:dyDescent="0.3">
      <c r="AN9133">
        <v>9129</v>
      </c>
      <c r="AO9133" s="11">
        <v>29877.43</v>
      </c>
      <c r="AP9133" s="9">
        <v>3.0977407072731387</v>
      </c>
    </row>
    <row r="9134" spans="40:42" x14ac:dyDescent="0.3">
      <c r="AN9134">
        <v>9130</v>
      </c>
      <c r="AO9134" s="11">
        <v>27921.43</v>
      </c>
      <c r="AP9134" s="9">
        <v>3.2187212409184656</v>
      </c>
    </row>
    <row r="9135" spans="40:42" x14ac:dyDescent="0.3">
      <c r="AN9135">
        <v>9131</v>
      </c>
      <c r="AO9135" s="11">
        <v>18069.34</v>
      </c>
      <c r="AP9135" s="9">
        <v>2.9476741517940597</v>
      </c>
    </row>
    <row r="9136" spans="40:42" x14ac:dyDescent="0.3">
      <c r="AN9136">
        <v>9132</v>
      </c>
      <c r="AO9136" s="11">
        <v>36812.050000000003</v>
      </c>
      <c r="AP9136" s="9">
        <v>3.6038309773643906</v>
      </c>
    </row>
    <row r="9137" spans="40:42" x14ac:dyDescent="0.3">
      <c r="AN9137">
        <v>9133</v>
      </c>
      <c r="AO9137" s="11">
        <v>18899.18</v>
      </c>
      <c r="AP9137" s="9">
        <v>3.1450426226587704</v>
      </c>
    </row>
    <row r="9138" spans="40:42" x14ac:dyDescent="0.3">
      <c r="AN9138">
        <v>9134</v>
      </c>
      <c r="AO9138" s="11">
        <v>19399.78</v>
      </c>
      <c r="AP9138" s="9">
        <v>3.4310599324136799</v>
      </c>
    </row>
    <row r="9139" spans="40:42" x14ac:dyDescent="0.3">
      <c r="AN9139">
        <v>9135</v>
      </c>
      <c r="AO9139" s="11">
        <v>15298.82</v>
      </c>
      <c r="AP9139" s="9">
        <v>3.534386487187843</v>
      </c>
    </row>
    <row r="9140" spans="40:42" x14ac:dyDescent="0.3">
      <c r="AN9140">
        <v>9136</v>
      </c>
      <c r="AO9140" s="11">
        <v>20984.5</v>
      </c>
      <c r="AP9140" s="9">
        <v>3.3652269648931923</v>
      </c>
    </row>
    <row r="9141" spans="40:42" x14ac:dyDescent="0.3">
      <c r="AN9141">
        <v>9137</v>
      </c>
      <c r="AO9141" s="11">
        <v>41857.97</v>
      </c>
      <c r="AP9141" s="9">
        <v>3.5309853117137431</v>
      </c>
    </row>
    <row r="9142" spans="40:42" x14ac:dyDescent="0.3">
      <c r="AN9142">
        <v>9138</v>
      </c>
      <c r="AO9142" s="11">
        <v>32901.93</v>
      </c>
      <c r="AP9142" s="9">
        <v>4.0074586711100668</v>
      </c>
    </row>
    <row r="9143" spans="40:42" x14ac:dyDescent="0.3">
      <c r="AN9143">
        <v>9139</v>
      </c>
      <c r="AO9143" s="11">
        <v>30812.41</v>
      </c>
      <c r="AP9143" s="9">
        <v>3.8581635252858439</v>
      </c>
    </row>
    <row r="9144" spans="40:42" x14ac:dyDescent="0.3">
      <c r="AN9144">
        <v>9140</v>
      </c>
      <c r="AO9144" s="11">
        <v>29951.41</v>
      </c>
      <c r="AP9144" s="9">
        <v>3.4865856406794848</v>
      </c>
    </row>
    <row r="9145" spans="40:42" x14ac:dyDescent="0.3">
      <c r="AN9145">
        <v>9141</v>
      </c>
      <c r="AO9145" s="11">
        <v>21489.43</v>
      </c>
      <c r="AP9145" s="9">
        <v>2.9117612492165539</v>
      </c>
    </row>
    <row r="9146" spans="40:42" x14ac:dyDescent="0.3">
      <c r="AN9146">
        <v>9142</v>
      </c>
      <c r="AO9146" s="11">
        <v>17644.259999999998</v>
      </c>
      <c r="AP9146" s="9">
        <v>3.0297788421880645</v>
      </c>
    </row>
    <row r="9147" spans="40:42" x14ac:dyDescent="0.3">
      <c r="AN9147">
        <v>9143</v>
      </c>
      <c r="AO9147" s="11">
        <v>25278.67</v>
      </c>
      <c r="AP9147" s="9">
        <v>2.9768589171531352</v>
      </c>
    </row>
    <row r="9148" spans="40:42" x14ac:dyDescent="0.3">
      <c r="AN9148">
        <v>9144</v>
      </c>
      <c r="AO9148" s="11">
        <v>21817.25</v>
      </c>
      <c r="AP9148" s="9">
        <v>3.2323282760384124</v>
      </c>
    </row>
    <row r="9149" spans="40:42" x14ac:dyDescent="0.3">
      <c r="AN9149">
        <v>9145</v>
      </c>
      <c r="AO9149" s="11">
        <v>19336.22</v>
      </c>
      <c r="AP9149" s="9">
        <v>3.0646077463055885</v>
      </c>
    </row>
    <row r="9150" spans="40:42" x14ac:dyDescent="0.3">
      <c r="AN9150">
        <v>9146</v>
      </c>
      <c r="AO9150" s="11">
        <v>37664.42</v>
      </c>
      <c r="AP9150" s="9">
        <v>3.449835461603608</v>
      </c>
    </row>
    <row r="9151" spans="40:42" x14ac:dyDescent="0.3">
      <c r="AN9151">
        <v>9147</v>
      </c>
      <c r="AO9151" s="11">
        <v>27928.51</v>
      </c>
      <c r="AP9151" s="9">
        <v>3.06420103915478</v>
      </c>
    </row>
    <row r="9152" spans="40:42" x14ac:dyDescent="0.3">
      <c r="AN9152">
        <v>9148</v>
      </c>
      <c r="AO9152" s="11">
        <v>35720.9</v>
      </c>
      <c r="AP9152" s="9">
        <v>3.4138172825594761</v>
      </c>
    </row>
    <row r="9153" spans="40:42" x14ac:dyDescent="0.3">
      <c r="AN9153">
        <v>9149</v>
      </c>
      <c r="AO9153" s="11">
        <v>32623.1</v>
      </c>
      <c r="AP9153" s="9">
        <v>3.7729336626233434</v>
      </c>
    </row>
    <row r="9154" spans="40:42" x14ac:dyDescent="0.3">
      <c r="AN9154">
        <v>9150</v>
      </c>
      <c r="AO9154" s="11">
        <v>25473.99</v>
      </c>
      <c r="AP9154" s="9">
        <v>3.5996661546731836</v>
      </c>
    </row>
    <row r="9155" spans="40:42" x14ac:dyDescent="0.3">
      <c r="AN9155">
        <v>9151</v>
      </c>
      <c r="AO9155" s="11">
        <v>41075.949999999997</v>
      </c>
      <c r="AP9155" s="9">
        <v>3.7392341729167127</v>
      </c>
    </row>
    <row r="9156" spans="40:42" x14ac:dyDescent="0.3">
      <c r="AN9156">
        <v>9152</v>
      </c>
      <c r="AO9156" s="11">
        <v>18175.57</v>
      </c>
      <c r="AP9156" s="9">
        <v>3.2225393721002744</v>
      </c>
    </row>
    <row r="9157" spans="40:42" x14ac:dyDescent="0.3">
      <c r="AN9157">
        <v>9153</v>
      </c>
      <c r="AO9157" s="11">
        <v>18129.009999999998</v>
      </c>
      <c r="AP9157" s="9">
        <v>3.0801716425791161</v>
      </c>
    </row>
    <row r="9158" spans="40:42" x14ac:dyDescent="0.3">
      <c r="AN9158">
        <v>9154</v>
      </c>
      <c r="AO9158" s="11">
        <v>28218.720000000001</v>
      </c>
      <c r="AP9158" s="9">
        <v>3.114919705354823</v>
      </c>
    </row>
    <row r="9159" spans="40:42" x14ac:dyDescent="0.3">
      <c r="AN9159">
        <v>9155</v>
      </c>
      <c r="AO9159" s="11">
        <v>17628.490000000002</v>
      </c>
      <c r="AP9159" s="9">
        <v>3.3881055314722008</v>
      </c>
    </row>
    <row r="9160" spans="40:42" x14ac:dyDescent="0.3">
      <c r="AN9160">
        <v>9156</v>
      </c>
      <c r="AO9160" s="11">
        <v>19563.060000000001</v>
      </c>
      <c r="AP9160" s="9">
        <v>3.5855007065988538</v>
      </c>
    </row>
    <row r="9161" spans="40:42" x14ac:dyDescent="0.3">
      <c r="AN9161">
        <v>9157</v>
      </c>
      <c r="AO9161" s="11">
        <v>23530.02</v>
      </c>
      <c r="AP9161" s="9">
        <v>2.9808267098900507</v>
      </c>
    </row>
    <row r="9162" spans="40:42" x14ac:dyDescent="0.3">
      <c r="AN9162">
        <v>9158</v>
      </c>
      <c r="AO9162" s="11">
        <v>27627.41</v>
      </c>
      <c r="AP9162" s="9">
        <v>3.4921539097562788</v>
      </c>
    </row>
    <row r="9163" spans="40:42" x14ac:dyDescent="0.3">
      <c r="AN9163">
        <v>9159</v>
      </c>
      <c r="AO9163" s="11">
        <v>21325.84</v>
      </c>
      <c r="AP9163" s="9">
        <v>2.7460078231518006</v>
      </c>
    </row>
    <row r="9164" spans="40:42" x14ac:dyDescent="0.3">
      <c r="AN9164">
        <v>9160</v>
      </c>
      <c r="AO9164" s="11">
        <v>20550.77</v>
      </c>
      <c r="AP9164" s="9">
        <v>3.2020161820993303</v>
      </c>
    </row>
    <row r="9165" spans="40:42" x14ac:dyDescent="0.3">
      <c r="AN9165">
        <v>9161</v>
      </c>
      <c r="AO9165" s="11">
        <v>20904.169999999998</v>
      </c>
      <c r="AP9165" s="9">
        <v>3.0580512347664568</v>
      </c>
    </row>
    <row r="9166" spans="40:42" x14ac:dyDescent="0.3">
      <c r="AN9166">
        <v>9162</v>
      </c>
      <c r="AO9166" s="11">
        <v>29113</v>
      </c>
      <c r="AP9166" s="9">
        <v>3.5564340784544428</v>
      </c>
    </row>
    <row r="9167" spans="40:42" x14ac:dyDescent="0.3">
      <c r="AN9167">
        <v>9163</v>
      </c>
      <c r="AO9167" s="11">
        <v>27223.69</v>
      </c>
      <c r="AP9167" s="9">
        <v>3.2733278315332326</v>
      </c>
    </row>
    <row r="9168" spans="40:42" x14ac:dyDescent="0.3">
      <c r="AN9168">
        <v>9164</v>
      </c>
      <c r="AO9168" s="11">
        <v>32042.14</v>
      </c>
      <c r="AP9168" s="9">
        <v>3.3132947133335482</v>
      </c>
    </row>
    <row r="9169" spans="40:42" x14ac:dyDescent="0.3">
      <c r="AN9169">
        <v>9165</v>
      </c>
      <c r="AO9169" s="11">
        <v>46078.09</v>
      </c>
      <c r="AP9169" s="9">
        <v>3.538636673346669</v>
      </c>
    </row>
    <row r="9170" spans="40:42" x14ac:dyDescent="0.3">
      <c r="AN9170">
        <v>9166</v>
      </c>
      <c r="AO9170" s="11">
        <v>34219.29</v>
      </c>
      <c r="AP9170" s="9">
        <v>3.0311104770096282</v>
      </c>
    </row>
    <row r="9171" spans="40:42" x14ac:dyDescent="0.3">
      <c r="AN9171">
        <v>9167</v>
      </c>
      <c r="AO9171" s="11">
        <v>29806.68</v>
      </c>
      <c r="AP9171" s="9">
        <v>3.3612956174824462</v>
      </c>
    </row>
    <row r="9172" spans="40:42" x14ac:dyDescent="0.3">
      <c r="AN9172">
        <v>9168</v>
      </c>
      <c r="AO9172" s="11">
        <v>24767.25</v>
      </c>
      <c r="AP9172" s="9">
        <v>3.4879268766508522</v>
      </c>
    </row>
    <row r="9173" spans="40:42" x14ac:dyDescent="0.3">
      <c r="AN9173">
        <v>9169</v>
      </c>
      <c r="AO9173" s="11">
        <v>34660.910000000003</v>
      </c>
      <c r="AP9173" s="9">
        <v>3.3643124403205498</v>
      </c>
    </row>
    <row r="9174" spans="40:42" x14ac:dyDescent="0.3">
      <c r="AN9174">
        <v>9170</v>
      </c>
      <c r="AO9174" s="11">
        <v>18264.87</v>
      </c>
      <c r="AP9174" s="9">
        <v>2.87815966462369</v>
      </c>
    </row>
    <row r="9175" spans="40:42" x14ac:dyDescent="0.3">
      <c r="AN9175">
        <v>9171</v>
      </c>
      <c r="AO9175" s="11">
        <v>28216.43</v>
      </c>
      <c r="AP9175" s="9">
        <v>3.7175724189794828</v>
      </c>
    </row>
    <row r="9176" spans="40:42" x14ac:dyDescent="0.3">
      <c r="AN9176">
        <v>9172</v>
      </c>
      <c r="AO9176" s="11">
        <v>19025.13</v>
      </c>
      <c r="AP9176" s="9">
        <v>3.3811887793712607</v>
      </c>
    </row>
    <row r="9177" spans="40:42" x14ac:dyDescent="0.3">
      <c r="AN9177">
        <v>9173</v>
      </c>
      <c r="AO9177" s="11">
        <v>26181.93</v>
      </c>
      <c r="AP9177" s="9">
        <v>3.7538109219195306</v>
      </c>
    </row>
    <row r="9178" spans="40:42" x14ac:dyDescent="0.3">
      <c r="AN9178">
        <v>9174</v>
      </c>
      <c r="AO9178" s="11">
        <v>38260.03</v>
      </c>
      <c r="AP9178" s="9">
        <v>3.8226820274761066</v>
      </c>
    </row>
    <row r="9179" spans="40:42" x14ac:dyDescent="0.3">
      <c r="AN9179">
        <v>9175</v>
      </c>
      <c r="AO9179" s="11">
        <v>34618.76</v>
      </c>
      <c r="AP9179" s="9">
        <v>4.0913763517184805</v>
      </c>
    </row>
    <row r="9180" spans="40:42" x14ac:dyDescent="0.3">
      <c r="AN9180">
        <v>9176</v>
      </c>
      <c r="AO9180" s="11">
        <v>19047.77</v>
      </c>
      <c r="AP9180" s="9">
        <v>2.8421916971433343</v>
      </c>
    </row>
    <row r="9181" spans="40:42" x14ac:dyDescent="0.3">
      <c r="AN9181">
        <v>9177</v>
      </c>
      <c r="AO9181" s="11">
        <v>41319.86</v>
      </c>
      <c r="AP9181" s="9">
        <v>3.7304215161869259</v>
      </c>
    </row>
    <row r="9182" spans="40:42" x14ac:dyDescent="0.3">
      <c r="AN9182">
        <v>9178</v>
      </c>
      <c r="AO9182" s="11">
        <v>34401.660000000003</v>
      </c>
      <c r="AP9182" s="9">
        <v>3.0546054121397916</v>
      </c>
    </row>
    <row r="9183" spans="40:42" x14ac:dyDescent="0.3">
      <c r="AN9183">
        <v>9179</v>
      </c>
      <c r="AO9183" s="11">
        <v>23379.85</v>
      </c>
      <c r="AP9183" s="9">
        <v>3.6789120428045612</v>
      </c>
    </row>
    <row r="9184" spans="40:42" x14ac:dyDescent="0.3">
      <c r="AN9184">
        <v>9180</v>
      </c>
      <c r="AO9184" s="11">
        <v>19832.18</v>
      </c>
      <c r="AP9184" s="9">
        <v>3.087808745201531</v>
      </c>
    </row>
    <row r="9185" spans="40:42" x14ac:dyDescent="0.3">
      <c r="AN9185">
        <v>9181</v>
      </c>
      <c r="AO9185" s="11">
        <v>29308.720000000001</v>
      </c>
      <c r="AP9185" s="9">
        <v>3.6173703860037567</v>
      </c>
    </row>
    <row r="9186" spans="40:42" x14ac:dyDescent="0.3">
      <c r="AN9186">
        <v>9182</v>
      </c>
      <c r="AO9186" s="11">
        <v>16524.73</v>
      </c>
      <c r="AP9186" s="9">
        <v>3.4533471097605832</v>
      </c>
    </row>
    <row r="9187" spans="40:42" x14ac:dyDescent="0.3">
      <c r="AN9187">
        <v>9183</v>
      </c>
      <c r="AO9187" s="11">
        <v>27111.56</v>
      </c>
      <c r="AP9187" s="9">
        <v>3.8375669623716235</v>
      </c>
    </row>
    <row r="9188" spans="40:42" x14ac:dyDescent="0.3">
      <c r="AN9188">
        <v>9184</v>
      </c>
      <c r="AO9188" s="11">
        <v>21706.67</v>
      </c>
      <c r="AP9188" s="9">
        <v>3.1081156498072247</v>
      </c>
    </row>
    <row r="9189" spans="40:42" x14ac:dyDescent="0.3">
      <c r="AN9189">
        <v>9185</v>
      </c>
      <c r="AO9189" s="11">
        <v>35803.17</v>
      </c>
      <c r="AP9189" s="9">
        <v>2.9353897220036642</v>
      </c>
    </row>
    <row r="9190" spans="40:42" x14ac:dyDescent="0.3">
      <c r="AN9190">
        <v>9186</v>
      </c>
      <c r="AO9190" s="11">
        <v>18574.77</v>
      </c>
      <c r="AP9190" s="9">
        <v>3.0309062503191759</v>
      </c>
    </row>
    <row r="9191" spans="40:42" x14ac:dyDescent="0.3">
      <c r="AN9191">
        <v>9187</v>
      </c>
      <c r="AO9191" s="11">
        <v>21921.31</v>
      </c>
      <c r="AP9191" s="9">
        <v>3.5783444481201054</v>
      </c>
    </row>
    <row r="9192" spans="40:42" x14ac:dyDescent="0.3">
      <c r="AN9192">
        <v>9188</v>
      </c>
      <c r="AO9192" s="11">
        <v>21936.51</v>
      </c>
      <c r="AP9192" s="9">
        <v>3.035149823842767</v>
      </c>
    </row>
    <row r="9193" spans="40:42" x14ac:dyDescent="0.3">
      <c r="AN9193">
        <v>9189</v>
      </c>
      <c r="AO9193" s="11">
        <v>35373.279999999999</v>
      </c>
      <c r="AP9193" s="9">
        <v>3.8540849838314695</v>
      </c>
    </row>
    <row r="9194" spans="40:42" x14ac:dyDescent="0.3">
      <c r="AN9194">
        <v>9190</v>
      </c>
      <c r="AO9194" s="11">
        <v>41300.36</v>
      </c>
      <c r="AP9194" s="9">
        <v>4.1652953884950774</v>
      </c>
    </row>
    <row r="9195" spans="40:42" x14ac:dyDescent="0.3">
      <c r="AN9195">
        <v>9191</v>
      </c>
      <c r="AO9195" s="11">
        <v>22103.69</v>
      </c>
      <c r="AP9195" s="9">
        <v>3.0968523125102951</v>
      </c>
    </row>
    <row r="9196" spans="40:42" x14ac:dyDescent="0.3">
      <c r="AN9196">
        <v>9192</v>
      </c>
      <c r="AO9196" s="11">
        <v>23146.94</v>
      </c>
      <c r="AP9196" s="9">
        <v>3.2206043729998126</v>
      </c>
    </row>
    <row r="9197" spans="40:42" x14ac:dyDescent="0.3">
      <c r="AN9197">
        <v>9193</v>
      </c>
      <c r="AO9197" s="11">
        <v>20361.68</v>
      </c>
      <c r="AP9197" s="9">
        <v>3.5185929826458446</v>
      </c>
    </row>
    <row r="9198" spans="40:42" x14ac:dyDescent="0.3">
      <c r="AN9198">
        <v>9194</v>
      </c>
      <c r="AO9198" s="11">
        <v>29201.87</v>
      </c>
      <c r="AP9198" s="9">
        <v>4.1384377530984926</v>
      </c>
    </row>
    <row r="9199" spans="40:42" x14ac:dyDescent="0.3">
      <c r="AN9199">
        <v>9195</v>
      </c>
      <c r="AO9199" s="11">
        <v>35681.870000000003</v>
      </c>
      <c r="AP9199" s="9">
        <v>3.8439431601050185</v>
      </c>
    </row>
    <row r="9200" spans="40:42" x14ac:dyDescent="0.3">
      <c r="AN9200">
        <v>9196</v>
      </c>
      <c r="AO9200" s="11">
        <v>19475.72</v>
      </c>
      <c r="AP9200" s="9">
        <v>2.7486749535276198</v>
      </c>
    </row>
    <row r="9201" spans="40:42" x14ac:dyDescent="0.3">
      <c r="AN9201">
        <v>9197</v>
      </c>
      <c r="AO9201" s="11">
        <v>27365.14</v>
      </c>
      <c r="AP9201" s="9">
        <v>3.2232666799628169</v>
      </c>
    </row>
    <row r="9202" spans="40:42" x14ac:dyDescent="0.3">
      <c r="AN9202">
        <v>9198</v>
      </c>
      <c r="AO9202" s="11">
        <v>17657.04</v>
      </c>
      <c r="AP9202" s="9">
        <v>3.4090974212069836</v>
      </c>
    </row>
    <row r="9203" spans="40:42" x14ac:dyDescent="0.3">
      <c r="AN9203">
        <v>9199</v>
      </c>
      <c r="AO9203" s="11">
        <v>31430.09</v>
      </c>
      <c r="AP9203" s="9">
        <v>3.5210028640221123</v>
      </c>
    </row>
    <row r="9204" spans="40:42" x14ac:dyDescent="0.3">
      <c r="AN9204">
        <v>9200</v>
      </c>
      <c r="AO9204" s="11">
        <v>28580.639999999999</v>
      </c>
      <c r="AP9204" s="9">
        <v>3.2204803477311321</v>
      </c>
    </row>
    <row r="9205" spans="40:42" x14ac:dyDescent="0.3">
      <c r="AN9205">
        <v>9201</v>
      </c>
      <c r="AO9205" s="11">
        <v>18649.86</v>
      </c>
      <c r="AP9205" s="9">
        <v>3.2880688914289387</v>
      </c>
    </row>
    <row r="9206" spans="40:42" x14ac:dyDescent="0.3">
      <c r="AN9206">
        <v>9202</v>
      </c>
      <c r="AO9206" s="11">
        <v>18385.419999999998</v>
      </c>
      <c r="AP9206" s="9">
        <v>3.2299064592057452</v>
      </c>
    </row>
    <row r="9207" spans="40:42" x14ac:dyDescent="0.3">
      <c r="AN9207">
        <v>9203</v>
      </c>
      <c r="AO9207" s="11">
        <v>29959.9</v>
      </c>
      <c r="AP9207" s="9">
        <v>3.1730112125923502</v>
      </c>
    </row>
    <row r="9208" spans="40:42" x14ac:dyDescent="0.3">
      <c r="AN9208">
        <v>9204</v>
      </c>
      <c r="AO9208" s="11">
        <v>20253.75</v>
      </c>
      <c r="AP9208" s="9">
        <v>3.0641168631952755</v>
      </c>
    </row>
    <row r="9209" spans="40:42" x14ac:dyDescent="0.3">
      <c r="AN9209">
        <v>9205</v>
      </c>
      <c r="AO9209" s="11">
        <v>29821.21</v>
      </c>
      <c r="AP9209" s="9">
        <v>3.8921891300740863</v>
      </c>
    </row>
    <row r="9210" spans="40:42" x14ac:dyDescent="0.3">
      <c r="AN9210">
        <v>9206</v>
      </c>
      <c r="AO9210" s="11">
        <v>37651.57</v>
      </c>
      <c r="AP9210" s="9">
        <v>3.8978159604515716</v>
      </c>
    </row>
    <row r="9211" spans="40:42" x14ac:dyDescent="0.3">
      <c r="AN9211">
        <v>9207</v>
      </c>
      <c r="AO9211" s="11">
        <v>45414.66</v>
      </c>
      <c r="AP9211" s="9">
        <v>4.0603862270046873</v>
      </c>
    </row>
    <row r="9212" spans="40:42" x14ac:dyDescent="0.3">
      <c r="AN9212">
        <v>9208</v>
      </c>
      <c r="AO9212" s="11">
        <v>27555.94</v>
      </c>
      <c r="AP9212" s="9">
        <v>3.8524281896219685</v>
      </c>
    </row>
    <row r="9213" spans="40:42" x14ac:dyDescent="0.3">
      <c r="AN9213">
        <v>9209</v>
      </c>
      <c r="AO9213" s="11">
        <v>35276.79</v>
      </c>
      <c r="AP9213" s="9">
        <v>3.4125653530929516</v>
      </c>
    </row>
    <row r="9214" spans="40:42" x14ac:dyDescent="0.3">
      <c r="AN9214">
        <v>9210</v>
      </c>
      <c r="AO9214" s="11">
        <v>19668.05</v>
      </c>
      <c r="AP9214" s="9">
        <v>3.3805248054555634</v>
      </c>
    </row>
    <row r="9215" spans="40:42" x14ac:dyDescent="0.3">
      <c r="AN9215">
        <v>9211</v>
      </c>
      <c r="AO9215" s="11">
        <v>28965.69</v>
      </c>
      <c r="AP9215" s="9">
        <v>3.7158658693907629</v>
      </c>
    </row>
    <row r="9216" spans="40:42" x14ac:dyDescent="0.3">
      <c r="AN9216">
        <v>9212</v>
      </c>
      <c r="AO9216" s="11">
        <v>20302.169999999998</v>
      </c>
      <c r="AP9216" s="9">
        <v>3.4224118788956162</v>
      </c>
    </row>
    <row r="9217" spans="40:42" x14ac:dyDescent="0.3">
      <c r="AN9217">
        <v>9213</v>
      </c>
      <c r="AO9217" s="11">
        <v>27412.32</v>
      </c>
      <c r="AP9217" s="9">
        <v>3.2329110803991137</v>
      </c>
    </row>
    <row r="9218" spans="40:42" x14ac:dyDescent="0.3">
      <c r="AN9218">
        <v>9214</v>
      </c>
      <c r="AO9218" s="11">
        <v>27031.7</v>
      </c>
      <c r="AP9218" s="9">
        <v>3.3015972016648134</v>
      </c>
    </row>
    <row r="9219" spans="40:42" x14ac:dyDescent="0.3">
      <c r="AN9219">
        <v>9215</v>
      </c>
      <c r="AO9219" s="11">
        <v>33114.69</v>
      </c>
      <c r="AP9219" s="9">
        <v>3.7477997606824434</v>
      </c>
    </row>
    <row r="9220" spans="40:42" x14ac:dyDescent="0.3">
      <c r="AN9220">
        <v>9216</v>
      </c>
      <c r="AO9220" s="11">
        <v>35043.089999999997</v>
      </c>
      <c r="AP9220" s="9">
        <v>3.6986350945736151</v>
      </c>
    </row>
    <row r="9221" spans="40:42" x14ac:dyDescent="0.3">
      <c r="AN9221">
        <v>9217</v>
      </c>
      <c r="AO9221" s="11">
        <v>20528.150000000001</v>
      </c>
      <c r="AP9221" s="9">
        <v>2.5843327618302339</v>
      </c>
    </row>
    <row r="9222" spans="40:42" x14ac:dyDescent="0.3">
      <c r="AN9222">
        <v>9218</v>
      </c>
      <c r="AO9222" s="11">
        <v>33157.22</v>
      </c>
      <c r="AP9222" s="9">
        <v>3.5314386731439495</v>
      </c>
    </row>
    <row r="9223" spans="40:42" x14ac:dyDescent="0.3">
      <c r="AN9223">
        <v>9219</v>
      </c>
      <c r="AO9223" s="11">
        <v>24381.360000000001</v>
      </c>
      <c r="AP9223" s="9">
        <v>3.4494766528209384</v>
      </c>
    </row>
    <row r="9224" spans="40:42" x14ac:dyDescent="0.3">
      <c r="AN9224">
        <v>9220</v>
      </c>
      <c r="AO9224" s="11">
        <v>20985</v>
      </c>
      <c r="AP9224" s="9">
        <v>2.9437579856260481</v>
      </c>
    </row>
    <row r="9225" spans="40:42" x14ac:dyDescent="0.3">
      <c r="AN9225">
        <v>9221</v>
      </c>
      <c r="AO9225" s="11">
        <v>32674.74</v>
      </c>
      <c r="AP9225" s="9">
        <v>4.6155597984649077</v>
      </c>
    </row>
    <row r="9226" spans="40:42" x14ac:dyDescent="0.3">
      <c r="AN9226">
        <v>9222</v>
      </c>
      <c r="AO9226" s="11">
        <v>35166.99</v>
      </c>
      <c r="AP9226" s="9">
        <v>3.5893320126414854</v>
      </c>
    </row>
    <row r="9227" spans="40:42" x14ac:dyDescent="0.3">
      <c r="AN9227">
        <v>9223</v>
      </c>
      <c r="AO9227" s="11">
        <v>15512.39</v>
      </c>
      <c r="AP9227" s="9">
        <v>3.2070230271249089</v>
      </c>
    </row>
    <row r="9228" spans="40:42" x14ac:dyDescent="0.3">
      <c r="AN9228">
        <v>9224</v>
      </c>
      <c r="AO9228" s="11">
        <v>24243.19</v>
      </c>
      <c r="AP9228" s="9">
        <v>3.3819127166754419</v>
      </c>
    </row>
    <row r="9229" spans="40:42" x14ac:dyDescent="0.3">
      <c r="AN9229">
        <v>9225</v>
      </c>
      <c r="AO9229" s="11">
        <v>36112.129999999997</v>
      </c>
      <c r="AP9229" s="9">
        <v>4.3220473212857513</v>
      </c>
    </row>
    <row r="9230" spans="40:42" x14ac:dyDescent="0.3">
      <c r="AN9230">
        <v>9226</v>
      </c>
      <c r="AO9230" s="11">
        <v>23129.55</v>
      </c>
      <c r="AP9230" s="9">
        <v>2.9753341895897618</v>
      </c>
    </row>
    <row r="9231" spans="40:42" x14ac:dyDescent="0.3">
      <c r="AN9231">
        <v>9227</v>
      </c>
      <c r="AO9231" s="11">
        <v>20976.21</v>
      </c>
      <c r="AP9231" s="9">
        <v>2.8539752806136183</v>
      </c>
    </row>
    <row r="9232" spans="40:42" x14ac:dyDescent="0.3">
      <c r="AN9232">
        <v>9228</v>
      </c>
      <c r="AO9232" s="11">
        <v>25629.279999999999</v>
      </c>
      <c r="AP9232" s="9">
        <v>2.7801533070294737</v>
      </c>
    </row>
    <row r="9233" spans="40:42" x14ac:dyDescent="0.3">
      <c r="AN9233">
        <v>9229</v>
      </c>
      <c r="AO9233" s="11">
        <v>41872.639999999999</v>
      </c>
      <c r="AP9233" s="9">
        <v>3.9108047832025097</v>
      </c>
    </row>
    <row r="9234" spans="40:42" x14ac:dyDescent="0.3">
      <c r="AN9234">
        <v>9230</v>
      </c>
      <c r="AO9234" s="11">
        <v>35691.699999999997</v>
      </c>
      <c r="AP9234" s="9">
        <v>3.445557490837412</v>
      </c>
    </row>
    <row r="9235" spans="40:42" x14ac:dyDescent="0.3">
      <c r="AN9235">
        <v>9231</v>
      </c>
      <c r="AO9235" s="11">
        <v>23634.67</v>
      </c>
      <c r="AP9235" s="9">
        <v>3.1484423935712469</v>
      </c>
    </row>
    <row r="9236" spans="40:42" x14ac:dyDescent="0.3">
      <c r="AN9236">
        <v>9232</v>
      </c>
      <c r="AO9236" s="11">
        <v>23059.74</v>
      </c>
      <c r="AP9236" s="9">
        <v>2.9965057892318026</v>
      </c>
    </row>
    <row r="9237" spans="40:42" x14ac:dyDescent="0.3">
      <c r="AN9237">
        <v>9233</v>
      </c>
      <c r="AO9237" s="11">
        <v>27930.74</v>
      </c>
      <c r="AP9237" s="9">
        <v>3.7153014743944963</v>
      </c>
    </row>
    <row r="9238" spans="40:42" x14ac:dyDescent="0.3">
      <c r="AN9238">
        <v>9234</v>
      </c>
      <c r="AO9238" s="11">
        <v>27043.41</v>
      </c>
      <c r="AP9238" s="9">
        <v>3.324220627428093</v>
      </c>
    </row>
    <row r="9239" spans="40:42" x14ac:dyDescent="0.3">
      <c r="AN9239">
        <v>9235</v>
      </c>
      <c r="AO9239" s="11">
        <v>26850.27</v>
      </c>
      <c r="AP9239" s="9">
        <v>3.1103544693388945</v>
      </c>
    </row>
    <row r="9240" spans="40:42" x14ac:dyDescent="0.3">
      <c r="AN9240">
        <v>9236</v>
      </c>
      <c r="AO9240" s="11">
        <v>28768.27</v>
      </c>
      <c r="AP9240" s="9">
        <v>3.7874502796341334</v>
      </c>
    </row>
    <row r="9241" spans="40:42" x14ac:dyDescent="0.3">
      <c r="AN9241">
        <v>9237</v>
      </c>
      <c r="AO9241" s="11">
        <v>35052.230000000003</v>
      </c>
      <c r="AP9241" s="9">
        <v>3.2228319260933778</v>
      </c>
    </row>
    <row r="9242" spans="40:42" x14ac:dyDescent="0.3">
      <c r="AN9242">
        <v>9238</v>
      </c>
      <c r="AO9242" s="11">
        <v>40496.57</v>
      </c>
      <c r="AP9242" s="9">
        <v>3.5361674221600397</v>
      </c>
    </row>
    <row r="9243" spans="40:42" x14ac:dyDescent="0.3">
      <c r="AN9243">
        <v>9239</v>
      </c>
      <c r="AO9243" s="11">
        <v>22119.46</v>
      </c>
      <c r="AP9243" s="9">
        <v>3.01041191954682</v>
      </c>
    </row>
    <row r="9244" spans="40:42" x14ac:dyDescent="0.3">
      <c r="AN9244">
        <v>9240</v>
      </c>
      <c r="AO9244" s="11">
        <v>31273.65</v>
      </c>
      <c r="AP9244" s="9">
        <v>3.7401783813328868</v>
      </c>
    </row>
    <row r="9245" spans="40:42" x14ac:dyDescent="0.3">
      <c r="AN9245">
        <v>9241</v>
      </c>
      <c r="AO9245" s="11">
        <v>17467.490000000002</v>
      </c>
      <c r="AP9245" s="9">
        <v>3.2612136503844762</v>
      </c>
    </row>
    <row r="9246" spans="40:42" x14ac:dyDescent="0.3">
      <c r="AN9246">
        <v>9242</v>
      </c>
      <c r="AO9246" s="11">
        <v>23062.74</v>
      </c>
      <c r="AP9246" s="9">
        <v>3.2127470168592267</v>
      </c>
    </row>
    <row r="9247" spans="40:42" x14ac:dyDescent="0.3">
      <c r="AN9247">
        <v>9243</v>
      </c>
      <c r="AO9247" s="11">
        <v>26601.72</v>
      </c>
      <c r="AP9247" s="9">
        <v>3.1125293151706805</v>
      </c>
    </row>
    <row r="9248" spans="40:42" x14ac:dyDescent="0.3">
      <c r="AN9248">
        <v>9244</v>
      </c>
      <c r="AO9248" s="11">
        <v>21235</v>
      </c>
      <c r="AP9248" s="9">
        <v>3.1762217422184191</v>
      </c>
    </row>
    <row r="9249" spans="40:42" x14ac:dyDescent="0.3">
      <c r="AN9249">
        <v>9245</v>
      </c>
      <c r="AO9249" s="11">
        <v>24985.56</v>
      </c>
      <c r="AP9249" s="9">
        <v>2.6705768234488478</v>
      </c>
    </row>
    <row r="9250" spans="40:42" x14ac:dyDescent="0.3">
      <c r="AN9250">
        <v>9246</v>
      </c>
      <c r="AO9250" s="11">
        <v>24933.84</v>
      </c>
      <c r="AP9250" s="9">
        <v>2.9888798905620435</v>
      </c>
    </row>
    <row r="9251" spans="40:42" x14ac:dyDescent="0.3">
      <c r="AN9251">
        <v>9247</v>
      </c>
      <c r="AO9251" s="11">
        <v>12102.74</v>
      </c>
      <c r="AP9251" s="9">
        <v>3.2446767512726358</v>
      </c>
    </row>
    <row r="9252" spans="40:42" x14ac:dyDescent="0.3">
      <c r="AN9252">
        <v>9248</v>
      </c>
      <c r="AO9252" s="11">
        <v>43759.78</v>
      </c>
      <c r="AP9252" s="9">
        <v>4.2915421177790201</v>
      </c>
    </row>
    <row r="9253" spans="40:42" x14ac:dyDescent="0.3">
      <c r="AN9253">
        <v>9249</v>
      </c>
      <c r="AO9253" s="11">
        <v>22120.880000000001</v>
      </c>
      <c r="AP9253" s="9">
        <v>2.7093396361440938</v>
      </c>
    </row>
    <row r="9254" spans="40:42" x14ac:dyDescent="0.3">
      <c r="AN9254">
        <v>9250</v>
      </c>
      <c r="AO9254" s="11">
        <v>20088.25</v>
      </c>
      <c r="AP9254" s="9">
        <v>3.198456287876251</v>
      </c>
    </row>
    <row r="9255" spans="40:42" x14ac:dyDescent="0.3">
      <c r="AN9255">
        <v>9251</v>
      </c>
      <c r="AO9255" s="11">
        <v>29503.3</v>
      </c>
      <c r="AP9255" s="9">
        <v>4.0026076573026552</v>
      </c>
    </row>
    <row r="9256" spans="40:42" x14ac:dyDescent="0.3">
      <c r="AN9256">
        <v>9252</v>
      </c>
      <c r="AO9256" s="11">
        <v>20482.93</v>
      </c>
      <c r="AP9256" s="9">
        <v>3.2034614783114792</v>
      </c>
    </row>
    <row r="9257" spans="40:42" x14ac:dyDescent="0.3">
      <c r="AN9257">
        <v>9253</v>
      </c>
      <c r="AO9257" s="11">
        <v>12067.26</v>
      </c>
      <c r="AP9257" s="9">
        <v>3.1019807040651401</v>
      </c>
    </row>
    <row r="9258" spans="40:42" x14ac:dyDescent="0.3">
      <c r="AN9258">
        <v>9254</v>
      </c>
      <c r="AO9258" s="11">
        <v>29646.91</v>
      </c>
      <c r="AP9258" s="9">
        <v>2.9916145004631329</v>
      </c>
    </row>
    <row r="9259" spans="40:42" x14ac:dyDescent="0.3">
      <c r="AN9259">
        <v>9255</v>
      </c>
      <c r="AO9259" s="11">
        <v>44667.45</v>
      </c>
      <c r="AP9259" s="9">
        <v>4.5659333601436964</v>
      </c>
    </row>
    <row r="9260" spans="40:42" x14ac:dyDescent="0.3">
      <c r="AN9260">
        <v>9256</v>
      </c>
      <c r="AO9260" s="11">
        <v>30763.37</v>
      </c>
      <c r="AP9260" s="9">
        <v>3.5204864742971438</v>
      </c>
    </row>
    <row r="9261" spans="40:42" x14ac:dyDescent="0.3">
      <c r="AN9261">
        <v>9257</v>
      </c>
      <c r="AO9261" s="11">
        <v>25279.4</v>
      </c>
      <c r="AP9261" s="9">
        <v>2.9655565375810098</v>
      </c>
    </row>
    <row r="9262" spans="40:42" x14ac:dyDescent="0.3">
      <c r="AN9262">
        <v>9258</v>
      </c>
      <c r="AO9262" s="11">
        <v>47630.83</v>
      </c>
      <c r="AP9262" s="9">
        <v>4.5913449444200873</v>
      </c>
    </row>
    <row r="9263" spans="40:42" x14ac:dyDescent="0.3">
      <c r="AN9263">
        <v>9259</v>
      </c>
      <c r="AO9263" s="11">
        <v>26079.58</v>
      </c>
      <c r="AP9263" s="9">
        <v>3.4475247323289597</v>
      </c>
    </row>
    <row r="9264" spans="40:42" x14ac:dyDescent="0.3">
      <c r="AN9264">
        <v>9260</v>
      </c>
      <c r="AO9264" s="11">
        <v>32662.3</v>
      </c>
      <c r="AP9264" s="9">
        <v>3.3691943449147912</v>
      </c>
    </row>
    <row r="9265" spans="40:42" x14ac:dyDescent="0.3">
      <c r="AN9265">
        <v>9261</v>
      </c>
      <c r="AO9265" s="11">
        <v>26327.81</v>
      </c>
      <c r="AP9265" s="9">
        <v>3.4513576466473146</v>
      </c>
    </row>
    <row r="9266" spans="40:42" x14ac:dyDescent="0.3">
      <c r="AN9266">
        <v>9262</v>
      </c>
      <c r="AO9266" s="11">
        <v>31474.03</v>
      </c>
      <c r="AP9266" s="9">
        <v>3.3802956296878865</v>
      </c>
    </row>
    <row r="9267" spans="40:42" x14ac:dyDescent="0.3">
      <c r="AN9267">
        <v>9263</v>
      </c>
      <c r="AO9267" s="11">
        <v>29540.49</v>
      </c>
      <c r="AP9267" s="9">
        <v>4.0915894094143521</v>
      </c>
    </row>
    <row r="9268" spans="40:42" x14ac:dyDescent="0.3">
      <c r="AN9268">
        <v>9264</v>
      </c>
      <c r="AO9268" s="11">
        <v>16742.919999999998</v>
      </c>
      <c r="AP9268" s="9">
        <v>2.5013461255605223</v>
      </c>
    </row>
    <row r="9269" spans="40:42" x14ac:dyDescent="0.3">
      <c r="AN9269">
        <v>9265</v>
      </c>
      <c r="AO9269" s="11">
        <v>25189.08</v>
      </c>
      <c r="AP9269" s="9">
        <v>3.6153604090506559</v>
      </c>
    </row>
    <row r="9270" spans="40:42" x14ac:dyDescent="0.3">
      <c r="AN9270">
        <v>9266</v>
      </c>
      <c r="AO9270" s="11">
        <v>28434.560000000001</v>
      </c>
      <c r="AP9270" s="9">
        <v>3.3050454354610705</v>
      </c>
    </row>
    <row r="9271" spans="40:42" x14ac:dyDescent="0.3">
      <c r="AN9271">
        <v>9267</v>
      </c>
      <c r="AO9271" s="11">
        <v>18710.189999999999</v>
      </c>
      <c r="AP9271" s="9">
        <v>2.8906356531870827</v>
      </c>
    </row>
    <row r="9272" spans="40:42" x14ac:dyDescent="0.3">
      <c r="AN9272">
        <v>9268</v>
      </c>
      <c r="AO9272" s="11">
        <v>25288.06</v>
      </c>
      <c r="AP9272" s="9">
        <v>3.4777406417749868</v>
      </c>
    </row>
    <row r="9273" spans="40:42" x14ac:dyDescent="0.3">
      <c r="AN9273">
        <v>9269</v>
      </c>
      <c r="AO9273" s="11">
        <v>20692.669999999998</v>
      </c>
      <c r="AP9273" s="9">
        <v>3.8736541279311267</v>
      </c>
    </row>
    <row r="9274" spans="40:42" x14ac:dyDescent="0.3">
      <c r="AN9274">
        <v>9270</v>
      </c>
      <c r="AO9274" s="11">
        <v>23371.360000000001</v>
      </c>
      <c r="AP9274" s="9">
        <v>2.9992375351853879</v>
      </c>
    </row>
    <row r="9275" spans="40:42" x14ac:dyDescent="0.3">
      <c r="AN9275">
        <v>9271</v>
      </c>
      <c r="AO9275" s="11">
        <v>18773.490000000002</v>
      </c>
      <c r="AP9275" s="9">
        <v>3.2527792588995195</v>
      </c>
    </row>
    <row r="9276" spans="40:42" x14ac:dyDescent="0.3">
      <c r="AN9276">
        <v>9272</v>
      </c>
      <c r="AO9276" s="11">
        <v>28897.95</v>
      </c>
      <c r="AP9276" s="9">
        <v>3.8481867400383818</v>
      </c>
    </row>
    <row r="9277" spans="40:42" x14ac:dyDescent="0.3">
      <c r="AN9277">
        <v>9273</v>
      </c>
      <c r="AO9277" s="11">
        <v>12660.92</v>
      </c>
      <c r="AP9277" s="9">
        <v>2.6009548335009658</v>
      </c>
    </row>
    <row r="9278" spans="40:42" x14ac:dyDescent="0.3">
      <c r="AN9278">
        <v>9274</v>
      </c>
      <c r="AO9278" s="11">
        <v>31919.49</v>
      </c>
      <c r="AP9278" s="9">
        <v>2.8981847752069156</v>
      </c>
    </row>
    <row r="9279" spans="40:42" x14ac:dyDescent="0.3">
      <c r="AN9279">
        <v>9275</v>
      </c>
      <c r="AO9279" s="11">
        <v>28795.54</v>
      </c>
      <c r="AP9279" s="9">
        <v>3.541800815713354</v>
      </c>
    </row>
    <row r="9280" spans="40:42" x14ac:dyDescent="0.3">
      <c r="AN9280">
        <v>9276</v>
      </c>
      <c r="AO9280" s="11">
        <v>25476.39</v>
      </c>
      <c r="AP9280" s="9">
        <v>2.7563658252516641</v>
      </c>
    </row>
    <row r="9281" spans="40:42" x14ac:dyDescent="0.3">
      <c r="AN9281">
        <v>9277</v>
      </c>
      <c r="AO9281" s="11">
        <v>24271.19</v>
      </c>
      <c r="AP9281" s="9">
        <v>4.3044733603857184</v>
      </c>
    </row>
    <row r="9282" spans="40:42" x14ac:dyDescent="0.3">
      <c r="AN9282">
        <v>9278</v>
      </c>
      <c r="AO9282" s="11">
        <v>26042.67</v>
      </c>
      <c r="AP9282" s="9">
        <v>2.8508355680754733</v>
      </c>
    </row>
    <row r="9283" spans="40:42" x14ac:dyDescent="0.3">
      <c r="AN9283">
        <v>9279</v>
      </c>
      <c r="AO9283" s="11">
        <v>24039.24</v>
      </c>
      <c r="AP9283" s="9">
        <v>3.3296204851897873</v>
      </c>
    </row>
    <row r="9284" spans="40:42" x14ac:dyDescent="0.3">
      <c r="AN9284">
        <v>9280</v>
      </c>
      <c r="AO9284" s="11">
        <v>19539.79</v>
      </c>
      <c r="AP9284" s="9">
        <v>3.4008040465954772</v>
      </c>
    </row>
    <row r="9285" spans="40:42" x14ac:dyDescent="0.3">
      <c r="AN9285">
        <v>9281</v>
      </c>
      <c r="AO9285" s="11">
        <v>26092.7</v>
      </c>
      <c r="AP9285" s="9">
        <v>3.1448314125256669</v>
      </c>
    </row>
    <row r="9286" spans="40:42" x14ac:dyDescent="0.3">
      <c r="AN9286">
        <v>9282</v>
      </c>
      <c r="AO9286" s="11">
        <v>20923.560000000001</v>
      </c>
      <c r="AP9286" s="9">
        <v>3.1108492292685019</v>
      </c>
    </row>
    <row r="9287" spans="40:42" x14ac:dyDescent="0.3">
      <c r="AN9287">
        <v>9283</v>
      </c>
      <c r="AO9287" s="11">
        <v>26216.48</v>
      </c>
      <c r="AP9287" s="9">
        <v>3.2688879562120507</v>
      </c>
    </row>
    <row r="9288" spans="40:42" x14ac:dyDescent="0.3">
      <c r="AN9288">
        <v>9284</v>
      </c>
      <c r="AO9288" s="11">
        <v>20854.16</v>
      </c>
      <c r="AP9288" s="9">
        <v>2.8469121510847466</v>
      </c>
    </row>
    <row r="9289" spans="40:42" x14ac:dyDescent="0.3">
      <c r="AN9289">
        <v>9285</v>
      </c>
      <c r="AO9289" s="11">
        <v>22300.25</v>
      </c>
      <c r="AP9289" s="9">
        <v>3.2602370437849566</v>
      </c>
    </row>
    <row r="9290" spans="40:42" x14ac:dyDescent="0.3">
      <c r="AN9290">
        <v>9286</v>
      </c>
      <c r="AO9290" s="11">
        <v>42671.5</v>
      </c>
      <c r="AP9290" s="9">
        <v>3.7118395519467913</v>
      </c>
    </row>
    <row r="9291" spans="40:42" x14ac:dyDescent="0.3">
      <c r="AN9291">
        <v>9287</v>
      </c>
      <c r="AO9291" s="11">
        <v>27516.31</v>
      </c>
      <c r="AP9291" s="9">
        <v>3.3426791217442684</v>
      </c>
    </row>
    <row r="9292" spans="40:42" x14ac:dyDescent="0.3">
      <c r="AN9292">
        <v>9288</v>
      </c>
      <c r="AO9292" s="11">
        <v>27784.78</v>
      </c>
      <c r="AP9292" s="9">
        <v>3.2307070110733505</v>
      </c>
    </row>
    <row r="9293" spans="40:42" x14ac:dyDescent="0.3">
      <c r="AN9293">
        <v>9289</v>
      </c>
      <c r="AO9293" s="11">
        <v>9389.2999999999993</v>
      </c>
      <c r="AP9293" s="9">
        <v>2.874245876324109</v>
      </c>
    </row>
    <row r="9294" spans="40:42" x14ac:dyDescent="0.3">
      <c r="AN9294">
        <v>9290</v>
      </c>
      <c r="AO9294" s="11">
        <v>28667.08</v>
      </c>
      <c r="AP9294" s="9">
        <v>3.3434590717156265</v>
      </c>
    </row>
    <row r="9295" spans="40:42" x14ac:dyDescent="0.3">
      <c r="AN9295">
        <v>9291</v>
      </c>
      <c r="AO9295" s="11">
        <v>42366.400000000001</v>
      </c>
      <c r="AP9295" s="9">
        <v>3.52660357975549</v>
      </c>
    </row>
    <row r="9296" spans="40:42" x14ac:dyDescent="0.3">
      <c r="AN9296">
        <v>9292</v>
      </c>
      <c r="AO9296" s="11">
        <v>23406.86</v>
      </c>
      <c r="AP9296" s="9">
        <v>3.1362852907113883</v>
      </c>
    </row>
    <row r="9297" spans="40:42" x14ac:dyDescent="0.3">
      <c r="AN9297">
        <v>9293</v>
      </c>
      <c r="AO9297" s="11">
        <v>20583.73</v>
      </c>
      <c r="AP9297" s="9">
        <v>3.325935355567152</v>
      </c>
    </row>
    <row r="9298" spans="40:42" x14ac:dyDescent="0.3">
      <c r="AN9298">
        <v>9294</v>
      </c>
      <c r="AO9298" s="11">
        <v>35682.17</v>
      </c>
      <c r="AP9298" s="9">
        <v>4.4999495838771102</v>
      </c>
    </row>
    <row r="9299" spans="40:42" x14ac:dyDescent="0.3">
      <c r="AN9299">
        <v>9295</v>
      </c>
      <c r="AO9299" s="11">
        <v>24345.02</v>
      </c>
      <c r="AP9299" s="9">
        <v>3.3813165843120228</v>
      </c>
    </row>
    <row r="9300" spans="40:42" x14ac:dyDescent="0.3">
      <c r="AN9300">
        <v>9296</v>
      </c>
      <c r="AO9300" s="11">
        <v>16374.67</v>
      </c>
      <c r="AP9300" s="9">
        <v>3.0649743069710618</v>
      </c>
    </row>
    <row r="9301" spans="40:42" x14ac:dyDescent="0.3">
      <c r="AN9301">
        <v>9297</v>
      </c>
      <c r="AO9301" s="11">
        <v>29940.560000000001</v>
      </c>
      <c r="AP9301" s="9">
        <v>3.1001031149532876</v>
      </c>
    </row>
    <row r="9302" spans="40:42" x14ac:dyDescent="0.3">
      <c r="AN9302">
        <v>9298</v>
      </c>
      <c r="AO9302" s="11">
        <v>24471.040000000001</v>
      </c>
      <c r="AP9302" s="9">
        <v>3.405470415248419</v>
      </c>
    </row>
    <row r="9303" spans="40:42" x14ac:dyDescent="0.3">
      <c r="AN9303">
        <v>9299</v>
      </c>
      <c r="AO9303" s="11">
        <v>17355.759999999998</v>
      </c>
      <c r="AP9303" s="9">
        <v>3.2456250793279597</v>
      </c>
    </row>
    <row r="9304" spans="40:42" x14ac:dyDescent="0.3">
      <c r="AN9304">
        <v>9300</v>
      </c>
      <c r="AO9304" s="11">
        <v>15360.89</v>
      </c>
      <c r="AP9304" s="9">
        <v>2.5612705012210553</v>
      </c>
    </row>
    <row r="9305" spans="40:42" x14ac:dyDescent="0.3">
      <c r="AN9305">
        <v>9301</v>
      </c>
      <c r="AO9305" s="11">
        <v>14645.12</v>
      </c>
      <c r="AP9305" s="9">
        <v>2.8778955031233329</v>
      </c>
    </row>
    <row r="9306" spans="40:42" x14ac:dyDescent="0.3">
      <c r="AN9306">
        <v>9302</v>
      </c>
      <c r="AO9306" s="11">
        <v>26964.66</v>
      </c>
      <c r="AP9306" s="9">
        <v>3.5611917129678545</v>
      </c>
    </row>
    <row r="9307" spans="40:42" x14ac:dyDescent="0.3">
      <c r="AN9307">
        <v>9303</v>
      </c>
      <c r="AO9307" s="11">
        <v>16710.240000000002</v>
      </c>
      <c r="AP9307" s="9">
        <v>3.0332074358028382</v>
      </c>
    </row>
    <row r="9308" spans="40:42" x14ac:dyDescent="0.3">
      <c r="AN9308">
        <v>9304</v>
      </c>
      <c r="AO9308" s="11">
        <v>23863.35</v>
      </c>
      <c r="AP9308" s="9">
        <v>3.825168124136018</v>
      </c>
    </row>
    <row r="9309" spans="40:42" x14ac:dyDescent="0.3">
      <c r="AN9309">
        <v>9305</v>
      </c>
      <c r="AO9309" s="11">
        <v>28521.88</v>
      </c>
      <c r="AP9309" s="9">
        <v>3.474760749959013</v>
      </c>
    </row>
    <row r="9310" spans="40:42" x14ac:dyDescent="0.3">
      <c r="AN9310">
        <v>9306</v>
      </c>
      <c r="AO9310" s="11">
        <v>48396.15</v>
      </c>
      <c r="AP9310" s="9">
        <v>4.8602939390515285</v>
      </c>
    </row>
    <row r="9311" spans="40:42" x14ac:dyDescent="0.3">
      <c r="AN9311">
        <v>9307</v>
      </c>
      <c r="AO9311" s="11">
        <v>18450.71</v>
      </c>
      <c r="AP9311" s="9">
        <v>2.9687985501264889</v>
      </c>
    </row>
    <row r="9312" spans="40:42" x14ac:dyDescent="0.3">
      <c r="AN9312">
        <v>9308</v>
      </c>
      <c r="AO9312" s="11">
        <v>35319.18</v>
      </c>
      <c r="AP9312" s="9">
        <v>3.3026790518122167</v>
      </c>
    </row>
    <row r="9313" spans="40:42" x14ac:dyDescent="0.3">
      <c r="AN9313">
        <v>9309</v>
      </c>
      <c r="AO9313" s="11">
        <v>23334.83</v>
      </c>
      <c r="AP9313" s="9">
        <v>3.0657879845112559</v>
      </c>
    </row>
    <row r="9314" spans="40:42" x14ac:dyDescent="0.3">
      <c r="AN9314">
        <v>9310</v>
      </c>
      <c r="AO9314" s="11">
        <v>22033.46</v>
      </c>
      <c r="AP9314" s="9">
        <v>3.3249513786218321</v>
      </c>
    </row>
    <row r="9315" spans="40:42" x14ac:dyDescent="0.3">
      <c r="AN9315">
        <v>9311</v>
      </c>
      <c r="AO9315" s="11">
        <v>17607.98</v>
      </c>
      <c r="AP9315" s="9">
        <v>2.268324419600146</v>
      </c>
    </row>
    <row r="9316" spans="40:42" x14ac:dyDescent="0.3">
      <c r="AN9316">
        <v>9312</v>
      </c>
      <c r="AO9316" s="11">
        <v>29494.1</v>
      </c>
      <c r="AP9316" s="9">
        <v>3.3658420100766491</v>
      </c>
    </row>
    <row r="9317" spans="40:42" x14ac:dyDescent="0.3">
      <c r="AN9317">
        <v>9313</v>
      </c>
      <c r="AO9317" s="11">
        <v>34842.35</v>
      </c>
      <c r="AP9317" s="9">
        <v>2.8566764289477957</v>
      </c>
    </row>
    <row r="9318" spans="40:42" x14ac:dyDescent="0.3">
      <c r="AN9318">
        <v>9314</v>
      </c>
      <c r="AO9318" s="11">
        <v>22569.68</v>
      </c>
      <c r="AP9318" s="9">
        <v>3.3641730440796178</v>
      </c>
    </row>
    <row r="9319" spans="40:42" x14ac:dyDescent="0.3">
      <c r="AN9319">
        <v>9315</v>
      </c>
      <c r="AO9319" s="11">
        <v>27242.81</v>
      </c>
      <c r="AP9319" s="9">
        <v>3.3970566409190575</v>
      </c>
    </row>
    <row r="9320" spans="40:42" x14ac:dyDescent="0.3">
      <c r="AN9320">
        <v>9316</v>
      </c>
      <c r="AO9320" s="11">
        <v>27502.73</v>
      </c>
      <c r="AP9320" s="9">
        <v>3.1937797910386192</v>
      </c>
    </row>
    <row r="9321" spans="40:42" x14ac:dyDescent="0.3">
      <c r="AN9321">
        <v>9317</v>
      </c>
      <c r="AO9321" s="11">
        <v>20855.419999999998</v>
      </c>
      <c r="AP9321" s="9">
        <v>3.6191310663833831</v>
      </c>
    </row>
    <row r="9322" spans="40:42" x14ac:dyDescent="0.3">
      <c r="AN9322">
        <v>9318</v>
      </c>
      <c r="AO9322" s="11">
        <v>21390.06</v>
      </c>
      <c r="AP9322" s="9">
        <v>3.2374797057929388</v>
      </c>
    </row>
    <row r="9323" spans="40:42" x14ac:dyDescent="0.3">
      <c r="AN9323">
        <v>9319</v>
      </c>
      <c r="AO9323" s="11">
        <v>22868.49</v>
      </c>
      <c r="AP9323" s="9">
        <v>2.8192726202338325</v>
      </c>
    </row>
    <row r="9324" spans="40:42" x14ac:dyDescent="0.3">
      <c r="AN9324">
        <v>9320</v>
      </c>
      <c r="AO9324" s="11">
        <v>21748.65</v>
      </c>
      <c r="AP9324" s="9">
        <v>3.4549339935056071</v>
      </c>
    </row>
    <row r="9325" spans="40:42" x14ac:dyDescent="0.3">
      <c r="AN9325">
        <v>9321</v>
      </c>
      <c r="AO9325" s="11">
        <v>17202.2</v>
      </c>
      <c r="AP9325" s="9">
        <v>3.2958224832503582</v>
      </c>
    </row>
    <row r="9326" spans="40:42" x14ac:dyDescent="0.3">
      <c r="AN9326">
        <v>9322</v>
      </c>
      <c r="AO9326" s="11">
        <v>20568.45</v>
      </c>
      <c r="AP9326" s="9">
        <v>3.3355437407808073</v>
      </c>
    </row>
    <row r="9327" spans="40:42" x14ac:dyDescent="0.3">
      <c r="AN9327">
        <v>9323</v>
      </c>
      <c r="AO9327" s="11">
        <v>18761.29</v>
      </c>
      <c r="AP9327" s="9">
        <v>3.2387123112660441</v>
      </c>
    </row>
    <row r="9328" spans="40:42" x14ac:dyDescent="0.3">
      <c r="AN9328">
        <v>9324</v>
      </c>
      <c r="AO9328" s="11">
        <v>25301.22</v>
      </c>
      <c r="AP9328" s="9">
        <v>3.5804310642227266</v>
      </c>
    </row>
    <row r="9329" spans="40:42" x14ac:dyDescent="0.3">
      <c r="AN9329">
        <v>9325</v>
      </c>
      <c r="AO9329" s="11">
        <v>21453.14</v>
      </c>
      <c r="AP9329" s="9">
        <v>3.6709342148642605</v>
      </c>
    </row>
    <row r="9330" spans="40:42" x14ac:dyDescent="0.3">
      <c r="AN9330">
        <v>9326</v>
      </c>
      <c r="AO9330" s="11">
        <v>28099.200000000001</v>
      </c>
      <c r="AP9330" s="9">
        <v>3.2654622203135255</v>
      </c>
    </row>
    <row r="9331" spans="40:42" x14ac:dyDescent="0.3">
      <c r="AN9331">
        <v>9327</v>
      </c>
      <c r="AO9331" s="11">
        <v>17933.78</v>
      </c>
      <c r="AP9331" s="9">
        <v>2.9294164341362672</v>
      </c>
    </row>
    <row r="9332" spans="40:42" x14ac:dyDescent="0.3">
      <c r="AN9332">
        <v>9328</v>
      </c>
      <c r="AO9332" s="11">
        <v>27140.6</v>
      </c>
      <c r="AP9332" s="9">
        <v>3.5137732777112052</v>
      </c>
    </row>
    <row r="9333" spans="40:42" x14ac:dyDescent="0.3">
      <c r="AN9333">
        <v>9329</v>
      </c>
      <c r="AO9333" s="11">
        <v>29849.05</v>
      </c>
      <c r="AP9333" s="9">
        <v>3.9298371655646487</v>
      </c>
    </row>
    <row r="9334" spans="40:42" x14ac:dyDescent="0.3">
      <c r="AN9334">
        <v>9330</v>
      </c>
      <c r="AO9334" s="11">
        <v>19347.09</v>
      </c>
      <c r="AP9334" s="9">
        <v>2.7239941636464611</v>
      </c>
    </row>
    <row r="9335" spans="40:42" x14ac:dyDescent="0.3">
      <c r="AN9335">
        <v>9331</v>
      </c>
      <c r="AO9335" s="11">
        <v>32537.17</v>
      </c>
      <c r="AP9335" s="9">
        <v>3.144557563580157</v>
      </c>
    </row>
    <row r="9336" spans="40:42" x14ac:dyDescent="0.3">
      <c r="AN9336">
        <v>9332</v>
      </c>
      <c r="AO9336" s="11">
        <v>27421.81</v>
      </c>
      <c r="AP9336" s="9">
        <v>3.0900715524908544</v>
      </c>
    </row>
    <row r="9337" spans="40:42" x14ac:dyDescent="0.3">
      <c r="AN9337">
        <v>9333</v>
      </c>
      <c r="AO9337" s="11">
        <v>21379.61</v>
      </c>
      <c r="AP9337" s="9">
        <v>3.5008948868344922</v>
      </c>
    </row>
    <row r="9338" spans="40:42" x14ac:dyDescent="0.3">
      <c r="AN9338">
        <v>9334</v>
      </c>
      <c r="AO9338" s="11">
        <v>44654.43</v>
      </c>
      <c r="AP9338" s="9">
        <v>4.9315526874008526</v>
      </c>
    </row>
    <row r="9339" spans="40:42" x14ac:dyDescent="0.3">
      <c r="AN9339">
        <v>9335</v>
      </c>
      <c r="AO9339" s="11">
        <v>30074.29</v>
      </c>
      <c r="AP9339" s="9">
        <v>3.1921174004354715</v>
      </c>
    </row>
    <row r="9340" spans="40:42" x14ac:dyDescent="0.3">
      <c r="AN9340">
        <v>9336</v>
      </c>
      <c r="AO9340" s="11">
        <v>26786.83</v>
      </c>
      <c r="AP9340" s="9">
        <v>2.8866580643337585</v>
      </c>
    </row>
    <row r="9341" spans="40:42" x14ac:dyDescent="0.3">
      <c r="AN9341">
        <v>9337</v>
      </c>
      <c r="AO9341" s="11">
        <v>24642.34</v>
      </c>
      <c r="AP9341" s="9">
        <v>3.2062543377946513</v>
      </c>
    </row>
    <row r="9342" spans="40:42" x14ac:dyDescent="0.3">
      <c r="AN9342">
        <v>9338</v>
      </c>
      <c r="AO9342" s="11">
        <v>16101.38</v>
      </c>
      <c r="AP9342" s="9">
        <v>3.1909180843074245</v>
      </c>
    </row>
    <row r="9343" spans="40:42" x14ac:dyDescent="0.3">
      <c r="AN9343">
        <v>9339</v>
      </c>
      <c r="AO9343" s="11">
        <v>25137.1</v>
      </c>
      <c r="AP9343" s="9">
        <v>3.2653718984431164</v>
      </c>
    </row>
    <row r="9344" spans="40:42" x14ac:dyDescent="0.3">
      <c r="AN9344">
        <v>9340</v>
      </c>
      <c r="AO9344" s="11">
        <v>25151.64</v>
      </c>
      <c r="AP9344" s="9">
        <v>3.3137997829542045</v>
      </c>
    </row>
    <row r="9345" spans="40:42" x14ac:dyDescent="0.3">
      <c r="AN9345">
        <v>9341</v>
      </c>
      <c r="AO9345" s="11">
        <v>39296.42</v>
      </c>
      <c r="AP9345" s="9">
        <v>4.0031878774692586</v>
      </c>
    </row>
    <row r="9346" spans="40:42" x14ac:dyDescent="0.3">
      <c r="AN9346">
        <v>9342</v>
      </c>
      <c r="AO9346" s="11">
        <v>36635.53</v>
      </c>
      <c r="AP9346" s="9">
        <v>3.7314279453729298</v>
      </c>
    </row>
    <row r="9347" spans="40:42" x14ac:dyDescent="0.3">
      <c r="AN9347">
        <v>9343</v>
      </c>
      <c r="AO9347" s="11">
        <v>27223.49</v>
      </c>
      <c r="AP9347" s="9">
        <v>3.1109567005436585</v>
      </c>
    </row>
    <row r="9348" spans="40:42" x14ac:dyDescent="0.3">
      <c r="AN9348">
        <v>9344</v>
      </c>
      <c r="AO9348" s="11">
        <v>27732.21</v>
      </c>
      <c r="AP9348" s="9">
        <v>3.469321663608254</v>
      </c>
    </row>
    <row r="9349" spans="40:42" x14ac:dyDescent="0.3">
      <c r="AN9349">
        <v>9345</v>
      </c>
      <c r="AO9349" s="11">
        <v>35785.46</v>
      </c>
      <c r="AP9349" s="9">
        <v>3.8777649741509386</v>
      </c>
    </row>
    <row r="9350" spans="40:42" x14ac:dyDescent="0.3">
      <c r="AN9350">
        <v>9346</v>
      </c>
      <c r="AO9350" s="11">
        <v>20791.310000000001</v>
      </c>
      <c r="AP9350" s="9">
        <v>3.30662760940666</v>
      </c>
    </row>
    <row r="9351" spans="40:42" x14ac:dyDescent="0.3">
      <c r="AN9351">
        <v>9347</v>
      </c>
      <c r="AO9351" s="11">
        <v>19735.939999999999</v>
      </c>
      <c r="AP9351" s="9">
        <v>3.5534862568399501</v>
      </c>
    </row>
    <row r="9352" spans="40:42" x14ac:dyDescent="0.3">
      <c r="AN9352">
        <v>9348</v>
      </c>
      <c r="AO9352" s="11">
        <v>28587.85</v>
      </c>
      <c r="AP9352" s="9">
        <v>3.6455115273314291</v>
      </c>
    </row>
    <row r="9353" spans="40:42" x14ac:dyDescent="0.3">
      <c r="AN9353">
        <v>9349</v>
      </c>
      <c r="AO9353" s="11">
        <v>25449.75</v>
      </c>
      <c r="AP9353" s="9">
        <v>4.3724398531848028</v>
      </c>
    </row>
    <row r="9354" spans="40:42" x14ac:dyDescent="0.3">
      <c r="AN9354">
        <v>9350</v>
      </c>
      <c r="AO9354" s="11">
        <v>27710.15</v>
      </c>
      <c r="AP9354" s="9">
        <v>3.4979657612015416</v>
      </c>
    </row>
    <row r="9355" spans="40:42" x14ac:dyDescent="0.3">
      <c r="AN9355">
        <v>9351</v>
      </c>
      <c r="AO9355" s="11">
        <v>29526.9</v>
      </c>
      <c r="AP9355" s="9">
        <v>3.9825022282397171</v>
      </c>
    </row>
    <row r="9356" spans="40:42" x14ac:dyDescent="0.3">
      <c r="AN9356">
        <v>9352</v>
      </c>
      <c r="AO9356" s="11">
        <v>28103.11</v>
      </c>
      <c r="AP9356" s="9">
        <v>3.4313177566837392</v>
      </c>
    </row>
    <row r="9357" spans="40:42" x14ac:dyDescent="0.3">
      <c r="AN9357">
        <v>9353</v>
      </c>
      <c r="AO9357" s="11">
        <v>31727.62</v>
      </c>
      <c r="AP9357" s="9">
        <v>3.6748242541721496</v>
      </c>
    </row>
    <row r="9358" spans="40:42" x14ac:dyDescent="0.3">
      <c r="AN9358">
        <v>9354</v>
      </c>
      <c r="AO9358" s="11">
        <v>26696.78</v>
      </c>
      <c r="AP9358" s="9">
        <v>2.9801058712998407</v>
      </c>
    </row>
    <row r="9359" spans="40:42" x14ac:dyDescent="0.3">
      <c r="AN9359">
        <v>9355</v>
      </c>
      <c r="AO9359" s="11">
        <v>24944.52</v>
      </c>
      <c r="AP9359" s="9">
        <v>3.473468477656275</v>
      </c>
    </row>
    <row r="9360" spans="40:42" x14ac:dyDescent="0.3">
      <c r="AN9360">
        <v>9356</v>
      </c>
      <c r="AO9360" s="11">
        <v>22292.21</v>
      </c>
      <c r="AP9360" s="9">
        <v>3.3909185862084681</v>
      </c>
    </row>
    <row r="9361" spans="40:42" x14ac:dyDescent="0.3">
      <c r="AN9361">
        <v>9357</v>
      </c>
      <c r="AO9361" s="11">
        <v>33936.14</v>
      </c>
      <c r="AP9361" s="9">
        <v>3.4173948036115451</v>
      </c>
    </row>
    <row r="9362" spans="40:42" x14ac:dyDescent="0.3">
      <c r="AN9362">
        <v>9358</v>
      </c>
      <c r="AO9362" s="11">
        <v>24675.71</v>
      </c>
      <c r="AP9362" s="9">
        <v>3.46750506787548</v>
      </c>
    </row>
    <row r="9363" spans="40:42" x14ac:dyDescent="0.3">
      <c r="AN9363">
        <v>9359</v>
      </c>
      <c r="AO9363" s="11">
        <v>30938.35</v>
      </c>
      <c r="AP9363" s="9">
        <v>3.3939809089878352</v>
      </c>
    </row>
    <row r="9364" spans="40:42" x14ac:dyDescent="0.3">
      <c r="AN9364">
        <v>9360</v>
      </c>
      <c r="AO9364" s="11">
        <v>22700.07</v>
      </c>
      <c r="AP9364" s="9">
        <v>2.9146566982531312</v>
      </c>
    </row>
    <row r="9365" spans="40:42" x14ac:dyDescent="0.3">
      <c r="AN9365">
        <v>9361</v>
      </c>
      <c r="AO9365" s="11">
        <v>32206.06</v>
      </c>
      <c r="AP9365" s="9">
        <v>3.5577094605450483</v>
      </c>
    </row>
    <row r="9366" spans="40:42" x14ac:dyDescent="0.3">
      <c r="AN9366">
        <v>9362</v>
      </c>
      <c r="AO9366" s="11">
        <v>18124.02</v>
      </c>
      <c r="AP9366" s="9">
        <v>3.1109556815816579</v>
      </c>
    </row>
    <row r="9367" spans="40:42" x14ac:dyDescent="0.3">
      <c r="AN9367">
        <v>9363</v>
      </c>
      <c r="AO9367" s="11">
        <v>39987.839999999997</v>
      </c>
      <c r="AP9367" s="9">
        <v>3.6683536502170324</v>
      </c>
    </row>
    <row r="9368" spans="40:42" x14ac:dyDescent="0.3">
      <c r="AN9368">
        <v>9364</v>
      </c>
      <c r="AO9368" s="11">
        <v>21054.12</v>
      </c>
      <c r="AP9368" s="9">
        <v>2.8279162221246952</v>
      </c>
    </row>
    <row r="9369" spans="40:42" x14ac:dyDescent="0.3">
      <c r="AN9369">
        <v>9365</v>
      </c>
      <c r="AO9369" s="11">
        <v>16886.52</v>
      </c>
      <c r="AP9369" s="9">
        <v>3.4514428647690907</v>
      </c>
    </row>
    <row r="9370" spans="40:42" x14ac:dyDescent="0.3">
      <c r="AN9370">
        <v>9366</v>
      </c>
      <c r="AO9370" s="11">
        <v>26430.880000000001</v>
      </c>
      <c r="AP9370" s="9">
        <v>3.5705570270435252</v>
      </c>
    </row>
    <row r="9371" spans="40:42" x14ac:dyDescent="0.3">
      <c r="AN9371">
        <v>9367</v>
      </c>
      <c r="AO9371" s="11">
        <v>27652.92</v>
      </c>
      <c r="AP9371" s="9">
        <v>4.2128208326776573</v>
      </c>
    </row>
    <row r="9372" spans="40:42" x14ac:dyDescent="0.3">
      <c r="AN9372">
        <v>9368</v>
      </c>
      <c r="AO9372" s="11">
        <v>13767.36</v>
      </c>
      <c r="AP9372" s="9">
        <v>3.5054860894050615</v>
      </c>
    </row>
    <row r="9373" spans="40:42" x14ac:dyDescent="0.3">
      <c r="AN9373">
        <v>9369</v>
      </c>
      <c r="AO9373" s="11">
        <v>22420.79</v>
      </c>
      <c r="AP9373" s="9">
        <v>3.1902810705293647</v>
      </c>
    </row>
    <row r="9374" spans="40:42" x14ac:dyDescent="0.3">
      <c r="AN9374">
        <v>9370</v>
      </c>
      <c r="AO9374" s="11">
        <v>31784.27</v>
      </c>
      <c r="AP9374" s="9">
        <v>3.7504031607322825</v>
      </c>
    </row>
    <row r="9375" spans="40:42" x14ac:dyDescent="0.3">
      <c r="AN9375">
        <v>9371</v>
      </c>
      <c r="AO9375" s="11">
        <v>32051.85</v>
      </c>
      <c r="AP9375" s="9">
        <v>4.4102528085172228</v>
      </c>
    </row>
    <row r="9376" spans="40:42" x14ac:dyDescent="0.3">
      <c r="AN9376">
        <v>9372</v>
      </c>
      <c r="AO9376" s="11">
        <v>28439.58</v>
      </c>
      <c r="AP9376" s="9">
        <v>3.2766744658949651</v>
      </c>
    </row>
    <row r="9377" spans="40:42" x14ac:dyDescent="0.3">
      <c r="AN9377">
        <v>9373</v>
      </c>
      <c r="AO9377" s="11">
        <v>23741.01</v>
      </c>
      <c r="AP9377" s="9">
        <v>3.1790786503534627</v>
      </c>
    </row>
    <row r="9378" spans="40:42" x14ac:dyDescent="0.3">
      <c r="AN9378">
        <v>9374</v>
      </c>
      <c r="AO9378" s="11">
        <v>21344.93</v>
      </c>
      <c r="AP9378" s="9">
        <v>3.3451194374808417</v>
      </c>
    </row>
    <row r="9379" spans="40:42" x14ac:dyDescent="0.3">
      <c r="AN9379">
        <v>9375</v>
      </c>
      <c r="AO9379" s="11">
        <v>35752.160000000003</v>
      </c>
      <c r="AP9379" s="9">
        <v>4.2459940553153368</v>
      </c>
    </row>
    <row r="9380" spans="40:42" x14ac:dyDescent="0.3">
      <c r="AN9380">
        <v>9376</v>
      </c>
      <c r="AO9380" s="11">
        <v>25045.27</v>
      </c>
      <c r="AP9380" s="9">
        <v>3.0757396552637988</v>
      </c>
    </row>
    <row r="9381" spans="40:42" x14ac:dyDescent="0.3">
      <c r="AN9381">
        <v>9377</v>
      </c>
      <c r="AO9381" s="11">
        <v>31235.22</v>
      </c>
      <c r="AP9381" s="9">
        <v>3.4989151978524875</v>
      </c>
    </row>
    <row r="9382" spans="40:42" x14ac:dyDescent="0.3">
      <c r="AN9382">
        <v>9378</v>
      </c>
      <c r="AO9382" s="11">
        <v>18345.41</v>
      </c>
      <c r="AP9382" s="9">
        <v>3.4405677684945766</v>
      </c>
    </row>
    <row r="9383" spans="40:42" x14ac:dyDescent="0.3">
      <c r="AN9383">
        <v>9379</v>
      </c>
      <c r="AO9383" s="11">
        <v>47542.53</v>
      </c>
      <c r="AP9383" s="9">
        <v>4.1710868026049273</v>
      </c>
    </row>
    <row r="9384" spans="40:42" x14ac:dyDescent="0.3">
      <c r="AN9384">
        <v>9380</v>
      </c>
      <c r="AO9384" s="11">
        <v>27056.240000000002</v>
      </c>
      <c r="AP9384" s="9">
        <v>3.2292460385506159</v>
      </c>
    </row>
    <row r="9385" spans="40:42" x14ac:dyDescent="0.3">
      <c r="AN9385">
        <v>9381</v>
      </c>
      <c r="AO9385" s="11">
        <v>15399.16</v>
      </c>
      <c r="AP9385" s="9">
        <v>2.9106620871768527</v>
      </c>
    </row>
    <row r="9386" spans="40:42" x14ac:dyDescent="0.3">
      <c r="AN9386">
        <v>9382</v>
      </c>
      <c r="AO9386" s="11">
        <v>26624.69</v>
      </c>
      <c r="AP9386" s="9">
        <v>3.2418615292450434</v>
      </c>
    </row>
    <row r="9387" spans="40:42" x14ac:dyDescent="0.3">
      <c r="AN9387">
        <v>9383</v>
      </c>
      <c r="AO9387" s="11">
        <v>21864.43</v>
      </c>
      <c r="AP9387" s="9">
        <v>3.1897782951504539</v>
      </c>
    </row>
    <row r="9388" spans="40:42" x14ac:dyDescent="0.3">
      <c r="AN9388">
        <v>9384</v>
      </c>
      <c r="AO9388" s="11">
        <v>32876.83</v>
      </c>
      <c r="AP9388" s="9">
        <v>3.6810677776605942</v>
      </c>
    </row>
    <row r="9389" spans="40:42" x14ac:dyDescent="0.3">
      <c r="AN9389">
        <v>9385</v>
      </c>
      <c r="AO9389" s="11">
        <v>40746.839999999997</v>
      </c>
      <c r="AP9389" s="9">
        <v>3.5713632615182327</v>
      </c>
    </row>
    <row r="9390" spans="40:42" x14ac:dyDescent="0.3">
      <c r="AN9390">
        <v>9386</v>
      </c>
      <c r="AO9390" s="11">
        <v>33280.15</v>
      </c>
      <c r="AP9390" s="9">
        <v>3.4571414447114965</v>
      </c>
    </row>
    <row r="9391" spans="40:42" x14ac:dyDescent="0.3">
      <c r="AN9391">
        <v>9387</v>
      </c>
      <c r="AO9391" s="11">
        <v>18187.8</v>
      </c>
      <c r="AP9391" s="9">
        <v>3.6421042018345955</v>
      </c>
    </row>
    <row r="9392" spans="40:42" x14ac:dyDescent="0.3">
      <c r="AN9392">
        <v>9388</v>
      </c>
      <c r="AO9392" s="11">
        <v>21298.6</v>
      </c>
      <c r="AP9392" s="9">
        <v>3.3360486105048457</v>
      </c>
    </row>
    <row r="9393" spans="40:42" x14ac:dyDescent="0.3">
      <c r="AN9393">
        <v>9389</v>
      </c>
      <c r="AO9393" s="11">
        <v>29197.21</v>
      </c>
      <c r="AP9393" s="9">
        <v>3.629520504234319</v>
      </c>
    </row>
    <row r="9394" spans="40:42" x14ac:dyDescent="0.3">
      <c r="AN9394">
        <v>9390</v>
      </c>
      <c r="AO9394" s="11">
        <v>24244.5</v>
      </c>
      <c r="AP9394" s="9">
        <v>3.7049632847203866</v>
      </c>
    </row>
    <row r="9395" spans="40:42" x14ac:dyDescent="0.3">
      <c r="AN9395">
        <v>9391</v>
      </c>
      <c r="AO9395" s="11">
        <v>19755.330000000002</v>
      </c>
      <c r="AP9395" s="9">
        <v>3.5188609414843821</v>
      </c>
    </row>
    <row r="9396" spans="40:42" x14ac:dyDescent="0.3">
      <c r="AN9396">
        <v>9392</v>
      </c>
      <c r="AO9396" s="11">
        <v>22634.16</v>
      </c>
      <c r="AP9396" s="9">
        <v>3.5422770852252428</v>
      </c>
    </row>
    <row r="9397" spans="40:42" x14ac:dyDescent="0.3">
      <c r="AN9397">
        <v>9393</v>
      </c>
      <c r="AO9397" s="11">
        <v>27732.84</v>
      </c>
      <c r="AP9397" s="9">
        <v>2.9264694125698583</v>
      </c>
    </row>
    <row r="9398" spans="40:42" x14ac:dyDescent="0.3">
      <c r="AN9398">
        <v>9394</v>
      </c>
      <c r="AO9398" s="11">
        <v>25355.13</v>
      </c>
      <c r="AP9398" s="9">
        <v>3.7250693611055463</v>
      </c>
    </row>
    <row r="9399" spans="40:42" x14ac:dyDescent="0.3">
      <c r="AN9399">
        <v>9395</v>
      </c>
      <c r="AO9399" s="11">
        <v>22963.09</v>
      </c>
      <c r="AP9399" s="9">
        <v>3.0315299596280862</v>
      </c>
    </row>
    <row r="9400" spans="40:42" x14ac:dyDescent="0.3">
      <c r="AN9400">
        <v>9396</v>
      </c>
      <c r="AO9400" s="11">
        <v>28535.07</v>
      </c>
      <c r="AP9400" s="9">
        <v>3.3569292545666332</v>
      </c>
    </row>
    <row r="9401" spans="40:42" x14ac:dyDescent="0.3">
      <c r="AN9401">
        <v>9397</v>
      </c>
      <c r="AO9401" s="11">
        <v>32241.72</v>
      </c>
      <c r="AP9401" s="9">
        <v>3.4757334295365836</v>
      </c>
    </row>
    <row r="9402" spans="40:42" x14ac:dyDescent="0.3">
      <c r="AN9402">
        <v>9398</v>
      </c>
      <c r="AO9402" s="11">
        <v>30465.05</v>
      </c>
      <c r="AP9402" s="9">
        <v>3.4069236211322553</v>
      </c>
    </row>
    <row r="9403" spans="40:42" x14ac:dyDescent="0.3">
      <c r="AN9403">
        <v>9399</v>
      </c>
      <c r="AO9403" s="11">
        <v>32204.77</v>
      </c>
      <c r="AP9403" s="9">
        <v>3.5262610212730761</v>
      </c>
    </row>
    <row r="9404" spans="40:42" x14ac:dyDescent="0.3">
      <c r="AN9404">
        <v>9400</v>
      </c>
      <c r="AO9404" s="11">
        <v>38299.71</v>
      </c>
      <c r="AP9404" s="9">
        <v>2.9176906766476396</v>
      </c>
    </row>
    <row r="9405" spans="40:42" x14ac:dyDescent="0.3">
      <c r="AN9405">
        <v>9401</v>
      </c>
      <c r="AO9405" s="11">
        <v>20158.11</v>
      </c>
      <c r="AP9405" s="9">
        <v>2.9303276439451058</v>
      </c>
    </row>
    <row r="9406" spans="40:42" x14ac:dyDescent="0.3">
      <c r="AN9406">
        <v>9402</v>
      </c>
      <c r="AO9406" s="11">
        <v>24433.53</v>
      </c>
      <c r="AP9406" s="9">
        <v>3.96901073429036</v>
      </c>
    </row>
    <row r="9407" spans="40:42" x14ac:dyDescent="0.3">
      <c r="AN9407">
        <v>9403</v>
      </c>
      <c r="AO9407" s="11">
        <v>23355.69</v>
      </c>
      <c r="AP9407" s="9">
        <v>2.8561850663994424</v>
      </c>
    </row>
    <row r="9408" spans="40:42" x14ac:dyDescent="0.3">
      <c r="AN9408">
        <v>9404</v>
      </c>
      <c r="AO9408" s="11">
        <v>18551.29</v>
      </c>
      <c r="AP9408" s="9">
        <v>3.4807724658456434</v>
      </c>
    </row>
    <row r="9409" spans="40:42" x14ac:dyDescent="0.3">
      <c r="AN9409">
        <v>9405</v>
      </c>
      <c r="AO9409" s="11">
        <v>19321.02</v>
      </c>
      <c r="AP9409" s="9">
        <v>3.3736219564151502</v>
      </c>
    </row>
    <row r="9410" spans="40:42" x14ac:dyDescent="0.3">
      <c r="AN9410">
        <v>9406</v>
      </c>
      <c r="AO9410" s="11">
        <v>33665.440000000002</v>
      </c>
      <c r="AP9410" s="9">
        <v>4.4152116255008842</v>
      </c>
    </row>
    <row r="9411" spans="40:42" x14ac:dyDescent="0.3">
      <c r="AN9411">
        <v>9407</v>
      </c>
      <c r="AO9411" s="11">
        <v>34151.67</v>
      </c>
      <c r="AP9411" s="9">
        <v>3.3329547902649579</v>
      </c>
    </row>
    <row r="9412" spans="40:42" x14ac:dyDescent="0.3">
      <c r="AN9412">
        <v>9408</v>
      </c>
      <c r="AO9412" s="11">
        <v>16343.94</v>
      </c>
      <c r="AP9412" s="9">
        <v>2.587721195330356</v>
      </c>
    </row>
    <row r="9413" spans="40:42" x14ac:dyDescent="0.3">
      <c r="AN9413">
        <v>9409</v>
      </c>
      <c r="AO9413" s="11">
        <v>22730.85</v>
      </c>
      <c r="AP9413" s="9">
        <v>3.070758975795675</v>
      </c>
    </row>
    <row r="9414" spans="40:42" x14ac:dyDescent="0.3">
      <c r="AN9414">
        <v>9410</v>
      </c>
      <c r="AO9414" s="11">
        <v>25765.26</v>
      </c>
      <c r="AP9414" s="9">
        <v>3.0015764295609402</v>
      </c>
    </row>
    <row r="9415" spans="40:42" x14ac:dyDescent="0.3">
      <c r="AN9415">
        <v>9411</v>
      </c>
      <c r="AO9415" s="11">
        <v>26148.61</v>
      </c>
      <c r="AP9415" s="9">
        <v>3.7612341773065885</v>
      </c>
    </row>
    <row r="9416" spans="40:42" x14ac:dyDescent="0.3">
      <c r="AN9416">
        <v>9412</v>
      </c>
      <c r="AO9416" s="11">
        <v>26362.15</v>
      </c>
      <c r="AP9416" s="9">
        <v>4.3746606175395799</v>
      </c>
    </row>
    <row r="9417" spans="40:42" x14ac:dyDescent="0.3">
      <c r="AN9417">
        <v>9413</v>
      </c>
      <c r="AO9417" s="11">
        <v>30053.38</v>
      </c>
      <c r="AP9417" s="9">
        <v>3.1026729355300899</v>
      </c>
    </row>
    <row r="9418" spans="40:42" x14ac:dyDescent="0.3">
      <c r="AN9418">
        <v>9414</v>
      </c>
      <c r="AO9418" s="11">
        <v>21665.58</v>
      </c>
      <c r="AP9418" s="9">
        <v>3.1772173057471713</v>
      </c>
    </row>
    <row r="9419" spans="40:42" x14ac:dyDescent="0.3">
      <c r="AN9419">
        <v>9415</v>
      </c>
      <c r="AO9419" s="11">
        <v>18970.2</v>
      </c>
      <c r="AP9419" s="9">
        <v>3.0960009275866165</v>
      </c>
    </row>
    <row r="9420" spans="40:42" x14ac:dyDescent="0.3">
      <c r="AN9420">
        <v>9416</v>
      </c>
      <c r="AO9420" s="11">
        <v>24487.47</v>
      </c>
      <c r="AP9420" s="9">
        <v>3.0365805099859569</v>
      </c>
    </row>
    <row r="9421" spans="40:42" x14ac:dyDescent="0.3">
      <c r="AN9421">
        <v>9417</v>
      </c>
      <c r="AO9421" s="11">
        <v>24750.83</v>
      </c>
      <c r="AP9421" s="9">
        <v>3.3881167173389026</v>
      </c>
    </row>
    <row r="9422" spans="40:42" x14ac:dyDescent="0.3">
      <c r="AN9422">
        <v>9418</v>
      </c>
      <c r="AO9422" s="11">
        <v>34877.35</v>
      </c>
      <c r="AP9422" s="9">
        <v>3.7308934626332251</v>
      </c>
    </row>
    <row r="9423" spans="40:42" x14ac:dyDescent="0.3">
      <c r="AN9423">
        <v>9419</v>
      </c>
      <c r="AO9423" s="11">
        <v>26086.45</v>
      </c>
      <c r="AP9423" s="9">
        <v>3.4650473849308447</v>
      </c>
    </row>
    <row r="9424" spans="40:42" x14ac:dyDescent="0.3">
      <c r="AN9424">
        <v>9420</v>
      </c>
      <c r="AO9424" s="11">
        <v>23160.36</v>
      </c>
      <c r="AP9424" s="9">
        <v>3.4560544139982281</v>
      </c>
    </row>
    <row r="9425" spans="40:42" x14ac:dyDescent="0.3">
      <c r="AN9425">
        <v>9421</v>
      </c>
      <c r="AO9425" s="11">
        <v>27029.45</v>
      </c>
      <c r="AP9425" s="9">
        <v>3.274294534525525</v>
      </c>
    </row>
    <row r="9426" spans="40:42" x14ac:dyDescent="0.3">
      <c r="AN9426">
        <v>9422</v>
      </c>
      <c r="AO9426" s="11">
        <v>28463.27</v>
      </c>
      <c r="AP9426" s="9">
        <v>3.3563790942537568</v>
      </c>
    </row>
    <row r="9427" spans="40:42" x14ac:dyDescent="0.3">
      <c r="AN9427">
        <v>9423</v>
      </c>
      <c r="AO9427" s="11">
        <v>32390.6</v>
      </c>
      <c r="AP9427" s="9">
        <v>3.2565743162149681</v>
      </c>
    </row>
    <row r="9428" spans="40:42" x14ac:dyDescent="0.3">
      <c r="AN9428">
        <v>9424</v>
      </c>
      <c r="AO9428" s="11">
        <v>29517.759999999998</v>
      </c>
      <c r="AP9428" s="9">
        <v>3.025255888791071</v>
      </c>
    </row>
    <row r="9429" spans="40:42" x14ac:dyDescent="0.3">
      <c r="AN9429">
        <v>9425</v>
      </c>
      <c r="AO9429" s="11">
        <v>21076.45</v>
      </c>
      <c r="AP9429" s="9">
        <v>3.6367275544199296</v>
      </c>
    </row>
    <row r="9430" spans="40:42" x14ac:dyDescent="0.3">
      <c r="AN9430">
        <v>9426</v>
      </c>
      <c r="AO9430" s="11">
        <v>34458.5</v>
      </c>
      <c r="AP9430" s="9">
        <v>3.7895517790336561</v>
      </c>
    </row>
    <row r="9431" spans="40:42" x14ac:dyDescent="0.3">
      <c r="AN9431">
        <v>9427</v>
      </c>
      <c r="AO9431" s="11">
        <v>32856.080000000002</v>
      </c>
      <c r="AP9431" s="9">
        <v>3.0161366588971874</v>
      </c>
    </row>
    <row r="9432" spans="40:42" x14ac:dyDescent="0.3">
      <c r="AN9432">
        <v>9428</v>
      </c>
      <c r="AO9432" s="11">
        <v>34041.33</v>
      </c>
      <c r="AP9432" s="9">
        <v>3.1439818671122319</v>
      </c>
    </row>
    <row r="9433" spans="40:42" x14ac:dyDescent="0.3">
      <c r="AN9433">
        <v>9429</v>
      </c>
      <c r="AO9433" s="11">
        <v>23374.14</v>
      </c>
      <c r="AP9433" s="9">
        <v>3.7761528545906207</v>
      </c>
    </row>
    <row r="9434" spans="40:42" x14ac:dyDescent="0.3">
      <c r="AN9434">
        <v>9430</v>
      </c>
      <c r="AO9434" s="11">
        <v>25810.92</v>
      </c>
      <c r="AP9434" s="9">
        <v>3.3358571192707709</v>
      </c>
    </row>
    <row r="9435" spans="40:42" x14ac:dyDescent="0.3">
      <c r="AN9435">
        <v>9431</v>
      </c>
      <c r="AO9435" s="11">
        <v>24527.89</v>
      </c>
      <c r="AP9435" s="9">
        <v>3.2866671732858679</v>
      </c>
    </row>
    <row r="9436" spans="40:42" x14ac:dyDescent="0.3">
      <c r="AN9436">
        <v>9432</v>
      </c>
      <c r="AO9436" s="11">
        <v>33669.06</v>
      </c>
      <c r="AP9436" s="9">
        <v>3.3259188046092891</v>
      </c>
    </row>
    <row r="9437" spans="40:42" x14ac:dyDescent="0.3">
      <c r="AN9437">
        <v>9433</v>
      </c>
      <c r="AO9437" s="11">
        <v>25957.17</v>
      </c>
      <c r="AP9437" s="9">
        <v>3.308035505587446</v>
      </c>
    </row>
    <row r="9438" spans="40:42" x14ac:dyDescent="0.3">
      <c r="AN9438">
        <v>9434</v>
      </c>
      <c r="AO9438" s="11">
        <v>27348.09</v>
      </c>
      <c r="AP9438" s="9">
        <v>3.421311319303904</v>
      </c>
    </row>
    <row r="9439" spans="40:42" x14ac:dyDescent="0.3">
      <c r="AN9439">
        <v>9435</v>
      </c>
      <c r="AO9439" s="11">
        <v>30541.23</v>
      </c>
      <c r="AP9439" s="9">
        <v>3.4841690826248781</v>
      </c>
    </row>
    <row r="9440" spans="40:42" x14ac:dyDescent="0.3">
      <c r="AN9440">
        <v>9436</v>
      </c>
      <c r="AO9440" s="11">
        <v>21024</v>
      </c>
      <c r="AP9440" s="9">
        <v>3.0690598819449892</v>
      </c>
    </row>
    <row r="9441" spans="40:42" x14ac:dyDescent="0.3">
      <c r="AN9441">
        <v>9437</v>
      </c>
      <c r="AO9441" s="11">
        <v>35145.879999999997</v>
      </c>
      <c r="AP9441" s="9">
        <v>3.964018464509214</v>
      </c>
    </row>
    <row r="9442" spans="40:42" x14ac:dyDescent="0.3">
      <c r="AN9442">
        <v>9438</v>
      </c>
      <c r="AO9442" s="11">
        <v>23991.46</v>
      </c>
      <c r="AP9442" s="9">
        <v>3.1525733179114375</v>
      </c>
    </row>
    <row r="9443" spans="40:42" x14ac:dyDescent="0.3">
      <c r="AN9443">
        <v>9439</v>
      </c>
      <c r="AO9443" s="11">
        <v>18299.59</v>
      </c>
      <c r="AP9443" s="9">
        <v>3.1342231340237356</v>
      </c>
    </row>
    <row r="9444" spans="40:42" x14ac:dyDescent="0.3">
      <c r="AN9444">
        <v>9440</v>
      </c>
      <c r="AO9444" s="11">
        <v>21027.65</v>
      </c>
      <c r="AP9444" s="9">
        <v>3.2143006037235713</v>
      </c>
    </row>
    <row r="9445" spans="40:42" x14ac:dyDescent="0.3">
      <c r="AN9445">
        <v>9441</v>
      </c>
      <c r="AO9445" s="11">
        <v>23920.18</v>
      </c>
      <c r="AP9445" s="9">
        <v>3.2954110592217627</v>
      </c>
    </row>
    <row r="9446" spans="40:42" x14ac:dyDescent="0.3">
      <c r="AN9446">
        <v>9442</v>
      </c>
      <c r="AO9446" s="11">
        <v>25043.91</v>
      </c>
      <c r="AP9446" s="9">
        <v>3.605767290891432</v>
      </c>
    </row>
    <row r="9447" spans="40:42" x14ac:dyDescent="0.3">
      <c r="AN9447">
        <v>9443</v>
      </c>
      <c r="AO9447" s="11">
        <v>30890.68</v>
      </c>
      <c r="AP9447" s="9">
        <v>3.5317658115376931</v>
      </c>
    </row>
    <row r="9448" spans="40:42" x14ac:dyDescent="0.3">
      <c r="AN9448">
        <v>9444</v>
      </c>
      <c r="AO9448" s="11">
        <v>39861.599999999999</v>
      </c>
      <c r="AP9448" s="9">
        <v>3.7733796296679349</v>
      </c>
    </row>
    <row r="9449" spans="40:42" x14ac:dyDescent="0.3">
      <c r="AN9449">
        <v>9445</v>
      </c>
      <c r="AO9449" s="11">
        <v>23499.05</v>
      </c>
      <c r="AP9449" s="9">
        <v>3.2813607880772295</v>
      </c>
    </row>
    <row r="9450" spans="40:42" x14ac:dyDescent="0.3">
      <c r="AN9450">
        <v>9446</v>
      </c>
      <c r="AO9450" s="11">
        <v>16757.05</v>
      </c>
      <c r="AP9450" s="9">
        <v>2.7051722179878102</v>
      </c>
    </row>
    <row r="9451" spans="40:42" x14ac:dyDescent="0.3">
      <c r="AN9451">
        <v>9447</v>
      </c>
      <c r="AO9451" s="11">
        <v>26899.99</v>
      </c>
      <c r="AP9451" s="9">
        <v>3.1110984854629571</v>
      </c>
    </row>
    <row r="9452" spans="40:42" x14ac:dyDescent="0.3">
      <c r="AN9452">
        <v>9448</v>
      </c>
      <c r="AO9452" s="11">
        <v>13163.31</v>
      </c>
      <c r="AP9452" s="9">
        <v>2.6800081124297654</v>
      </c>
    </row>
    <row r="9453" spans="40:42" x14ac:dyDescent="0.3">
      <c r="AN9453">
        <v>9449</v>
      </c>
      <c r="AO9453" s="11">
        <v>34163.599999999999</v>
      </c>
      <c r="AP9453" s="9">
        <v>3.040289342833093</v>
      </c>
    </row>
    <row r="9454" spans="40:42" x14ac:dyDescent="0.3">
      <c r="AN9454">
        <v>9450</v>
      </c>
      <c r="AO9454" s="11">
        <v>24421.06</v>
      </c>
      <c r="AP9454" s="9">
        <v>3.1364215340180062</v>
      </c>
    </row>
    <row r="9455" spans="40:42" x14ac:dyDescent="0.3">
      <c r="AN9455">
        <v>9451</v>
      </c>
      <c r="AO9455" s="11">
        <v>38445.9</v>
      </c>
      <c r="AP9455" s="9">
        <v>4.0998610197709402</v>
      </c>
    </row>
    <row r="9456" spans="40:42" x14ac:dyDescent="0.3">
      <c r="AN9456">
        <v>9452</v>
      </c>
      <c r="AO9456" s="11">
        <v>35980.61</v>
      </c>
      <c r="AP9456" s="9">
        <v>3.6294454908151939</v>
      </c>
    </row>
    <row r="9457" spans="40:42" x14ac:dyDescent="0.3">
      <c r="AN9457">
        <v>9453</v>
      </c>
      <c r="AO9457" s="11">
        <v>27500.1</v>
      </c>
      <c r="AP9457" s="9">
        <v>3.3584300076063842</v>
      </c>
    </row>
    <row r="9458" spans="40:42" x14ac:dyDescent="0.3">
      <c r="AN9458">
        <v>9454</v>
      </c>
      <c r="AO9458" s="11">
        <v>30109.97</v>
      </c>
      <c r="AP9458" s="9">
        <v>3.9955598055304438</v>
      </c>
    </row>
    <row r="9459" spans="40:42" x14ac:dyDescent="0.3">
      <c r="AN9459">
        <v>9455</v>
      </c>
      <c r="AO9459" s="11">
        <v>23617.1</v>
      </c>
      <c r="AP9459" s="9">
        <v>4.1274159655046949</v>
      </c>
    </row>
    <row r="9460" spans="40:42" x14ac:dyDescent="0.3">
      <c r="AN9460">
        <v>9456</v>
      </c>
      <c r="AO9460" s="11">
        <v>27957.45</v>
      </c>
      <c r="AP9460" s="9">
        <v>3.4721734684990513</v>
      </c>
    </row>
    <row r="9461" spans="40:42" x14ac:dyDescent="0.3">
      <c r="AN9461">
        <v>9457</v>
      </c>
      <c r="AO9461" s="11">
        <v>31410.65</v>
      </c>
      <c r="AP9461" s="9">
        <v>2.9939356203620866</v>
      </c>
    </row>
    <row r="9462" spans="40:42" x14ac:dyDescent="0.3">
      <c r="AN9462">
        <v>9458</v>
      </c>
      <c r="AO9462" s="11">
        <v>36408.25</v>
      </c>
      <c r="AP9462" s="9">
        <v>3.4636530262522767</v>
      </c>
    </row>
    <row r="9463" spans="40:42" x14ac:dyDescent="0.3">
      <c r="AN9463">
        <v>9459</v>
      </c>
      <c r="AO9463" s="11">
        <v>27303.58</v>
      </c>
      <c r="AP9463" s="9">
        <v>3.3765722192398417</v>
      </c>
    </row>
    <row r="9464" spans="40:42" x14ac:dyDescent="0.3">
      <c r="AN9464">
        <v>9460</v>
      </c>
      <c r="AO9464" s="11">
        <v>22734.17</v>
      </c>
      <c r="AP9464" s="9">
        <v>3.0317650585099214</v>
      </c>
    </row>
    <row r="9465" spans="40:42" x14ac:dyDescent="0.3">
      <c r="AN9465">
        <v>9461</v>
      </c>
      <c r="AO9465" s="11">
        <v>27616.63</v>
      </c>
      <c r="AP9465" s="9">
        <v>3.5485570744300015</v>
      </c>
    </row>
    <row r="9466" spans="40:42" x14ac:dyDescent="0.3">
      <c r="AN9466">
        <v>9462</v>
      </c>
      <c r="AO9466" s="11">
        <v>30086.65</v>
      </c>
      <c r="AP9466" s="9">
        <v>3.4368599014345627</v>
      </c>
    </row>
    <row r="9467" spans="40:42" x14ac:dyDescent="0.3">
      <c r="AN9467">
        <v>9463</v>
      </c>
      <c r="AO9467" s="11">
        <v>30258.15</v>
      </c>
      <c r="AP9467" s="9">
        <v>3.3616565933147444</v>
      </c>
    </row>
    <row r="9468" spans="40:42" x14ac:dyDescent="0.3">
      <c r="AN9468">
        <v>9464</v>
      </c>
      <c r="AO9468" s="11">
        <v>18381.46</v>
      </c>
      <c r="AP9468" s="9">
        <v>3.0757050845750435</v>
      </c>
    </row>
    <row r="9469" spans="40:42" x14ac:dyDescent="0.3">
      <c r="AN9469">
        <v>9465</v>
      </c>
      <c r="AO9469" s="11">
        <v>24835.06</v>
      </c>
      <c r="AP9469" s="9">
        <v>3.7315715464159238</v>
      </c>
    </row>
    <row r="9470" spans="40:42" x14ac:dyDescent="0.3">
      <c r="AN9470">
        <v>9466</v>
      </c>
      <c r="AO9470" s="11">
        <v>26263.37</v>
      </c>
      <c r="AP9470" s="9">
        <v>3.223316470748383</v>
      </c>
    </row>
    <row r="9471" spans="40:42" x14ac:dyDescent="0.3">
      <c r="AN9471">
        <v>9467</v>
      </c>
      <c r="AO9471" s="11">
        <v>27002.48</v>
      </c>
      <c r="AP9471" s="9">
        <v>3.9113160205998745</v>
      </c>
    </row>
    <row r="9472" spans="40:42" x14ac:dyDescent="0.3">
      <c r="AN9472">
        <v>9468</v>
      </c>
      <c r="AO9472" s="11">
        <v>24147.52</v>
      </c>
      <c r="AP9472" s="9">
        <v>3.5329275633013428</v>
      </c>
    </row>
    <row r="9473" spans="40:42" x14ac:dyDescent="0.3">
      <c r="AN9473">
        <v>9469</v>
      </c>
      <c r="AO9473" s="11">
        <v>15223.16</v>
      </c>
      <c r="AP9473" s="9">
        <v>3.0029620304291336</v>
      </c>
    </row>
    <row r="9474" spans="40:42" x14ac:dyDescent="0.3">
      <c r="AN9474">
        <v>9470</v>
      </c>
      <c r="AO9474" s="11">
        <v>22665.75</v>
      </c>
      <c r="AP9474" s="9">
        <v>3.1165349861577405</v>
      </c>
    </row>
    <row r="9475" spans="40:42" x14ac:dyDescent="0.3">
      <c r="AN9475">
        <v>9471</v>
      </c>
      <c r="AO9475" s="11">
        <v>39639.01</v>
      </c>
      <c r="AP9475" s="9">
        <v>3.2425671857496616</v>
      </c>
    </row>
    <row r="9476" spans="40:42" x14ac:dyDescent="0.3">
      <c r="AN9476">
        <v>9472</v>
      </c>
      <c r="AO9476" s="11">
        <v>25967.01</v>
      </c>
      <c r="AP9476" s="9">
        <v>3.1164612023128422</v>
      </c>
    </row>
    <row r="9477" spans="40:42" x14ac:dyDescent="0.3">
      <c r="AN9477">
        <v>9473</v>
      </c>
      <c r="AO9477" s="11">
        <v>28500.15</v>
      </c>
      <c r="AP9477" s="9">
        <v>3.7903046656049959</v>
      </c>
    </row>
    <row r="9478" spans="40:42" x14ac:dyDescent="0.3">
      <c r="AN9478">
        <v>9474</v>
      </c>
      <c r="AO9478" s="11">
        <v>24631.3</v>
      </c>
      <c r="AP9478" s="9">
        <v>3.5136827981222041</v>
      </c>
    </row>
    <row r="9479" spans="40:42" x14ac:dyDescent="0.3">
      <c r="AN9479">
        <v>9475</v>
      </c>
      <c r="AO9479" s="11">
        <v>32130.13</v>
      </c>
      <c r="AP9479" s="9">
        <v>3.3733725296893597</v>
      </c>
    </row>
    <row r="9480" spans="40:42" x14ac:dyDescent="0.3">
      <c r="AN9480">
        <v>9476</v>
      </c>
      <c r="AO9480" s="11">
        <v>36904.69</v>
      </c>
      <c r="AP9480" s="9">
        <v>3.8695181759287589</v>
      </c>
    </row>
    <row r="9481" spans="40:42" x14ac:dyDescent="0.3">
      <c r="AN9481">
        <v>9477</v>
      </c>
      <c r="AO9481" s="11">
        <v>24778.27</v>
      </c>
      <c r="AP9481" s="9">
        <v>3.4842987870752546</v>
      </c>
    </row>
    <row r="9482" spans="40:42" x14ac:dyDescent="0.3">
      <c r="AN9482">
        <v>9478</v>
      </c>
      <c r="AO9482" s="11">
        <v>22706.63</v>
      </c>
      <c r="AP9482" s="9">
        <v>3.31422963828975</v>
      </c>
    </row>
    <row r="9483" spans="40:42" x14ac:dyDescent="0.3">
      <c r="AN9483">
        <v>9479</v>
      </c>
      <c r="AO9483" s="11">
        <v>32554.84</v>
      </c>
      <c r="AP9483" s="9">
        <v>3.9187694536305879</v>
      </c>
    </row>
    <row r="9484" spans="40:42" x14ac:dyDescent="0.3">
      <c r="AN9484">
        <v>9480</v>
      </c>
      <c r="AO9484" s="11">
        <v>22128.69</v>
      </c>
      <c r="AP9484" s="9">
        <v>3.7084250985249958</v>
      </c>
    </row>
    <row r="9485" spans="40:42" x14ac:dyDescent="0.3">
      <c r="AN9485">
        <v>9481</v>
      </c>
      <c r="AO9485" s="11">
        <v>23122.63</v>
      </c>
      <c r="AP9485" s="9">
        <v>3.3455589119787721</v>
      </c>
    </row>
    <row r="9486" spans="40:42" x14ac:dyDescent="0.3">
      <c r="AN9486">
        <v>9482</v>
      </c>
      <c r="AO9486" s="11">
        <v>39366.31</v>
      </c>
      <c r="AP9486" s="9">
        <v>3.5472460639415759</v>
      </c>
    </row>
    <row r="9487" spans="40:42" x14ac:dyDescent="0.3">
      <c r="AN9487">
        <v>9483</v>
      </c>
      <c r="AO9487" s="11">
        <v>29161.89</v>
      </c>
      <c r="AP9487" s="9">
        <v>4.516989032512984</v>
      </c>
    </row>
    <row r="9488" spans="40:42" x14ac:dyDescent="0.3">
      <c r="AN9488">
        <v>9484</v>
      </c>
      <c r="AO9488" s="11">
        <v>20026.47</v>
      </c>
      <c r="AP9488" s="9">
        <v>3.3415634060226522</v>
      </c>
    </row>
    <row r="9489" spans="40:42" x14ac:dyDescent="0.3">
      <c r="AN9489">
        <v>9485</v>
      </c>
      <c r="AO9489" s="11">
        <v>28610.31</v>
      </c>
      <c r="AP9489" s="9">
        <v>3.559271955392767</v>
      </c>
    </row>
    <row r="9490" spans="40:42" x14ac:dyDescent="0.3">
      <c r="AN9490">
        <v>9486</v>
      </c>
      <c r="AO9490" s="11">
        <v>29450.07</v>
      </c>
      <c r="AP9490" s="9">
        <v>3.326423478036229</v>
      </c>
    </row>
    <row r="9491" spans="40:42" x14ac:dyDescent="0.3">
      <c r="AN9491">
        <v>9487</v>
      </c>
      <c r="AO9491" s="11">
        <v>21629.33</v>
      </c>
      <c r="AP9491" s="9">
        <v>3.2100915613860863</v>
      </c>
    </row>
    <row r="9492" spans="40:42" x14ac:dyDescent="0.3">
      <c r="AN9492">
        <v>9488</v>
      </c>
      <c r="AO9492" s="11">
        <v>19281.150000000001</v>
      </c>
      <c r="AP9492" s="9">
        <v>3.1072346934704451</v>
      </c>
    </row>
    <row r="9493" spans="40:42" x14ac:dyDescent="0.3">
      <c r="AN9493">
        <v>9489</v>
      </c>
      <c r="AO9493" s="11">
        <v>20932.490000000002</v>
      </c>
      <c r="AP9493" s="9">
        <v>3.0353081012509318</v>
      </c>
    </row>
    <row r="9494" spans="40:42" x14ac:dyDescent="0.3">
      <c r="AN9494">
        <v>9490</v>
      </c>
      <c r="AO9494" s="11">
        <v>26306.95</v>
      </c>
      <c r="AP9494" s="9">
        <v>3.3965691656144261</v>
      </c>
    </row>
    <row r="9495" spans="40:42" x14ac:dyDescent="0.3">
      <c r="AN9495">
        <v>9491</v>
      </c>
      <c r="AO9495" s="11">
        <v>18958.599999999999</v>
      </c>
      <c r="AP9495" s="9">
        <v>3.1176964443922368</v>
      </c>
    </row>
    <row r="9496" spans="40:42" x14ac:dyDescent="0.3">
      <c r="AN9496">
        <v>9492</v>
      </c>
      <c r="AO9496" s="11">
        <v>22038.3</v>
      </c>
      <c r="AP9496" s="9">
        <v>3.6297498495194027</v>
      </c>
    </row>
    <row r="9497" spans="40:42" x14ac:dyDescent="0.3">
      <c r="AN9497">
        <v>9493</v>
      </c>
      <c r="AO9497" s="11">
        <v>24746.5</v>
      </c>
      <c r="AP9497" s="9">
        <v>2.953243959408586</v>
      </c>
    </row>
    <row r="9498" spans="40:42" x14ac:dyDescent="0.3">
      <c r="AN9498">
        <v>9494</v>
      </c>
      <c r="AO9498" s="11">
        <v>28462.81</v>
      </c>
      <c r="AP9498" s="9">
        <v>3.0440419186380945</v>
      </c>
    </row>
    <row r="9499" spans="40:42" x14ac:dyDescent="0.3">
      <c r="AN9499">
        <v>9495</v>
      </c>
      <c r="AO9499" s="11">
        <v>26902.71</v>
      </c>
      <c r="AP9499" s="9">
        <v>3.5396712705866009</v>
      </c>
    </row>
    <row r="9500" spans="40:42" x14ac:dyDescent="0.3">
      <c r="AN9500">
        <v>9496</v>
      </c>
      <c r="AO9500" s="11">
        <v>29394.560000000001</v>
      </c>
      <c r="AP9500" s="9">
        <v>3.8728620111744343</v>
      </c>
    </row>
    <row r="9501" spans="40:42" x14ac:dyDescent="0.3">
      <c r="AN9501">
        <v>9497</v>
      </c>
      <c r="AO9501" s="11">
        <v>51749.52</v>
      </c>
      <c r="AP9501" s="9">
        <v>3.9123588865479233</v>
      </c>
    </row>
    <row r="9502" spans="40:42" x14ac:dyDescent="0.3">
      <c r="AN9502">
        <v>9498</v>
      </c>
      <c r="AO9502" s="11">
        <v>26680.74</v>
      </c>
      <c r="AP9502" s="9">
        <v>3.9555801080653277</v>
      </c>
    </row>
    <row r="9503" spans="40:42" x14ac:dyDescent="0.3">
      <c r="AN9503">
        <v>9499</v>
      </c>
      <c r="AO9503" s="11">
        <v>34277.68</v>
      </c>
      <c r="AP9503" s="9">
        <v>3.8642359850215238</v>
      </c>
    </row>
    <row r="9504" spans="40:42" x14ac:dyDescent="0.3">
      <c r="AN9504">
        <v>9500</v>
      </c>
      <c r="AO9504" s="11">
        <v>23762.23</v>
      </c>
      <c r="AP9504" s="9">
        <v>2.8612841395130655</v>
      </c>
    </row>
    <row r="9505" spans="40:42" x14ac:dyDescent="0.3">
      <c r="AN9505">
        <v>9501</v>
      </c>
      <c r="AO9505" s="11">
        <v>16747.8</v>
      </c>
      <c r="AP9505" s="9">
        <v>2.8968102434854992</v>
      </c>
    </row>
    <row r="9506" spans="40:42" x14ac:dyDescent="0.3">
      <c r="AN9506">
        <v>9502</v>
      </c>
      <c r="AO9506" s="11">
        <v>28266.42</v>
      </c>
      <c r="AP9506" s="9">
        <v>3.2044384544202371</v>
      </c>
    </row>
    <row r="9507" spans="40:42" x14ac:dyDescent="0.3">
      <c r="AN9507">
        <v>9503</v>
      </c>
      <c r="AO9507" s="11">
        <v>29274.02</v>
      </c>
      <c r="AP9507" s="9">
        <v>3.2981076696570182</v>
      </c>
    </row>
    <row r="9508" spans="40:42" x14ac:dyDescent="0.3">
      <c r="AN9508">
        <v>9504</v>
      </c>
      <c r="AO9508" s="11">
        <v>34939.360000000001</v>
      </c>
      <c r="AP9508" s="9">
        <v>3.8040325605559735</v>
      </c>
    </row>
    <row r="9509" spans="40:42" x14ac:dyDescent="0.3">
      <c r="AN9509">
        <v>9505</v>
      </c>
      <c r="AO9509" s="11">
        <v>18623.66</v>
      </c>
      <c r="AP9509" s="9">
        <v>2.8857448126129435</v>
      </c>
    </row>
    <row r="9510" spans="40:42" x14ac:dyDescent="0.3">
      <c r="AN9510">
        <v>9506</v>
      </c>
      <c r="AO9510" s="11">
        <v>24714.86</v>
      </c>
      <c r="AP9510" s="9">
        <v>3.0378602988019523</v>
      </c>
    </row>
    <row r="9511" spans="40:42" x14ac:dyDescent="0.3">
      <c r="AN9511">
        <v>9507</v>
      </c>
      <c r="AO9511" s="11">
        <v>26084.81</v>
      </c>
      <c r="AP9511" s="9">
        <v>3.2330981277028457</v>
      </c>
    </row>
    <row r="9512" spans="40:42" x14ac:dyDescent="0.3">
      <c r="AN9512">
        <v>9508</v>
      </c>
      <c r="AO9512" s="11">
        <v>20897.97</v>
      </c>
      <c r="AP9512" s="9">
        <v>3.3379662638957108</v>
      </c>
    </row>
    <row r="9513" spans="40:42" x14ac:dyDescent="0.3">
      <c r="AN9513">
        <v>9509</v>
      </c>
      <c r="AO9513" s="11">
        <v>13720.3</v>
      </c>
      <c r="AP9513" s="9">
        <v>3.4927838567617737</v>
      </c>
    </row>
    <row r="9514" spans="40:42" x14ac:dyDescent="0.3">
      <c r="AN9514">
        <v>9510</v>
      </c>
      <c r="AO9514" s="11">
        <v>16895.89</v>
      </c>
      <c r="AP9514" s="9">
        <v>3.1960674005124887</v>
      </c>
    </row>
    <row r="9515" spans="40:42" x14ac:dyDescent="0.3">
      <c r="AN9515">
        <v>9511</v>
      </c>
      <c r="AO9515" s="11">
        <v>22526.240000000002</v>
      </c>
      <c r="AP9515" s="9">
        <v>2.7544990068146848</v>
      </c>
    </row>
    <row r="9516" spans="40:42" x14ac:dyDescent="0.3">
      <c r="AN9516">
        <v>9512</v>
      </c>
      <c r="AO9516" s="11">
        <v>22540.94</v>
      </c>
      <c r="AP9516" s="9">
        <v>3.2401137212478415</v>
      </c>
    </row>
    <row r="9517" spans="40:42" x14ac:dyDescent="0.3">
      <c r="AN9517">
        <v>9513</v>
      </c>
      <c r="AO9517" s="11">
        <v>25808.05</v>
      </c>
      <c r="AP9517" s="9">
        <v>3.4181974510977411</v>
      </c>
    </row>
    <row r="9518" spans="40:42" x14ac:dyDescent="0.3">
      <c r="AN9518">
        <v>9514</v>
      </c>
      <c r="AO9518" s="11">
        <v>27035.26</v>
      </c>
      <c r="AP9518" s="9">
        <v>3.531426244800195</v>
      </c>
    </row>
    <row r="9519" spans="40:42" x14ac:dyDescent="0.3">
      <c r="AN9519">
        <v>9515</v>
      </c>
      <c r="AO9519" s="11">
        <v>12461.02</v>
      </c>
      <c r="AP9519" s="9">
        <v>3.461785246643287</v>
      </c>
    </row>
    <row r="9520" spans="40:42" x14ac:dyDescent="0.3">
      <c r="AN9520">
        <v>9516</v>
      </c>
      <c r="AO9520" s="11">
        <v>27559.79</v>
      </c>
      <c r="AP9520" s="9">
        <v>3.3398665890473156</v>
      </c>
    </row>
    <row r="9521" spans="40:42" x14ac:dyDescent="0.3">
      <c r="AN9521">
        <v>9517</v>
      </c>
      <c r="AO9521" s="11">
        <v>29123.25</v>
      </c>
      <c r="AP9521" s="9">
        <v>3.2310603304503061</v>
      </c>
    </row>
    <row r="9522" spans="40:42" x14ac:dyDescent="0.3">
      <c r="AN9522">
        <v>9518</v>
      </c>
      <c r="AO9522" s="11">
        <v>26281.26</v>
      </c>
      <c r="AP9522" s="9">
        <v>3.2133597731520043</v>
      </c>
    </row>
    <row r="9523" spans="40:42" x14ac:dyDescent="0.3">
      <c r="AN9523">
        <v>9519</v>
      </c>
      <c r="AO9523" s="11">
        <v>32985.71</v>
      </c>
      <c r="AP9523" s="9">
        <v>3.5874987602151283</v>
      </c>
    </row>
    <row r="9524" spans="40:42" x14ac:dyDescent="0.3">
      <c r="AN9524">
        <v>9520</v>
      </c>
      <c r="AO9524" s="11">
        <v>24000.19</v>
      </c>
      <c r="AP9524" s="9">
        <v>3.4211986972515755</v>
      </c>
    </row>
    <row r="9525" spans="40:42" x14ac:dyDescent="0.3">
      <c r="AN9525">
        <v>9521</v>
      </c>
      <c r="AO9525" s="11">
        <v>29004.68</v>
      </c>
      <c r="AP9525" s="9">
        <v>3.2024142690634116</v>
      </c>
    </row>
    <row r="9526" spans="40:42" x14ac:dyDescent="0.3">
      <c r="AN9526">
        <v>9522</v>
      </c>
      <c r="AO9526" s="11">
        <v>38438.269999999997</v>
      </c>
      <c r="AP9526" s="9">
        <v>3.3520618555123272</v>
      </c>
    </row>
    <row r="9527" spans="40:42" x14ac:dyDescent="0.3">
      <c r="AN9527">
        <v>9523</v>
      </c>
      <c r="AO9527" s="11">
        <v>33508.5</v>
      </c>
      <c r="AP9527" s="9">
        <v>3.3944517698499923</v>
      </c>
    </row>
    <row r="9528" spans="40:42" x14ac:dyDescent="0.3">
      <c r="AN9528">
        <v>9524</v>
      </c>
      <c r="AO9528" s="11">
        <v>25614.06</v>
      </c>
      <c r="AP9528" s="9">
        <v>3.1785101610203284</v>
      </c>
    </row>
    <row r="9529" spans="40:42" x14ac:dyDescent="0.3">
      <c r="AN9529">
        <v>9525</v>
      </c>
      <c r="AO9529" s="11">
        <v>25856.799999999999</v>
      </c>
      <c r="AP9529" s="9">
        <v>3.1092227585038219</v>
      </c>
    </row>
    <row r="9530" spans="40:42" x14ac:dyDescent="0.3">
      <c r="AN9530">
        <v>9526</v>
      </c>
      <c r="AO9530" s="11">
        <v>22507.49</v>
      </c>
      <c r="AP9530" s="9">
        <v>2.9998437789083798</v>
      </c>
    </row>
    <row r="9531" spans="40:42" x14ac:dyDescent="0.3">
      <c r="AN9531">
        <v>9527</v>
      </c>
      <c r="AO9531" s="11">
        <v>15827.64</v>
      </c>
      <c r="AP9531" s="9">
        <v>3.3586121199333436</v>
      </c>
    </row>
    <row r="9532" spans="40:42" x14ac:dyDescent="0.3">
      <c r="AN9532">
        <v>9528</v>
      </c>
      <c r="AO9532" s="11">
        <v>34272.06</v>
      </c>
      <c r="AP9532" s="9">
        <v>3.9665858941892602</v>
      </c>
    </row>
    <row r="9533" spans="40:42" x14ac:dyDescent="0.3">
      <c r="AN9533">
        <v>9529</v>
      </c>
      <c r="AO9533" s="11">
        <v>15633.25</v>
      </c>
      <c r="AP9533" s="9">
        <v>2.7846690729668735</v>
      </c>
    </row>
    <row r="9534" spans="40:42" x14ac:dyDescent="0.3">
      <c r="AN9534">
        <v>9530</v>
      </c>
      <c r="AO9534" s="11">
        <v>29916.03</v>
      </c>
      <c r="AP9534" s="9">
        <v>3.3362560588138299</v>
      </c>
    </row>
    <row r="9535" spans="40:42" x14ac:dyDescent="0.3">
      <c r="AN9535">
        <v>9531</v>
      </c>
      <c r="AO9535" s="11">
        <v>14162.57</v>
      </c>
      <c r="AP9535" s="9">
        <v>3.0282853932216178</v>
      </c>
    </row>
    <row r="9536" spans="40:42" x14ac:dyDescent="0.3">
      <c r="AN9536">
        <v>9532</v>
      </c>
      <c r="AO9536" s="11">
        <v>23736.92</v>
      </c>
      <c r="AP9536" s="9">
        <v>3.1656659187021083</v>
      </c>
    </row>
    <row r="9537" spans="40:42" x14ac:dyDescent="0.3">
      <c r="AN9537">
        <v>9533</v>
      </c>
      <c r="AO9537" s="11">
        <v>32332.51</v>
      </c>
      <c r="AP9537" s="9">
        <v>3.4223319251852886</v>
      </c>
    </row>
    <row r="9538" spans="40:42" x14ac:dyDescent="0.3">
      <c r="AN9538">
        <v>9534</v>
      </c>
      <c r="AO9538" s="11">
        <v>34112.81</v>
      </c>
      <c r="AP9538" s="9">
        <v>3.1109611773702563</v>
      </c>
    </row>
    <row r="9539" spans="40:42" x14ac:dyDescent="0.3">
      <c r="AN9539">
        <v>9535</v>
      </c>
      <c r="AO9539" s="11">
        <v>33048.29</v>
      </c>
      <c r="AP9539" s="9">
        <v>3.9137893811284319</v>
      </c>
    </row>
    <row r="9540" spans="40:42" x14ac:dyDescent="0.3">
      <c r="AN9540">
        <v>9536</v>
      </c>
      <c r="AO9540" s="11">
        <v>30992.61</v>
      </c>
      <c r="AP9540" s="9">
        <v>3.3119854089982765</v>
      </c>
    </row>
    <row r="9541" spans="40:42" x14ac:dyDescent="0.3">
      <c r="AN9541">
        <v>9537</v>
      </c>
      <c r="AO9541" s="11">
        <v>18067.73</v>
      </c>
      <c r="AP9541" s="9">
        <v>3.129216186239145</v>
      </c>
    </row>
    <row r="9542" spans="40:42" x14ac:dyDescent="0.3">
      <c r="AN9542">
        <v>9538</v>
      </c>
      <c r="AO9542" s="11">
        <v>24390.82</v>
      </c>
      <c r="AP9542" s="9">
        <v>3.5201969460370535</v>
      </c>
    </row>
    <row r="9543" spans="40:42" x14ac:dyDescent="0.3">
      <c r="AN9543">
        <v>9539</v>
      </c>
      <c r="AO9543" s="11">
        <v>25491.31</v>
      </c>
      <c r="AP9543" s="9">
        <v>3.2210269415324753</v>
      </c>
    </row>
    <row r="9544" spans="40:42" x14ac:dyDescent="0.3">
      <c r="AN9544">
        <v>9540</v>
      </c>
      <c r="AO9544" s="11">
        <v>31262.52</v>
      </c>
      <c r="AP9544" s="9">
        <v>3.814085548994381</v>
      </c>
    </row>
    <row r="9545" spans="40:42" x14ac:dyDescent="0.3">
      <c r="AN9545">
        <v>9541</v>
      </c>
      <c r="AO9545" s="11">
        <v>28629.599999999999</v>
      </c>
      <c r="AP9545" s="9">
        <v>3.111513250548398</v>
      </c>
    </row>
    <row r="9546" spans="40:42" x14ac:dyDescent="0.3">
      <c r="AN9546">
        <v>9542</v>
      </c>
      <c r="AO9546" s="11">
        <v>21564.91</v>
      </c>
      <c r="AP9546" s="9">
        <v>2.983276770813553</v>
      </c>
    </row>
    <row r="9547" spans="40:42" x14ac:dyDescent="0.3">
      <c r="AN9547">
        <v>9543</v>
      </c>
      <c r="AO9547" s="11">
        <v>39063.760000000002</v>
      </c>
      <c r="AP9547" s="9">
        <v>4.2407570693593248</v>
      </c>
    </row>
    <row r="9548" spans="40:42" x14ac:dyDescent="0.3">
      <c r="AN9548">
        <v>9544</v>
      </c>
      <c r="AO9548" s="11">
        <v>28897.8</v>
      </c>
      <c r="AP9548" s="9">
        <v>3.6482041053538898</v>
      </c>
    </row>
    <row r="9549" spans="40:42" x14ac:dyDescent="0.3">
      <c r="AN9549">
        <v>9545</v>
      </c>
      <c r="AO9549" s="11">
        <v>25470.12</v>
      </c>
      <c r="AP9549" s="9">
        <v>3.1822261349067698</v>
      </c>
    </row>
    <row r="9550" spans="40:42" x14ac:dyDescent="0.3">
      <c r="AN9550">
        <v>9546</v>
      </c>
      <c r="AO9550" s="11">
        <v>15463.52</v>
      </c>
      <c r="AP9550" s="9">
        <v>2.9662678627644339</v>
      </c>
    </row>
    <row r="9551" spans="40:42" x14ac:dyDescent="0.3">
      <c r="AN9551">
        <v>9547</v>
      </c>
      <c r="AO9551" s="11">
        <v>30602.75</v>
      </c>
      <c r="AP9551" s="9">
        <v>3.7296310158754649</v>
      </c>
    </row>
    <row r="9552" spans="40:42" x14ac:dyDescent="0.3">
      <c r="AN9552">
        <v>9548</v>
      </c>
      <c r="AO9552" s="11">
        <v>19110.349999999999</v>
      </c>
      <c r="AP9552" s="9">
        <v>2.9936573750622633</v>
      </c>
    </row>
    <row r="9553" spans="40:42" x14ac:dyDescent="0.3">
      <c r="AN9553">
        <v>9549</v>
      </c>
      <c r="AO9553" s="11">
        <v>25872.48</v>
      </c>
      <c r="AP9553" s="9">
        <v>3.0351175949903202</v>
      </c>
    </row>
    <row r="9554" spans="40:42" x14ac:dyDescent="0.3">
      <c r="AN9554">
        <v>9550</v>
      </c>
      <c r="AO9554" s="11">
        <v>23738.400000000001</v>
      </c>
      <c r="AP9554" s="9">
        <v>2.7178785885784356</v>
      </c>
    </row>
    <row r="9555" spans="40:42" x14ac:dyDescent="0.3">
      <c r="AN9555">
        <v>9551</v>
      </c>
      <c r="AO9555" s="11">
        <v>22086.74</v>
      </c>
      <c r="AP9555" s="9">
        <v>2.6925974517464111</v>
      </c>
    </row>
    <row r="9556" spans="40:42" x14ac:dyDescent="0.3">
      <c r="AN9556">
        <v>9552</v>
      </c>
      <c r="AO9556" s="11">
        <v>23307.38</v>
      </c>
      <c r="AP9556" s="9">
        <v>3.1288795697570664</v>
      </c>
    </row>
    <row r="9557" spans="40:42" x14ac:dyDescent="0.3">
      <c r="AN9557">
        <v>9553</v>
      </c>
      <c r="AO9557" s="11">
        <v>27271.22</v>
      </c>
      <c r="AP9557" s="9">
        <v>3.2552071393484678</v>
      </c>
    </row>
    <row r="9558" spans="40:42" x14ac:dyDescent="0.3">
      <c r="AN9558">
        <v>9554</v>
      </c>
      <c r="AO9558" s="11">
        <v>25520.18</v>
      </c>
      <c r="AP9558" s="9">
        <v>3.7833381592370769</v>
      </c>
    </row>
    <row r="9559" spans="40:42" x14ac:dyDescent="0.3">
      <c r="AN9559">
        <v>9555</v>
      </c>
      <c r="AO9559" s="11">
        <v>16767.53</v>
      </c>
      <c r="AP9559" s="9">
        <v>3.0060219557439809</v>
      </c>
    </row>
    <row r="9560" spans="40:42" x14ac:dyDescent="0.3">
      <c r="AN9560">
        <v>9556</v>
      </c>
      <c r="AO9560" s="11">
        <v>26031.09</v>
      </c>
      <c r="AP9560" s="9">
        <v>4.05327217125582</v>
      </c>
    </row>
    <row r="9561" spans="40:42" x14ac:dyDescent="0.3">
      <c r="AN9561">
        <v>9557</v>
      </c>
      <c r="AO9561" s="11">
        <v>23710.959999999999</v>
      </c>
      <c r="AP9561" s="9">
        <v>2.9473489134106341</v>
      </c>
    </row>
    <row r="9562" spans="40:42" x14ac:dyDescent="0.3">
      <c r="AN9562">
        <v>9558</v>
      </c>
      <c r="AO9562" s="11">
        <v>23355.9</v>
      </c>
      <c r="AP9562" s="9">
        <v>3.4729131509723059</v>
      </c>
    </row>
    <row r="9563" spans="40:42" x14ac:dyDescent="0.3">
      <c r="AN9563">
        <v>9559</v>
      </c>
      <c r="AO9563" s="11">
        <v>18385.84</v>
      </c>
      <c r="AP9563" s="9">
        <v>3.0194130006625386</v>
      </c>
    </row>
    <row r="9564" spans="40:42" x14ac:dyDescent="0.3">
      <c r="AN9564">
        <v>9560</v>
      </c>
      <c r="AO9564" s="11">
        <v>17147.11</v>
      </c>
      <c r="AP9564" s="9">
        <v>3.3534728892420045</v>
      </c>
    </row>
    <row r="9565" spans="40:42" x14ac:dyDescent="0.3">
      <c r="AN9565">
        <v>9561</v>
      </c>
      <c r="AO9565" s="11">
        <v>31760.55</v>
      </c>
      <c r="AP9565" s="9">
        <v>3.270070518532961</v>
      </c>
    </row>
    <row r="9566" spans="40:42" x14ac:dyDescent="0.3">
      <c r="AN9566">
        <v>9562</v>
      </c>
      <c r="AO9566" s="11">
        <v>30653.48</v>
      </c>
      <c r="AP9566" s="9">
        <v>3.4506368127289559</v>
      </c>
    </row>
    <row r="9567" spans="40:42" x14ac:dyDescent="0.3">
      <c r="AN9567">
        <v>9563</v>
      </c>
      <c r="AO9567" s="11">
        <v>24321.67</v>
      </c>
      <c r="AP9567" s="9">
        <v>2.7735257612264141</v>
      </c>
    </row>
    <row r="9568" spans="40:42" x14ac:dyDescent="0.3">
      <c r="AN9568">
        <v>9564</v>
      </c>
      <c r="AO9568" s="11">
        <v>25685.57</v>
      </c>
      <c r="AP9568" s="9">
        <v>3.668790778080171</v>
      </c>
    </row>
    <row r="9569" spans="40:42" x14ac:dyDescent="0.3">
      <c r="AN9569">
        <v>9565</v>
      </c>
      <c r="AO9569" s="11">
        <v>52171.34</v>
      </c>
      <c r="AP9569" s="9">
        <v>3.3814330968007464</v>
      </c>
    </row>
    <row r="9570" spans="40:42" x14ac:dyDescent="0.3">
      <c r="AN9570">
        <v>9566</v>
      </c>
      <c r="AO9570" s="11">
        <v>27385.25</v>
      </c>
      <c r="AP9570" s="9">
        <v>3.1400027392072629</v>
      </c>
    </row>
    <row r="9571" spans="40:42" x14ac:dyDescent="0.3">
      <c r="AN9571">
        <v>9567</v>
      </c>
      <c r="AO9571" s="11">
        <v>18439.78</v>
      </c>
      <c r="AP9571" s="9">
        <v>3.6194443771264213</v>
      </c>
    </row>
    <row r="9572" spans="40:42" x14ac:dyDescent="0.3">
      <c r="AN9572">
        <v>9568</v>
      </c>
      <c r="AO9572" s="11">
        <v>20059.54</v>
      </c>
      <c r="AP9572" s="9">
        <v>3.3027850828515088</v>
      </c>
    </row>
    <row r="9573" spans="40:42" x14ac:dyDescent="0.3">
      <c r="AN9573">
        <v>9569</v>
      </c>
      <c r="AO9573" s="11">
        <v>26651.58</v>
      </c>
      <c r="AP9573" s="9">
        <v>3.1367535277609795</v>
      </c>
    </row>
    <row r="9574" spans="40:42" x14ac:dyDescent="0.3">
      <c r="AN9574">
        <v>9570</v>
      </c>
      <c r="AO9574" s="11">
        <v>26083.83</v>
      </c>
      <c r="AP9574" s="9">
        <v>3.6682202921283595</v>
      </c>
    </row>
    <row r="9575" spans="40:42" x14ac:dyDescent="0.3">
      <c r="AN9575">
        <v>9571</v>
      </c>
      <c r="AO9575" s="11">
        <v>39868.82</v>
      </c>
      <c r="AP9575" s="9">
        <v>4.0331454912667928</v>
      </c>
    </row>
    <row r="9576" spans="40:42" x14ac:dyDescent="0.3">
      <c r="AN9576">
        <v>9572</v>
      </c>
      <c r="AO9576" s="11">
        <v>26348.55</v>
      </c>
      <c r="AP9576" s="9">
        <v>3.0614557814827439</v>
      </c>
    </row>
    <row r="9577" spans="40:42" x14ac:dyDescent="0.3">
      <c r="AN9577">
        <v>9573</v>
      </c>
      <c r="AO9577" s="11">
        <v>15684.3</v>
      </c>
      <c r="AP9577" s="9">
        <v>2.6672075470100451</v>
      </c>
    </row>
    <row r="9578" spans="40:42" x14ac:dyDescent="0.3">
      <c r="AN9578">
        <v>9574</v>
      </c>
      <c r="AO9578" s="11">
        <v>41125.760000000002</v>
      </c>
      <c r="AP9578" s="9">
        <v>4.3730475362525443</v>
      </c>
    </row>
    <row r="9579" spans="40:42" x14ac:dyDescent="0.3">
      <c r="AN9579">
        <v>9575</v>
      </c>
      <c r="AO9579" s="11">
        <v>20915.36</v>
      </c>
      <c r="AP9579" s="9">
        <v>3.1061420745008164</v>
      </c>
    </row>
    <row r="9580" spans="40:42" x14ac:dyDescent="0.3">
      <c r="AN9580">
        <v>9576</v>
      </c>
      <c r="AO9580" s="11">
        <v>22673.78</v>
      </c>
      <c r="AP9580" s="9">
        <v>3.4669872606233438</v>
      </c>
    </row>
    <row r="9581" spans="40:42" x14ac:dyDescent="0.3">
      <c r="AN9581">
        <v>9577</v>
      </c>
      <c r="AO9581" s="11">
        <v>28400.7</v>
      </c>
      <c r="AP9581" s="9">
        <v>3.2559068833174636</v>
      </c>
    </row>
    <row r="9582" spans="40:42" x14ac:dyDescent="0.3">
      <c r="AN9582">
        <v>9578</v>
      </c>
      <c r="AO9582" s="11">
        <v>35097.629999999997</v>
      </c>
      <c r="AP9582" s="9">
        <v>3.5389865215004943</v>
      </c>
    </row>
    <row r="9583" spans="40:42" x14ac:dyDescent="0.3">
      <c r="AN9583">
        <v>9579</v>
      </c>
      <c r="AO9583" s="11">
        <v>19759.86</v>
      </c>
      <c r="AP9583" s="9">
        <v>3.1855019402695479</v>
      </c>
    </row>
    <row r="9584" spans="40:42" x14ac:dyDescent="0.3">
      <c r="AN9584">
        <v>9580</v>
      </c>
      <c r="AO9584" s="11">
        <v>24464.85</v>
      </c>
      <c r="AP9584" s="9">
        <v>3.2882132272258273</v>
      </c>
    </row>
    <row r="9585" spans="40:42" x14ac:dyDescent="0.3">
      <c r="AN9585">
        <v>9581</v>
      </c>
      <c r="AO9585" s="11">
        <v>25694.92</v>
      </c>
      <c r="AP9585" s="9">
        <v>3.3577182856131089</v>
      </c>
    </row>
    <row r="9586" spans="40:42" x14ac:dyDescent="0.3">
      <c r="AN9586">
        <v>9582</v>
      </c>
      <c r="AO9586" s="11">
        <v>26705.3</v>
      </c>
      <c r="AP9586" s="9">
        <v>3.9047824885327489</v>
      </c>
    </row>
    <row r="9587" spans="40:42" x14ac:dyDescent="0.3">
      <c r="AN9587">
        <v>9583</v>
      </c>
      <c r="AO9587" s="11">
        <v>26335.26</v>
      </c>
      <c r="AP9587" s="9">
        <v>3.7877909315740141</v>
      </c>
    </row>
    <row r="9588" spans="40:42" x14ac:dyDescent="0.3">
      <c r="AN9588">
        <v>9584</v>
      </c>
      <c r="AO9588" s="11">
        <v>26071</v>
      </c>
      <c r="AP9588" s="9">
        <v>3.0864198798334472</v>
      </c>
    </row>
    <row r="9589" spans="40:42" x14ac:dyDescent="0.3">
      <c r="AN9589">
        <v>9585</v>
      </c>
      <c r="AO9589" s="11">
        <v>26137.17</v>
      </c>
      <c r="AP9589" s="9">
        <v>3.1764587162323954</v>
      </c>
    </row>
    <row r="9590" spans="40:42" x14ac:dyDescent="0.3">
      <c r="AN9590">
        <v>9586</v>
      </c>
      <c r="AO9590" s="11">
        <v>30101.52</v>
      </c>
      <c r="AP9590" s="9">
        <v>3.4351688347893234</v>
      </c>
    </row>
    <row r="9591" spans="40:42" x14ac:dyDescent="0.3">
      <c r="AN9591">
        <v>9587</v>
      </c>
      <c r="AO9591" s="11">
        <v>22508.73</v>
      </c>
      <c r="AP9591" s="9">
        <v>3.5135763457904297</v>
      </c>
    </row>
    <row r="9592" spans="40:42" x14ac:dyDescent="0.3">
      <c r="AN9592">
        <v>9588</v>
      </c>
      <c r="AO9592" s="11">
        <v>20107.259999999998</v>
      </c>
      <c r="AP9592" s="9">
        <v>3.4731113571297638</v>
      </c>
    </row>
    <row r="9593" spans="40:42" x14ac:dyDescent="0.3">
      <c r="AN9593">
        <v>9589</v>
      </c>
      <c r="AO9593" s="11">
        <v>12777.05</v>
      </c>
      <c r="AP9593" s="9">
        <v>3.2171702564457716</v>
      </c>
    </row>
    <row r="9594" spans="40:42" x14ac:dyDescent="0.3">
      <c r="AN9594">
        <v>9590</v>
      </c>
      <c r="AO9594" s="11">
        <v>30511.88</v>
      </c>
      <c r="AP9594" s="9">
        <v>4.4046737719439468</v>
      </c>
    </row>
    <row r="9595" spans="40:42" x14ac:dyDescent="0.3">
      <c r="AN9595">
        <v>9591</v>
      </c>
      <c r="AO9595" s="11">
        <v>23968.89</v>
      </c>
      <c r="AP9595" s="9">
        <v>3.1365991530291453</v>
      </c>
    </row>
    <row r="9596" spans="40:42" x14ac:dyDescent="0.3">
      <c r="AN9596">
        <v>9592</v>
      </c>
      <c r="AO9596" s="11">
        <v>22558.93</v>
      </c>
      <c r="AP9596" s="9">
        <v>2.9588837809764921</v>
      </c>
    </row>
    <row r="9597" spans="40:42" x14ac:dyDescent="0.3">
      <c r="AN9597">
        <v>9593</v>
      </c>
      <c r="AO9597" s="11">
        <v>21185.62</v>
      </c>
      <c r="AP9597" s="9">
        <v>3.2391078164687599</v>
      </c>
    </row>
    <row r="9598" spans="40:42" x14ac:dyDescent="0.3">
      <c r="AN9598">
        <v>9594</v>
      </c>
      <c r="AO9598" s="11">
        <v>24621.14</v>
      </c>
      <c r="AP9598" s="9">
        <v>3.9865147036939259</v>
      </c>
    </row>
    <row r="9599" spans="40:42" x14ac:dyDescent="0.3">
      <c r="AN9599">
        <v>9595</v>
      </c>
      <c r="AO9599" s="11">
        <v>35181.72</v>
      </c>
      <c r="AP9599" s="9">
        <v>3.7312678371070329</v>
      </c>
    </row>
    <row r="9600" spans="40:42" x14ac:dyDescent="0.3">
      <c r="AN9600">
        <v>9596</v>
      </c>
      <c r="AO9600" s="11">
        <v>25556.39</v>
      </c>
      <c r="AP9600" s="9">
        <v>3.1259669714918585</v>
      </c>
    </row>
    <row r="9601" spans="40:42" x14ac:dyDescent="0.3">
      <c r="AN9601">
        <v>9597</v>
      </c>
      <c r="AO9601" s="11">
        <v>24100.5</v>
      </c>
      <c r="AP9601" s="9">
        <v>3.4849121001344185</v>
      </c>
    </row>
    <row r="9602" spans="40:42" x14ac:dyDescent="0.3">
      <c r="AN9602">
        <v>9598</v>
      </c>
      <c r="AO9602" s="11">
        <v>15840.43</v>
      </c>
      <c r="AP9602" s="9">
        <v>2.7367661649879067</v>
      </c>
    </row>
    <row r="9603" spans="40:42" x14ac:dyDescent="0.3">
      <c r="AN9603">
        <v>9599</v>
      </c>
      <c r="AO9603" s="11">
        <v>39122.230000000003</v>
      </c>
      <c r="AP9603" s="9">
        <v>3.6693832006017653</v>
      </c>
    </row>
    <row r="9604" spans="40:42" x14ac:dyDescent="0.3">
      <c r="AN9604">
        <v>9600</v>
      </c>
      <c r="AO9604" s="11">
        <v>38042.51</v>
      </c>
      <c r="AP9604" s="9">
        <v>3.5101841553147528</v>
      </c>
    </row>
    <row r="9605" spans="40:42" x14ac:dyDescent="0.3">
      <c r="AN9605">
        <v>9601</v>
      </c>
      <c r="AO9605" s="11">
        <v>27002.47</v>
      </c>
      <c r="AP9605" s="9">
        <v>3.0665487908175209</v>
      </c>
    </row>
    <row r="9606" spans="40:42" x14ac:dyDescent="0.3">
      <c r="AN9606">
        <v>9602</v>
      </c>
      <c r="AO9606" s="11">
        <v>26980.37</v>
      </c>
      <c r="AP9606" s="9">
        <v>3.3678540094295486</v>
      </c>
    </row>
    <row r="9607" spans="40:42" x14ac:dyDescent="0.3">
      <c r="AN9607">
        <v>9603</v>
      </c>
      <c r="AO9607" s="11">
        <v>27854.28</v>
      </c>
      <c r="AP9607" s="9">
        <v>3.1843078371712719</v>
      </c>
    </row>
    <row r="9608" spans="40:42" x14ac:dyDescent="0.3">
      <c r="AN9608">
        <v>9604</v>
      </c>
      <c r="AO9608" s="11">
        <v>36783.99</v>
      </c>
      <c r="AP9608" s="9">
        <v>3.5413625789945877</v>
      </c>
    </row>
    <row r="9609" spans="40:42" x14ac:dyDescent="0.3">
      <c r="AN9609">
        <v>9605</v>
      </c>
      <c r="AO9609" s="11">
        <v>21399.87</v>
      </c>
      <c r="AP9609" s="9">
        <v>3.589099049467372</v>
      </c>
    </row>
    <row r="9610" spans="40:42" x14ac:dyDescent="0.3">
      <c r="AN9610">
        <v>9606</v>
      </c>
      <c r="AO9610" s="11">
        <v>27165.87</v>
      </c>
      <c r="AP9610" s="9">
        <v>3.0420080772201401</v>
      </c>
    </row>
    <row r="9611" spans="40:42" x14ac:dyDescent="0.3">
      <c r="AN9611">
        <v>9607</v>
      </c>
      <c r="AO9611" s="11">
        <v>35168.36</v>
      </c>
      <c r="AP9611" s="9">
        <v>3.4731931358137227</v>
      </c>
    </row>
    <row r="9612" spans="40:42" x14ac:dyDescent="0.3">
      <c r="AN9612">
        <v>9608</v>
      </c>
      <c r="AO9612" s="11">
        <v>41729.24</v>
      </c>
      <c r="AP9612" s="9">
        <v>3.2462759301158548</v>
      </c>
    </row>
    <row r="9613" spans="40:42" x14ac:dyDescent="0.3">
      <c r="AN9613">
        <v>9609</v>
      </c>
      <c r="AO9613" s="11">
        <v>24777.49</v>
      </c>
      <c r="AP9613" s="9">
        <v>3.3878966837674276</v>
      </c>
    </row>
    <row r="9614" spans="40:42" x14ac:dyDescent="0.3">
      <c r="AN9614">
        <v>9610</v>
      </c>
      <c r="AO9614" s="11">
        <v>34807.72</v>
      </c>
      <c r="AP9614" s="9">
        <v>3.9503947247904945</v>
      </c>
    </row>
    <row r="9615" spans="40:42" x14ac:dyDescent="0.3">
      <c r="AN9615">
        <v>9611</v>
      </c>
      <c r="AO9615" s="11">
        <v>29378.37</v>
      </c>
      <c r="AP9615" s="9">
        <v>3.6970899304535298</v>
      </c>
    </row>
    <row r="9616" spans="40:42" x14ac:dyDescent="0.3">
      <c r="AN9616">
        <v>9612</v>
      </c>
      <c r="AO9616" s="11">
        <v>23466.27</v>
      </c>
      <c r="AP9616" s="9">
        <v>3.5916752714082776</v>
      </c>
    </row>
    <row r="9617" spans="40:42" x14ac:dyDescent="0.3">
      <c r="AN9617">
        <v>9613</v>
      </c>
      <c r="AO9617" s="11">
        <v>28036.31</v>
      </c>
      <c r="AP9617" s="9">
        <v>3.2133539890768623</v>
      </c>
    </row>
    <row r="9618" spans="40:42" x14ac:dyDescent="0.3">
      <c r="AN9618">
        <v>9614</v>
      </c>
      <c r="AO9618" s="11">
        <v>31040.39</v>
      </c>
      <c r="AP9618" s="9">
        <v>2.9742238017727618</v>
      </c>
    </row>
    <row r="9619" spans="40:42" x14ac:dyDescent="0.3">
      <c r="AN9619">
        <v>9615</v>
      </c>
      <c r="AO9619" s="11">
        <v>19027.8</v>
      </c>
      <c r="AP9619" s="9">
        <v>3.3184935075261213</v>
      </c>
    </row>
    <row r="9620" spans="40:42" x14ac:dyDescent="0.3">
      <c r="AN9620">
        <v>9616</v>
      </c>
      <c r="AO9620" s="11">
        <v>23920.27</v>
      </c>
      <c r="AP9620" s="9">
        <v>2.738591908938083</v>
      </c>
    </row>
    <row r="9621" spans="40:42" x14ac:dyDescent="0.3">
      <c r="AN9621">
        <v>9617</v>
      </c>
      <c r="AO9621" s="11">
        <v>25810.84</v>
      </c>
      <c r="AP9621" s="9">
        <v>3.239140908221791</v>
      </c>
    </row>
    <row r="9622" spans="40:42" x14ac:dyDescent="0.3">
      <c r="AN9622">
        <v>9618</v>
      </c>
      <c r="AO9622" s="11">
        <v>37887.06</v>
      </c>
      <c r="AP9622" s="9">
        <v>4.3613243008696685</v>
      </c>
    </row>
    <row r="9623" spans="40:42" x14ac:dyDescent="0.3">
      <c r="AN9623">
        <v>9619</v>
      </c>
      <c r="AO9623" s="11">
        <v>20650.13</v>
      </c>
      <c r="AP9623" s="9">
        <v>3.0146710775908758</v>
      </c>
    </row>
    <row r="9624" spans="40:42" x14ac:dyDescent="0.3">
      <c r="AN9624">
        <v>9620</v>
      </c>
      <c r="AO9624" s="11">
        <v>37852.92</v>
      </c>
      <c r="AP9624" s="9">
        <v>3.5126710654764088</v>
      </c>
    </row>
    <row r="9625" spans="40:42" x14ac:dyDescent="0.3">
      <c r="AN9625">
        <v>9621</v>
      </c>
      <c r="AO9625" s="11">
        <v>25950</v>
      </c>
      <c r="AP9625" s="9">
        <v>2.6090270046620345</v>
      </c>
    </row>
    <row r="9626" spans="40:42" x14ac:dyDescent="0.3">
      <c r="AN9626">
        <v>9622</v>
      </c>
      <c r="AO9626" s="11">
        <v>25330.68</v>
      </c>
      <c r="AP9626" s="9">
        <v>3.0983353365883222</v>
      </c>
    </row>
    <row r="9627" spans="40:42" x14ac:dyDescent="0.3">
      <c r="AN9627">
        <v>9623</v>
      </c>
      <c r="AO9627" s="11">
        <v>32974.47</v>
      </c>
      <c r="AP9627" s="9">
        <v>3.3648506297655771</v>
      </c>
    </row>
    <row r="9628" spans="40:42" x14ac:dyDescent="0.3">
      <c r="AN9628">
        <v>9624</v>
      </c>
      <c r="AO9628" s="11">
        <v>23705.96</v>
      </c>
      <c r="AP9628" s="9">
        <v>3.5573519576569463</v>
      </c>
    </row>
    <row r="9629" spans="40:42" x14ac:dyDescent="0.3">
      <c r="AN9629">
        <v>9625</v>
      </c>
      <c r="AO9629" s="11">
        <v>31900.07</v>
      </c>
      <c r="AP9629" s="9">
        <v>3.2929438659116679</v>
      </c>
    </row>
    <row r="9630" spans="40:42" x14ac:dyDescent="0.3">
      <c r="AN9630">
        <v>9626</v>
      </c>
      <c r="AO9630" s="11">
        <v>33198.99</v>
      </c>
      <c r="AP9630" s="9">
        <v>3.7143321289962428</v>
      </c>
    </row>
    <row r="9631" spans="40:42" x14ac:dyDescent="0.3">
      <c r="AN9631">
        <v>9627</v>
      </c>
      <c r="AO9631" s="11">
        <v>41538.26</v>
      </c>
      <c r="AP9631" s="9">
        <v>3.1998027459764318</v>
      </c>
    </row>
    <row r="9632" spans="40:42" x14ac:dyDescent="0.3">
      <c r="AN9632">
        <v>9628</v>
      </c>
      <c r="AO9632" s="11">
        <v>31935.85</v>
      </c>
      <c r="AP9632" s="9">
        <v>3.147588977935055</v>
      </c>
    </row>
    <row r="9633" spans="40:42" x14ac:dyDescent="0.3">
      <c r="AN9633">
        <v>9629</v>
      </c>
      <c r="AO9633" s="11">
        <v>36410.58</v>
      </c>
      <c r="AP9633" s="9">
        <v>3.2725446866272621</v>
      </c>
    </row>
    <row r="9634" spans="40:42" x14ac:dyDescent="0.3">
      <c r="AN9634">
        <v>9630</v>
      </c>
      <c r="AO9634" s="11">
        <v>28602.9</v>
      </c>
      <c r="AP9634" s="9">
        <v>3.2521728858964249</v>
      </c>
    </row>
    <row r="9635" spans="40:42" x14ac:dyDescent="0.3">
      <c r="AN9635">
        <v>9631</v>
      </c>
      <c r="AO9635" s="11">
        <v>17775.740000000002</v>
      </c>
      <c r="AP9635" s="9">
        <v>2.8438005715257435</v>
      </c>
    </row>
    <row r="9636" spans="40:42" x14ac:dyDescent="0.3">
      <c r="AN9636">
        <v>9632</v>
      </c>
      <c r="AO9636" s="11">
        <v>24612.89</v>
      </c>
      <c r="AP9636" s="9">
        <v>3.3675460492312741</v>
      </c>
    </row>
    <row r="9637" spans="40:42" x14ac:dyDescent="0.3">
      <c r="AN9637">
        <v>9633</v>
      </c>
      <c r="AO9637" s="11">
        <v>24473.84</v>
      </c>
      <c r="AP9637" s="9">
        <v>3.7823034322299645</v>
      </c>
    </row>
    <row r="9638" spans="40:42" x14ac:dyDescent="0.3">
      <c r="AN9638">
        <v>9634</v>
      </c>
      <c r="AO9638" s="11">
        <v>24466.95</v>
      </c>
      <c r="AP9638" s="9">
        <v>3.3909662515126251</v>
      </c>
    </row>
    <row r="9639" spans="40:42" x14ac:dyDescent="0.3">
      <c r="AN9639">
        <v>9635</v>
      </c>
      <c r="AO9639" s="11">
        <v>17622.759999999998</v>
      </c>
      <c r="AP9639" s="9">
        <v>3.1256899422902609</v>
      </c>
    </row>
    <row r="9640" spans="40:42" x14ac:dyDescent="0.3">
      <c r="AN9640">
        <v>9636</v>
      </c>
      <c r="AO9640" s="11">
        <v>33133.279999999999</v>
      </c>
      <c r="AP9640" s="9">
        <v>3.5363267017273343</v>
      </c>
    </row>
    <row r="9641" spans="40:42" x14ac:dyDescent="0.3">
      <c r="AN9641">
        <v>9637</v>
      </c>
      <c r="AO9641" s="11">
        <v>25833</v>
      </c>
      <c r="AP9641" s="9">
        <v>2.9904549804050045</v>
      </c>
    </row>
    <row r="9642" spans="40:42" x14ac:dyDescent="0.3">
      <c r="AN9642">
        <v>9638</v>
      </c>
      <c r="AO9642" s="11">
        <v>25580.69</v>
      </c>
      <c r="AP9642" s="9">
        <v>3.8426799731816499</v>
      </c>
    </row>
    <row r="9643" spans="40:42" x14ac:dyDescent="0.3">
      <c r="AN9643">
        <v>9639</v>
      </c>
      <c r="AO9643" s="11">
        <v>27999.67</v>
      </c>
      <c r="AP9643" s="9">
        <v>3.5238235271904998</v>
      </c>
    </row>
    <row r="9644" spans="40:42" x14ac:dyDescent="0.3">
      <c r="AN9644">
        <v>9640</v>
      </c>
      <c r="AO9644" s="11">
        <v>37250.44</v>
      </c>
      <c r="AP9644" s="9">
        <v>3.6162414390397308</v>
      </c>
    </row>
    <row r="9645" spans="40:42" x14ac:dyDescent="0.3">
      <c r="AN9645">
        <v>9641</v>
      </c>
      <c r="AO9645" s="11">
        <v>17110.68</v>
      </c>
      <c r="AP9645" s="9">
        <v>3.2601979679734305</v>
      </c>
    </row>
    <row r="9646" spans="40:42" x14ac:dyDescent="0.3">
      <c r="AN9646">
        <v>9642</v>
      </c>
      <c r="AO9646" s="11">
        <v>27780.85</v>
      </c>
      <c r="AP9646" s="9">
        <v>3.4762889531391852</v>
      </c>
    </row>
    <row r="9647" spans="40:42" x14ac:dyDescent="0.3">
      <c r="AN9647">
        <v>9643</v>
      </c>
      <c r="AO9647" s="11">
        <v>28314.27</v>
      </c>
      <c r="AP9647" s="9">
        <v>4.095154332829809</v>
      </c>
    </row>
    <row r="9648" spans="40:42" x14ac:dyDescent="0.3">
      <c r="AN9648">
        <v>9644</v>
      </c>
      <c r="AO9648" s="11">
        <v>14601.58</v>
      </c>
      <c r="AP9648" s="9">
        <v>3.3677650103181005</v>
      </c>
    </row>
    <row r="9649" spans="40:42" x14ac:dyDescent="0.3">
      <c r="AN9649">
        <v>9645</v>
      </c>
      <c r="AO9649" s="11">
        <v>30197.69</v>
      </c>
      <c r="AP9649" s="9">
        <v>3.4631329574527809</v>
      </c>
    </row>
    <row r="9650" spans="40:42" x14ac:dyDescent="0.3">
      <c r="AN9650">
        <v>9646</v>
      </c>
      <c r="AO9650" s="11">
        <v>31996.82</v>
      </c>
      <c r="AP9650" s="9">
        <v>3.8585138621868249</v>
      </c>
    </row>
    <row r="9651" spans="40:42" x14ac:dyDescent="0.3">
      <c r="AN9651">
        <v>9647</v>
      </c>
      <c r="AO9651" s="11">
        <v>22751.21</v>
      </c>
      <c r="AP9651" s="9">
        <v>2.8490546518172986</v>
      </c>
    </row>
    <row r="9652" spans="40:42" x14ac:dyDescent="0.3">
      <c r="AN9652">
        <v>9648</v>
      </c>
      <c r="AO9652" s="11">
        <v>25431.88</v>
      </c>
      <c r="AP9652" s="9">
        <v>3.7754723454973167</v>
      </c>
    </row>
    <row r="9653" spans="40:42" x14ac:dyDescent="0.3">
      <c r="AN9653">
        <v>9649</v>
      </c>
      <c r="AO9653" s="11">
        <v>41399.03</v>
      </c>
      <c r="AP9653" s="9">
        <v>3.8256697706880001</v>
      </c>
    </row>
    <row r="9654" spans="40:42" x14ac:dyDescent="0.3">
      <c r="AN9654">
        <v>9650</v>
      </c>
      <c r="AO9654" s="11">
        <v>16749.89</v>
      </c>
      <c r="AP9654" s="9">
        <v>3.370918421774034</v>
      </c>
    </row>
    <row r="9655" spans="40:42" x14ac:dyDescent="0.3">
      <c r="AN9655">
        <v>9651</v>
      </c>
      <c r="AO9655" s="11">
        <v>22404.959999999999</v>
      </c>
      <c r="AP9655" s="9">
        <v>3.4070548717317295</v>
      </c>
    </row>
    <row r="9656" spans="40:42" x14ac:dyDescent="0.3">
      <c r="AN9656">
        <v>9652</v>
      </c>
      <c r="AO9656" s="11">
        <v>33051.879999999997</v>
      </c>
      <c r="AP9656" s="9">
        <v>3.0865510814978441</v>
      </c>
    </row>
    <row r="9657" spans="40:42" x14ac:dyDescent="0.3">
      <c r="AN9657">
        <v>9653</v>
      </c>
      <c r="AO9657" s="11">
        <v>27346.83</v>
      </c>
      <c r="AP9657" s="9">
        <v>3.8562108922085252</v>
      </c>
    </row>
    <row r="9658" spans="40:42" x14ac:dyDescent="0.3">
      <c r="AN9658">
        <v>9654</v>
      </c>
      <c r="AO9658" s="11">
        <v>35877.07</v>
      </c>
      <c r="AP9658" s="9">
        <v>3.2875133475417768</v>
      </c>
    </row>
    <row r="9659" spans="40:42" x14ac:dyDescent="0.3">
      <c r="AN9659">
        <v>9655</v>
      </c>
      <c r="AO9659" s="11">
        <v>18199</v>
      </c>
      <c r="AP9659" s="9">
        <v>3.2464783008806037</v>
      </c>
    </row>
    <row r="9660" spans="40:42" x14ac:dyDescent="0.3">
      <c r="AN9660">
        <v>9656</v>
      </c>
      <c r="AO9660" s="11">
        <v>32628.799999999999</v>
      </c>
      <c r="AP9660" s="9">
        <v>3.8179047399985495</v>
      </c>
    </row>
    <row r="9661" spans="40:42" x14ac:dyDescent="0.3">
      <c r="AN9661">
        <v>9657</v>
      </c>
      <c r="AO9661" s="11">
        <v>32540.53</v>
      </c>
      <c r="AP9661" s="9">
        <v>3.4982829905000021</v>
      </c>
    </row>
    <row r="9662" spans="40:42" x14ac:dyDescent="0.3">
      <c r="AN9662">
        <v>9658</v>
      </c>
      <c r="AO9662" s="11">
        <v>23967.040000000001</v>
      </c>
      <c r="AP9662" s="9">
        <v>3.1890370379575721</v>
      </c>
    </row>
    <row r="9663" spans="40:42" x14ac:dyDescent="0.3">
      <c r="AN9663">
        <v>9659</v>
      </c>
      <c r="AO9663" s="11">
        <v>19697.18</v>
      </c>
      <c r="AP9663" s="9">
        <v>2.7835408397772849</v>
      </c>
    </row>
    <row r="9664" spans="40:42" x14ac:dyDescent="0.3">
      <c r="AN9664">
        <v>9660</v>
      </c>
      <c r="AO9664" s="11">
        <v>20232.63</v>
      </c>
      <c r="AP9664" s="9">
        <v>3.0152855625259827</v>
      </c>
    </row>
    <row r="9665" spans="40:42" x14ac:dyDescent="0.3">
      <c r="AN9665">
        <v>9661</v>
      </c>
      <c r="AO9665" s="11">
        <v>23170.76</v>
      </c>
      <c r="AP9665" s="9">
        <v>3.714392162104132</v>
      </c>
    </row>
    <row r="9666" spans="40:42" x14ac:dyDescent="0.3">
      <c r="AN9666">
        <v>9662</v>
      </c>
      <c r="AO9666" s="11">
        <v>36857.54</v>
      </c>
      <c r="AP9666" s="9">
        <v>3.991453360601898</v>
      </c>
    </row>
    <row r="9667" spans="40:42" x14ac:dyDescent="0.3">
      <c r="AN9667">
        <v>9663</v>
      </c>
      <c r="AO9667" s="11">
        <v>24079.64</v>
      </c>
      <c r="AP9667" s="9">
        <v>3.372257840814036</v>
      </c>
    </row>
    <row r="9668" spans="40:42" x14ac:dyDescent="0.3">
      <c r="AN9668">
        <v>9664</v>
      </c>
      <c r="AO9668" s="11">
        <v>18265.22</v>
      </c>
      <c r="AP9668" s="9">
        <v>3.025483207006793</v>
      </c>
    </row>
    <row r="9669" spans="40:42" x14ac:dyDescent="0.3">
      <c r="AN9669">
        <v>9665</v>
      </c>
      <c r="AO9669" s="11">
        <v>28005.48</v>
      </c>
      <c r="AP9669" s="9">
        <v>3.9221794429809518</v>
      </c>
    </row>
    <row r="9670" spans="40:42" x14ac:dyDescent="0.3">
      <c r="AN9670">
        <v>9666</v>
      </c>
      <c r="AO9670" s="11">
        <v>31017.06</v>
      </c>
      <c r="AP9670" s="9">
        <v>3.3166317485366799</v>
      </c>
    </row>
    <row r="9671" spans="40:42" x14ac:dyDescent="0.3">
      <c r="AN9671">
        <v>9667</v>
      </c>
      <c r="AO9671" s="11">
        <v>27874.93</v>
      </c>
      <c r="AP9671" s="9">
        <v>3.3149099438673821</v>
      </c>
    </row>
    <row r="9672" spans="40:42" x14ac:dyDescent="0.3">
      <c r="AN9672">
        <v>9668</v>
      </c>
      <c r="AO9672" s="11">
        <v>33392.22</v>
      </c>
      <c r="AP9672" s="9">
        <v>2.8848460411836649</v>
      </c>
    </row>
    <row r="9673" spans="40:42" x14ac:dyDescent="0.3">
      <c r="AN9673">
        <v>9669</v>
      </c>
      <c r="AO9673" s="11">
        <v>18538.14</v>
      </c>
      <c r="AP9673" s="9">
        <v>3.0674696732258515</v>
      </c>
    </row>
    <row r="9674" spans="40:42" x14ac:dyDescent="0.3">
      <c r="AN9674">
        <v>9670</v>
      </c>
      <c r="AO9674" s="11">
        <v>39342.639999999999</v>
      </c>
      <c r="AP9674" s="9">
        <v>3.5884818863653938</v>
      </c>
    </row>
    <row r="9675" spans="40:42" x14ac:dyDescent="0.3">
      <c r="AN9675">
        <v>9671</v>
      </c>
      <c r="AO9675" s="11">
        <v>22791.91</v>
      </c>
      <c r="AP9675" s="9">
        <v>3.4379287729064827</v>
      </c>
    </row>
    <row r="9676" spans="40:42" x14ac:dyDescent="0.3">
      <c r="AN9676">
        <v>9672</v>
      </c>
      <c r="AO9676" s="11">
        <v>23589.33</v>
      </c>
      <c r="AP9676" s="9">
        <v>3.7174691399426947</v>
      </c>
    </row>
    <row r="9677" spans="40:42" x14ac:dyDescent="0.3">
      <c r="AN9677">
        <v>9673</v>
      </c>
      <c r="AO9677" s="11">
        <v>26207.06</v>
      </c>
      <c r="AP9677" s="9">
        <v>3.7694904732750865</v>
      </c>
    </row>
    <row r="9678" spans="40:42" x14ac:dyDescent="0.3">
      <c r="AN9678">
        <v>9674</v>
      </c>
      <c r="AO9678" s="11">
        <v>20748.09</v>
      </c>
      <c r="AP9678" s="9">
        <v>2.850694937758492</v>
      </c>
    </row>
    <row r="9679" spans="40:42" x14ac:dyDescent="0.3">
      <c r="AN9679">
        <v>9675</v>
      </c>
      <c r="AO9679" s="11">
        <v>19563.11</v>
      </c>
      <c r="AP9679" s="9">
        <v>2.6781136118346875</v>
      </c>
    </row>
    <row r="9680" spans="40:42" x14ac:dyDescent="0.3">
      <c r="AN9680">
        <v>9676</v>
      </c>
      <c r="AO9680" s="11">
        <v>16759.95</v>
      </c>
      <c r="AP9680" s="9">
        <v>3.7424404961024362</v>
      </c>
    </row>
    <row r="9681" spans="40:42" x14ac:dyDescent="0.3">
      <c r="AN9681">
        <v>9677</v>
      </c>
      <c r="AO9681" s="11">
        <v>23887.759999999998</v>
      </c>
      <c r="AP9681" s="9">
        <v>3.5953379898731157</v>
      </c>
    </row>
    <row r="9682" spans="40:42" x14ac:dyDescent="0.3">
      <c r="AN9682">
        <v>9678</v>
      </c>
      <c r="AO9682" s="11">
        <v>26957.69</v>
      </c>
      <c r="AP9682" s="9">
        <v>3.604739458868528</v>
      </c>
    </row>
    <row r="9683" spans="40:42" x14ac:dyDescent="0.3">
      <c r="AN9683">
        <v>9679</v>
      </c>
      <c r="AO9683" s="11">
        <v>33754.559999999998</v>
      </c>
      <c r="AP9683" s="9">
        <v>3.7560005193819186</v>
      </c>
    </row>
    <row r="9684" spans="40:42" x14ac:dyDescent="0.3">
      <c r="AN9684">
        <v>9680</v>
      </c>
      <c r="AO9684" s="11">
        <v>16918.52</v>
      </c>
      <c r="AP9684" s="9">
        <v>2.8968170879725772</v>
      </c>
    </row>
    <row r="9685" spans="40:42" x14ac:dyDescent="0.3">
      <c r="AN9685">
        <v>9681</v>
      </c>
      <c r="AO9685" s="11">
        <v>17305.599999999999</v>
      </c>
      <c r="AP9685" s="9">
        <v>2.9713288340311959</v>
      </c>
    </row>
    <row r="9686" spans="40:42" x14ac:dyDescent="0.3">
      <c r="AN9686">
        <v>9682</v>
      </c>
      <c r="AO9686" s="11">
        <v>32850.42</v>
      </c>
      <c r="AP9686" s="9">
        <v>3.5378311325836052</v>
      </c>
    </row>
    <row r="9687" spans="40:42" x14ac:dyDescent="0.3">
      <c r="AN9687">
        <v>9683</v>
      </c>
      <c r="AO9687" s="11">
        <v>19289.240000000002</v>
      </c>
      <c r="AP9687" s="9">
        <v>3.7443049485113695</v>
      </c>
    </row>
    <row r="9688" spans="40:42" x14ac:dyDescent="0.3">
      <c r="AN9688">
        <v>9684</v>
      </c>
      <c r="AO9688" s="11">
        <v>38512.04</v>
      </c>
      <c r="AP9688" s="9">
        <v>4.0018174733088481</v>
      </c>
    </row>
    <row r="9689" spans="40:42" x14ac:dyDescent="0.3">
      <c r="AN9689">
        <v>9685</v>
      </c>
      <c r="AO9689" s="11">
        <v>33207.69</v>
      </c>
      <c r="AP9689" s="9">
        <v>3.1843857469946473</v>
      </c>
    </row>
    <row r="9690" spans="40:42" x14ac:dyDescent="0.3">
      <c r="AN9690">
        <v>9686</v>
      </c>
      <c r="AO9690" s="11">
        <v>42142.28</v>
      </c>
      <c r="AP9690" s="9">
        <v>3.9743553525624788</v>
      </c>
    </row>
    <row r="9691" spans="40:42" x14ac:dyDescent="0.3">
      <c r="AN9691">
        <v>9687</v>
      </c>
      <c r="AO9691" s="11">
        <v>31132.01</v>
      </c>
      <c r="AP9691" s="9">
        <v>3.5536769416038942</v>
      </c>
    </row>
    <row r="9692" spans="40:42" x14ac:dyDescent="0.3">
      <c r="AN9692">
        <v>9688</v>
      </c>
      <c r="AO9692" s="11">
        <v>23957.62</v>
      </c>
      <c r="AP9692" s="9">
        <v>3.652105339512679</v>
      </c>
    </row>
    <row r="9693" spans="40:42" x14ac:dyDescent="0.3">
      <c r="AN9693">
        <v>9689</v>
      </c>
      <c r="AO9693" s="11">
        <v>21177.16</v>
      </c>
      <c r="AP9693" s="9">
        <v>3.2966246209505901</v>
      </c>
    </row>
    <row r="9694" spans="40:42" x14ac:dyDescent="0.3">
      <c r="AN9694">
        <v>9690</v>
      </c>
      <c r="AO9694" s="11">
        <v>18899.04</v>
      </c>
      <c r="AP9694" s="9">
        <v>3.2156619150030283</v>
      </c>
    </row>
    <row r="9695" spans="40:42" x14ac:dyDescent="0.3">
      <c r="AN9695">
        <v>9691</v>
      </c>
      <c r="AO9695" s="11">
        <v>19839.66</v>
      </c>
      <c r="AP9695" s="9">
        <v>2.9932088182599292</v>
      </c>
    </row>
    <row r="9696" spans="40:42" x14ac:dyDescent="0.3">
      <c r="AN9696">
        <v>9692</v>
      </c>
      <c r="AO9696" s="11">
        <v>21836.42</v>
      </c>
      <c r="AP9696" s="9">
        <v>2.7573759754498832</v>
      </c>
    </row>
    <row r="9697" spans="40:42" x14ac:dyDescent="0.3">
      <c r="AN9697">
        <v>9693</v>
      </c>
      <c r="AO9697" s="11">
        <v>48135.15</v>
      </c>
      <c r="AP9697" s="9">
        <v>4.3651836822886345</v>
      </c>
    </row>
    <row r="9698" spans="40:42" x14ac:dyDescent="0.3">
      <c r="AN9698">
        <v>9694</v>
      </c>
      <c r="AO9698" s="11">
        <v>20084.189999999999</v>
      </c>
      <c r="AP9698" s="9">
        <v>3.5699685247153434</v>
      </c>
    </row>
    <row r="9699" spans="40:42" x14ac:dyDescent="0.3">
      <c r="AN9699">
        <v>9695</v>
      </c>
      <c r="AO9699" s="11">
        <v>22628.62</v>
      </c>
      <c r="AP9699" s="9">
        <v>2.9157700012935477</v>
      </c>
    </row>
    <row r="9700" spans="40:42" x14ac:dyDescent="0.3">
      <c r="AN9700">
        <v>9696</v>
      </c>
      <c r="AO9700" s="11">
        <v>21538.15</v>
      </c>
      <c r="AP9700" s="9">
        <v>3.4683398523243794</v>
      </c>
    </row>
    <row r="9701" spans="40:42" x14ac:dyDescent="0.3">
      <c r="AN9701">
        <v>9697</v>
      </c>
      <c r="AO9701" s="11">
        <v>31001.7</v>
      </c>
      <c r="AP9701" s="9">
        <v>3.1601594486222147</v>
      </c>
    </row>
    <row r="9702" spans="40:42" x14ac:dyDescent="0.3">
      <c r="AN9702">
        <v>9698</v>
      </c>
      <c r="AO9702" s="11">
        <v>31661.75</v>
      </c>
      <c r="AP9702" s="9">
        <v>3.6582461525978855</v>
      </c>
    </row>
    <row r="9703" spans="40:42" x14ac:dyDescent="0.3">
      <c r="AN9703">
        <v>9699</v>
      </c>
      <c r="AO9703" s="11">
        <v>23825.98</v>
      </c>
      <c r="AP9703" s="9">
        <v>3.3031767129259437</v>
      </c>
    </row>
    <row r="9704" spans="40:42" x14ac:dyDescent="0.3">
      <c r="AN9704">
        <v>9700</v>
      </c>
      <c r="AO9704" s="11">
        <v>28625.83</v>
      </c>
      <c r="AP9704" s="9">
        <v>3.1847850040008523</v>
      </c>
    </row>
    <row r="9705" spans="40:42" x14ac:dyDescent="0.3">
      <c r="AN9705">
        <v>9701</v>
      </c>
      <c r="AO9705" s="11">
        <v>24278.61</v>
      </c>
      <c r="AP9705" s="9">
        <v>2.9426348635881592</v>
      </c>
    </row>
    <row r="9706" spans="40:42" x14ac:dyDescent="0.3">
      <c r="AN9706">
        <v>9702</v>
      </c>
      <c r="AO9706" s="11">
        <v>26421.98</v>
      </c>
      <c r="AP9706" s="9">
        <v>3.5543226549899756</v>
      </c>
    </row>
    <row r="9707" spans="40:42" x14ac:dyDescent="0.3">
      <c r="AN9707">
        <v>9703</v>
      </c>
      <c r="AO9707" s="11">
        <v>33254.76</v>
      </c>
      <c r="AP9707" s="9">
        <v>3.967183451370135</v>
      </c>
    </row>
    <row r="9708" spans="40:42" x14ac:dyDescent="0.3">
      <c r="AN9708">
        <v>9704</v>
      </c>
      <c r="AO9708" s="11">
        <v>29090.560000000001</v>
      </c>
      <c r="AP9708" s="9">
        <v>3.306616075700838</v>
      </c>
    </row>
    <row r="9709" spans="40:42" x14ac:dyDescent="0.3">
      <c r="AN9709">
        <v>9705</v>
      </c>
      <c r="AO9709" s="11">
        <v>17135.55</v>
      </c>
      <c r="AP9709" s="9">
        <v>3.0302163746218467</v>
      </c>
    </row>
    <row r="9710" spans="40:42" x14ac:dyDescent="0.3">
      <c r="AN9710">
        <v>9706</v>
      </c>
      <c r="AO9710" s="11">
        <v>22180.18</v>
      </c>
      <c r="AP9710" s="9">
        <v>3.5642203620404089</v>
      </c>
    </row>
    <row r="9711" spans="40:42" x14ac:dyDescent="0.3">
      <c r="AN9711">
        <v>9707</v>
      </c>
      <c r="AO9711" s="11">
        <v>40761.4</v>
      </c>
      <c r="AP9711" s="9">
        <v>3.7863962860299014</v>
      </c>
    </row>
    <row r="9712" spans="40:42" x14ac:dyDescent="0.3">
      <c r="AN9712">
        <v>9708</v>
      </c>
      <c r="AO9712" s="11">
        <v>23394.18</v>
      </c>
      <c r="AP9712" s="9">
        <v>2.9252824526355217</v>
      </c>
    </row>
    <row r="9713" spans="40:42" x14ac:dyDescent="0.3">
      <c r="AN9713">
        <v>9709</v>
      </c>
      <c r="AO9713" s="11">
        <v>19346.759999999998</v>
      </c>
      <c r="AP9713" s="9">
        <v>3.1693766061277602</v>
      </c>
    </row>
    <row r="9714" spans="40:42" x14ac:dyDescent="0.3">
      <c r="AN9714">
        <v>9710</v>
      </c>
      <c r="AO9714" s="11">
        <v>25081.79</v>
      </c>
      <c r="AP9714" s="9">
        <v>3.4713904902634152</v>
      </c>
    </row>
    <row r="9715" spans="40:42" x14ac:dyDescent="0.3">
      <c r="AN9715">
        <v>9711</v>
      </c>
      <c r="AO9715" s="11">
        <v>21418.3</v>
      </c>
      <c r="AP9715" s="9">
        <v>3.669405196673055</v>
      </c>
    </row>
    <row r="9716" spans="40:42" x14ac:dyDescent="0.3">
      <c r="AN9716">
        <v>9712</v>
      </c>
      <c r="AO9716" s="11">
        <v>29688.97</v>
      </c>
      <c r="AP9716" s="9">
        <v>3.974610089552173</v>
      </c>
    </row>
    <row r="9717" spans="40:42" x14ac:dyDescent="0.3">
      <c r="AN9717">
        <v>9713</v>
      </c>
      <c r="AO9717" s="11">
        <v>23026.62</v>
      </c>
      <c r="AP9717" s="9">
        <v>4.0109237064254764</v>
      </c>
    </row>
    <row r="9718" spans="40:42" x14ac:dyDescent="0.3">
      <c r="AN9718">
        <v>9714</v>
      </c>
      <c r="AO9718" s="11">
        <v>20895</v>
      </c>
      <c r="AP9718" s="9">
        <v>3.0323001212215841</v>
      </c>
    </row>
    <row r="9719" spans="40:42" x14ac:dyDescent="0.3">
      <c r="AN9719">
        <v>9715</v>
      </c>
      <c r="AO9719" s="11">
        <v>16079.91</v>
      </c>
      <c r="AP9719" s="9">
        <v>2.9597887485664915</v>
      </c>
    </row>
    <row r="9720" spans="40:42" x14ac:dyDescent="0.3">
      <c r="AN9720">
        <v>9716</v>
      </c>
      <c r="AO9720" s="11">
        <v>31859.75</v>
      </c>
      <c r="AP9720" s="9">
        <v>4.266287044571337</v>
      </c>
    </row>
    <row r="9721" spans="40:42" x14ac:dyDescent="0.3">
      <c r="AN9721">
        <v>9717</v>
      </c>
      <c r="AO9721" s="11">
        <v>26570.639999999999</v>
      </c>
      <c r="AP9721" s="9">
        <v>3.3850271831478276</v>
      </c>
    </row>
    <row r="9722" spans="40:42" x14ac:dyDescent="0.3">
      <c r="AN9722">
        <v>9718</v>
      </c>
      <c r="AO9722" s="11">
        <v>23444.639999999999</v>
      </c>
      <c r="AP9722" s="9">
        <v>3.5323699608667987</v>
      </c>
    </row>
    <row r="9723" spans="40:42" x14ac:dyDescent="0.3">
      <c r="AN9723">
        <v>9719</v>
      </c>
      <c r="AO9723" s="11">
        <v>30874.97</v>
      </c>
      <c r="AP9723" s="9">
        <v>3.6946980537270115</v>
      </c>
    </row>
    <row r="9724" spans="40:42" x14ac:dyDescent="0.3">
      <c r="AN9724">
        <v>9720</v>
      </c>
      <c r="AO9724" s="11">
        <v>25209.17</v>
      </c>
      <c r="AP9724" s="9">
        <v>3.5580107136757082</v>
      </c>
    </row>
    <row r="9725" spans="40:42" x14ac:dyDescent="0.3">
      <c r="AN9725">
        <v>9721</v>
      </c>
      <c r="AO9725" s="11">
        <v>22908.080000000002</v>
      </c>
      <c r="AP9725" s="9">
        <v>3.1572012325412868</v>
      </c>
    </row>
    <row r="9726" spans="40:42" x14ac:dyDescent="0.3">
      <c r="AN9726">
        <v>9722</v>
      </c>
      <c r="AO9726" s="11">
        <v>34738.050000000003</v>
      </c>
      <c r="AP9726" s="9">
        <v>3.0079391962394033</v>
      </c>
    </row>
    <row r="9727" spans="40:42" x14ac:dyDescent="0.3">
      <c r="AN9727">
        <v>9723</v>
      </c>
      <c r="AO9727" s="11">
        <v>19090.93</v>
      </c>
      <c r="AP9727" s="9">
        <v>2.7986240796325781</v>
      </c>
    </row>
    <row r="9728" spans="40:42" x14ac:dyDescent="0.3">
      <c r="AN9728">
        <v>9724</v>
      </c>
      <c r="AO9728" s="11">
        <v>26564.38</v>
      </c>
      <c r="AP9728" s="9">
        <v>3.2768397324850111</v>
      </c>
    </row>
    <row r="9729" spans="40:42" x14ac:dyDescent="0.3">
      <c r="AN9729">
        <v>9725</v>
      </c>
      <c r="AO9729" s="11">
        <v>55054.879999999997</v>
      </c>
      <c r="AP9729" s="9">
        <v>3.9970510581526417</v>
      </c>
    </row>
    <row r="9730" spans="40:42" x14ac:dyDescent="0.3">
      <c r="AN9730">
        <v>9726</v>
      </c>
      <c r="AO9730" s="11">
        <v>22424.35</v>
      </c>
      <c r="AP9730" s="9">
        <v>2.8089310485610404</v>
      </c>
    </row>
    <row r="9731" spans="40:42" x14ac:dyDescent="0.3">
      <c r="AN9731">
        <v>9727</v>
      </c>
      <c r="AO9731" s="11">
        <v>28398.49</v>
      </c>
      <c r="AP9731" s="9">
        <v>3.271863795358553</v>
      </c>
    </row>
    <row r="9732" spans="40:42" x14ac:dyDescent="0.3">
      <c r="AN9732">
        <v>9728</v>
      </c>
      <c r="AO9732" s="11">
        <v>23252.35</v>
      </c>
      <c r="AP9732" s="9">
        <v>3.0156883837456352</v>
      </c>
    </row>
    <row r="9733" spans="40:42" x14ac:dyDescent="0.3">
      <c r="AN9733">
        <v>9729</v>
      </c>
      <c r="AO9733" s="11">
        <v>21960.32</v>
      </c>
      <c r="AP9733" s="9">
        <v>2.9273282268455971</v>
      </c>
    </row>
    <row r="9734" spans="40:42" x14ac:dyDescent="0.3">
      <c r="AN9734">
        <v>9730</v>
      </c>
      <c r="AO9734" s="11">
        <v>35323.07</v>
      </c>
      <c r="AP9734" s="9">
        <v>3.3128350059548155</v>
      </c>
    </row>
    <row r="9735" spans="40:42" x14ac:dyDescent="0.3">
      <c r="AN9735">
        <v>9731</v>
      </c>
      <c r="AO9735" s="11">
        <v>35329.620000000003</v>
      </c>
      <c r="AP9735" s="9">
        <v>3.2396512864222031</v>
      </c>
    </row>
    <row r="9736" spans="40:42" x14ac:dyDescent="0.3">
      <c r="AN9736">
        <v>9732</v>
      </c>
      <c r="AO9736" s="11">
        <v>25874.59</v>
      </c>
      <c r="AP9736" s="9">
        <v>3.5400276598335645</v>
      </c>
    </row>
    <row r="9737" spans="40:42" x14ac:dyDescent="0.3">
      <c r="AN9737">
        <v>9733</v>
      </c>
      <c r="AO9737" s="11">
        <v>40265.839999999997</v>
      </c>
      <c r="AP9737" s="9">
        <v>3.4077862502552891</v>
      </c>
    </row>
    <row r="9738" spans="40:42" x14ac:dyDescent="0.3">
      <c r="AN9738">
        <v>9734</v>
      </c>
      <c r="AO9738" s="11">
        <v>33114.03</v>
      </c>
      <c r="AP9738" s="9">
        <v>3.6925744312341906</v>
      </c>
    </row>
    <row r="9739" spans="40:42" x14ac:dyDescent="0.3">
      <c r="AN9739">
        <v>9735</v>
      </c>
      <c r="AO9739" s="11">
        <v>21431.59</v>
      </c>
      <c r="AP9739" s="9">
        <v>4.1358201325047483</v>
      </c>
    </row>
    <row r="9740" spans="40:42" x14ac:dyDescent="0.3">
      <c r="AN9740">
        <v>9736</v>
      </c>
      <c r="AO9740" s="11">
        <v>31999.58</v>
      </c>
      <c r="AP9740" s="9">
        <v>3.3896143768856701</v>
      </c>
    </row>
    <row r="9741" spans="40:42" x14ac:dyDescent="0.3">
      <c r="AN9741">
        <v>9737</v>
      </c>
      <c r="AO9741" s="11">
        <v>49658.87</v>
      </c>
      <c r="AP9741" s="9">
        <v>4.0140900406787781</v>
      </c>
    </row>
    <row r="9742" spans="40:42" x14ac:dyDescent="0.3">
      <c r="AN9742">
        <v>9738</v>
      </c>
      <c r="AO9742" s="11">
        <v>24667.84</v>
      </c>
      <c r="AP9742" s="9">
        <v>2.9990891281320162</v>
      </c>
    </row>
    <row r="9743" spans="40:42" x14ac:dyDescent="0.3">
      <c r="AN9743">
        <v>9739</v>
      </c>
      <c r="AO9743" s="11">
        <v>29250.71</v>
      </c>
      <c r="AP9743" s="9">
        <v>3.8534303028817782</v>
      </c>
    </row>
    <row r="9744" spans="40:42" x14ac:dyDescent="0.3">
      <c r="AN9744">
        <v>9740</v>
      </c>
      <c r="AO9744" s="11">
        <v>17727.13</v>
      </c>
      <c r="AP9744" s="9">
        <v>3.4002019589807562</v>
      </c>
    </row>
    <row r="9745" spans="40:42" x14ac:dyDescent="0.3">
      <c r="AN9745">
        <v>9741</v>
      </c>
      <c r="AO9745" s="11">
        <v>27094.77</v>
      </c>
      <c r="AP9745" s="9">
        <v>3.3504404955056222</v>
      </c>
    </row>
    <row r="9746" spans="40:42" x14ac:dyDescent="0.3">
      <c r="AN9746">
        <v>9742</v>
      </c>
      <c r="AO9746" s="11">
        <v>23606.53</v>
      </c>
      <c r="AP9746" s="9">
        <v>2.7631300256512565</v>
      </c>
    </row>
    <row r="9747" spans="40:42" x14ac:dyDescent="0.3">
      <c r="AN9747">
        <v>9743</v>
      </c>
      <c r="AO9747" s="11">
        <v>26895.65</v>
      </c>
      <c r="AP9747" s="9">
        <v>3.7524033470256315</v>
      </c>
    </row>
    <row r="9748" spans="40:42" x14ac:dyDescent="0.3">
      <c r="AN9748">
        <v>9744</v>
      </c>
      <c r="AO9748" s="11">
        <v>25780.5</v>
      </c>
      <c r="AP9748" s="9">
        <v>3.3696680858044021</v>
      </c>
    </row>
    <row r="9749" spans="40:42" x14ac:dyDescent="0.3">
      <c r="AN9749">
        <v>9745</v>
      </c>
      <c r="AO9749" s="11">
        <v>24232.7</v>
      </c>
      <c r="AP9749" s="9">
        <v>3.2399068777251241</v>
      </c>
    </row>
    <row r="9750" spans="40:42" x14ac:dyDescent="0.3">
      <c r="AN9750">
        <v>9746</v>
      </c>
      <c r="AO9750" s="11">
        <v>24671.41</v>
      </c>
      <c r="AP9750" s="9">
        <v>3.305992311129466</v>
      </c>
    </row>
    <row r="9751" spans="40:42" x14ac:dyDescent="0.3">
      <c r="AN9751">
        <v>9747</v>
      </c>
      <c r="AO9751" s="11">
        <v>23346.34</v>
      </c>
      <c r="AP9751" s="9">
        <v>3.3412315101000098</v>
      </c>
    </row>
    <row r="9752" spans="40:42" x14ac:dyDescent="0.3">
      <c r="AN9752">
        <v>9748</v>
      </c>
      <c r="AO9752" s="11">
        <v>32514.49</v>
      </c>
      <c r="AP9752" s="9">
        <v>3.5394088979634906</v>
      </c>
    </row>
    <row r="9753" spans="40:42" x14ac:dyDescent="0.3">
      <c r="AN9753">
        <v>9749</v>
      </c>
      <c r="AO9753" s="11">
        <v>23125.69</v>
      </c>
      <c r="AP9753" s="9">
        <v>3.2981459220374614</v>
      </c>
    </row>
    <row r="9754" spans="40:42" x14ac:dyDescent="0.3">
      <c r="AN9754">
        <v>9750</v>
      </c>
      <c r="AO9754" s="11">
        <v>30657.29</v>
      </c>
      <c r="AP9754" s="9">
        <v>3.1931828671290119</v>
      </c>
    </row>
    <row r="9755" spans="40:42" x14ac:dyDescent="0.3">
      <c r="AN9755">
        <v>9751</v>
      </c>
      <c r="AO9755" s="11">
        <v>37709.339999999997</v>
      </c>
      <c r="AP9755" s="9">
        <v>3.2078575477946929</v>
      </c>
    </row>
    <row r="9756" spans="40:42" x14ac:dyDescent="0.3">
      <c r="AN9756">
        <v>9752</v>
      </c>
      <c r="AO9756" s="11">
        <v>16803.349999999999</v>
      </c>
      <c r="AP9756" s="9">
        <v>2.8605709878341368</v>
      </c>
    </row>
    <row r="9757" spans="40:42" x14ac:dyDescent="0.3">
      <c r="AN9757">
        <v>9753</v>
      </c>
      <c r="AO9757" s="11">
        <v>39236.01</v>
      </c>
      <c r="AP9757" s="9">
        <v>3.5663594718785836</v>
      </c>
    </row>
    <row r="9758" spans="40:42" x14ac:dyDescent="0.3">
      <c r="AN9758">
        <v>9754</v>
      </c>
      <c r="AO9758" s="11">
        <v>26428.05</v>
      </c>
      <c r="AP9758" s="9">
        <v>3.1049545886489698</v>
      </c>
    </row>
    <row r="9759" spans="40:42" x14ac:dyDescent="0.3">
      <c r="AN9759">
        <v>9755</v>
      </c>
      <c r="AO9759" s="11">
        <v>24884.65</v>
      </c>
      <c r="AP9759" s="9">
        <v>3.544649229647709</v>
      </c>
    </row>
    <row r="9760" spans="40:42" x14ac:dyDescent="0.3">
      <c r="AN9760">
        <v>9756</v>
      </c>
      <c r="AO9760" s="11">
        <v>26850.65</v>
      </c>
      <c r="AP9760" s="9">
        <v>3.055891323784127</v>
      </c>
    </row>
    <row r="9761" spans="40:42" x14ac:dyDescent="0.3">
      <c r="AN9761">
        <v>9757</v>
      </c>
      <c r="AO9761" s="11">
        <v>34622.36</v>
      </c>
      <c r="AP9761" s="9">
        <v>3.8437779791842135</v>
      </c>
    </row>
    <row r="9762" spans="40:42" x14ac:dyDescent="0.3">
      <c r="AN9762">
        <v>9758</v>
      </c>
      <c r="AO9762" s="11">
        <v>34885.22</v>
      </c>
      <c r="AP9762" s="9">
        <v>2.865041085587662</v>
      </c>
    </row>
    <row r="9763" spans="40:42" x14ac:dyDescent="0.3">
      <c r="AN9763">
        <v>9759</v>
      </c>
      <c r="AO9763" s="11">
        <v>34546.29</v>
      </c>
      <c r="AP9763" s="9">
        <v>3.6092080198044529</v>
      </c>
    </row>
    <row r="9764" spans="40:42" x14ac:dyDescent="0.3">
      <c r="AN9764">
        <v>9760</v>
      </c>
      <c r="AO9764" s="11">
        <v>20346.22</v>
      </c>
      <c r="AP9764" s="9">
        <v>3.0171809413521413</v>
      </c>
    </row>
    <row r="9765" spans="40:42" x14ac:dyDescent="0.3">
      <c r="AN9765">
        <v>9761</v>
      </c>
      <c r="AO9765" s="11">
        <v>28385.67</v>
      </c>
      <c r="AP9765" s="9">
        <v>3.2015864273842909</v>
      </c>
    </row>
    <row r="9766" spans="40:42" x14ac:dyDescent="0.3">
      <c r="AN9766">
        <v>9762</v>
      </c>
      <c r="AO9766" s="11">
        <v>23287.14</v>
      </c>
      <c r="AP9766" s="9">
        <v>3.4551402476115833</v>
      </c>
    </row>
    <row r="9767" spans="40:42" x14ac:dyDescent="0.3">
      <c r="AN9767">
        <v>9763</v>
      </c>
      <c r="AO9767" s="11">
        <v>27147.119999999999</v>
      </c>
      <c r="AP9767" s="9">
        <v>3.1863892692995992</v>
      </c>
    </row>
    <row r="9768" spans="40:42" x14ac:dyDescent="0.3">
      <c r="AN9768">
        <v>9764</v>
      </c>
      <c r="AO9768" s="11">
        <v>19539.59</v>
      </c>
      <c r="AP9768" s="9">
        <v>3.5044759068594415</v>
      </c>
    </row>
    <row r="9769" spans="40:42" x14ac:dyDescent="0.3">
      <c r="AN9769">
        <v>9765</v>
      </c>
      <c r="AO9769" s="11">
        <v>17354.240000000002</v>
      </c>
      <c r="AP9769" s="9">
        <v>3.289040164862052</v>
      </c>
    </row>
    <row r="9770" spans="40:42" x14ac:dyDescent="0.3">
      <c r="AN9770">
        <v>9766</v>
      </c>
      <c r="AO9770" s="11">
        <v>24015.59</v>
      </c>
      <c r="AP9770" s="9">
        <v>3.775611729845624</v>
      </c>
    </row>
    <row r="9771" spans="40:42" x14ac:dyDescent="0.3">
      <c r="AN9771">
        <v>9767</v>
      </c>
      <c r="AO9771" s="11">
        <v>28429.53</v>
      </c>
      <c r="AP9771" s="9">
        <v>3.1086674410802364</v>
      </c>
    </row>
    <row r="9772" spans="40:42" x14ac:dyDescent="0.3">
      <c r="AN9772">
        <v>9768</v>
      </c>
      <c r="AO9772" s="11">
        <v>18058.830000000002</v>
      </c>
      <c r="AP9772" s="9">
        <v>3.2409123748263342</v>
      </c>
    </row>
    <row r="9773" spans="40:42" x14ac:dyDescent="0.3">
      <c r="AN9773">
        <v>9769</v>
      </c>
      <c r="AO9773" s="11">
        <v>27483.9</v>
      </c>
      <c r="AP9773" s="9">
        <v>3.5991783404736801</v>
      </c>
    </row>
    <row r="9774" spans="40:42" x14ac:dyDescent="0.3">
      <c r="AN9774">
        <v>9770</v>
      </c>
      <c r="AO9774" s="11">
        <v>44872.49</v>
      </c>
      <c r="AP9774" s="9">
        <v>3.5888801967157717</v>
      </c>
    </row>
    <row r="9775" spans="40:42" x14ac:dyDescent="0.3">
      <c r="AN9775">
        <v>9771</v>
      </c>
      <c r="AO9775" s="11">
        <v>25500.62</v>
      </c>
      <c r="AP9775" s="9">
        <v>3.3881337592202292</v>
      </c>
    </row>
    <row r="9776" spans="40:42" x14ac:dyDescent="0.3">
      <c r="AN9776">
        <v>9772</v>
      </c>
      <c r="AO9776" s="11">
        <v>24522.880000000001</v>
      </c>
      <c r="AP9776" s="9">
        <v>3.4160424675317533</v>
      </c>
    </row>
    <row r="9777" spans="40:42" x14ac:dyDescent="0.3">
      <c r="AN9777">
        <v>9773</v>
      </c>
      <c r="AO9777" s="11">
        <v>20395.68</v>
      </c>
      <c r="AP9777" s="9">
        <v>3.1330314847783769</v>
      </c>
    </row>
    <row r="9778" spans="40:42" x14ac:dyDescent="0.3">
      <c r="AN9778">
        <v>9774</v>
      </c>
      <c r="AO9778" s="11">
        <v>30148.19</v>
      </c>
      <c r="AP9778" s="9">
        <v>4.0075541269604065</v>
      </c>
    </row>
    <row r="9779" spans="40:42" x14ac:dyDescent="0.3">
      <c r="AN9779">
        <v>9775</v>
      </c>
      <c r="AO9779" s="11">
        <v>18678.13</v>
      </c>
      <c r="AP9779" s="9">
        <v>3.0758560910639567</v>
      </c>
    </row>
    <row r="9780" spans="40:42" x14ac:dyDescent="0.3">
      <c r="AN9780">
        <v>9776</v>
      </c>
      <c r="AO9780" s="11">
        <v>29972.3</v>
      </c>
      <c r="AP9780" s="9">
        <v>3.5178915845733219</v>
      </c>
    </row>
    <row r="9781" spans="40:42" x14ac:dyDescent="0.3">
      <c r="AN9781">
        <v>9777</v>
      </c>
      <c r="AO9781" s="11">
        <v>25088.51</v>
      </c>
      <c r="AP9781" s="9">
        <v>2.8791220680299583</v>
      </c>
    </row>
    <row r="9782" spans="40:42" x14ac:dyDescent="0.3">
      <c r="AN9782">
        <v>9778</v>
      </c>
      <c r="AO9782" s="11">
        <v>19582.53</v>
      </c>
      <c r="AP9782" s="9">
        <v>3.3830534290156824</v>
      </c>
    </row>
    <row r="9783" spans="40:42" x14ac:dyDescent="0.3">
      <c r="AN9783">
        <v>9779</v>
      </c>
      <c r="AO9783" s="11">
        <v>29286.68</v>
      </c>
      <c r="AP9783" s="9">
        <v>3.6426431746660106</v>
      </c>
    </row>
    <row r="9784" spans="40:42" x14ac:dyDescent="0.3">
      <c r="AN9784">
        <v>9780</v>
      </c>
      <c r="AO9784" s="11">
        <v>22008.31</v>
      </c>
      <c r="AP9784" s="9">
        <v>3.1091742364977057</v>
      </c>
    </row>
    <row r="9785" spans="40:42" x14ac:dyDescent="0.3">
      <c r="AN9785">
        <v>9781</v>
      </c>
      <c r="AO9785" s="11">
        <v>24706.92</v>
      </c>
      <c r="AP9785" s="9">
        <v>3.1935936761716941</v>
      </c>
    </row>
    <row r="9786" spans="40:42" x14ac:dyDescent="0.3">
      <c r="AN9786">
        <v>9782</v>
      </c>
      <c r="AO9786" s="11">
        <v>30120.84</v>
      </c>
      <c r="AP9786" s="9">
        <v>3.0098199832436325</v>
      </c>
    </row>
    <row r="9787" spans="40:42" x14ac:dyDescent="0.3">
      <c r="AN9787">
        <v>9783</v>
      </c>
      <c r="AO9787" s="11">
        <v>35320.01</v>
      </c>
      <c r="AP9787" s="9">
        <v>3.240757440097179</v>
      </c>
    </row>
    <row r="9788" spans="40:42" x14ac:dyDescent="0.3">
      <c r="AN9788">
        <v>9784</v>
      </c>
      <c r="AO9788" s="11">
        <v>26637.27</v>
      </c>
      <c r="AP9788" s="9">
        <v>3.4818191560048684</v>
      </c>
    </row>
    <row r="9789" spans="40:42" x14ac:dyDescent="0.3">
      <c r="AN9789">
        <v>9785</v>
      </c>
      <c r="AO9789" s="11">
        <v>22958.34</v>
      </c>
      <c r="AP9789" s="9">
        <v>2.8141709257311494</v>
      </c>
    </row>
    <row r="9790" spans="40:42" x14ac:dyDescent="0.3">
      <c r="AN9790">
        <v>9786</v>
      </c>
      <c r="AO9790" s="11">
        <v>21137.29</v>
      </c>
      <c r="AP9790" s="9">
        <v>3.0259304627212833</v>
      </c>
    </row>
    <row r="9791" spans="40:42" x14ac:dyDescent="0.3">
      <c r="AN9791">
        <v>9787</v>
      </c>
      <c r="AO9791" s="11">
        <v>29042.86</v>
      </c>
      <c r="AP9791" s="9">
        <v>2.9043767305670629</v>
      </c>
    </row>
    <row r="9792" spans="40:42" x14ac:dyDescent="0.3">
      <c r="AN9792">
        <v>9788</v>
      </c>
      <c r="AO9792" s="11">
        <v>18829.25</v>
      </c>
      <c r="AP9792" s="9">
        <v>3.6422067604111747</v>
      </c>
    </row>
    <row r="9793" spans="40:42" x14ac:dyDescent="0.3">
      <c r="AN9793">
        <v>9789</v>
      </c>
      <c r="AO9793" s="11">
        <v>19874.560000000001</v>
      </c>
      <c r="AP9793" s="9">
        <v>2.7801965012726431</v>
      </c>
    </row>
    <row r="9794" spans="40:42" x14ac:dyDescent="0.3">
      <c r="AN9794">
        <v>9790</v>
      </c>
      <c r="AO9794" s="11">
        <v>31538.43</v>
      </c>
      <c r="AP9794" s="9">
        <v>3.8987460244053094</v>
      </c>
    </row>
    <row r="9795" spans="40:42" x14ac:dyDescent="0.3">
      <c r="AN9795">
        <v>9791</v>
      </c>
      <c r="AO9795" s="11">
        <v>18174.3</v>
      </c>
      <c r="AP9795" s="9">
        <v>3.1465276864386862</v>
      </c>
    </row>
    <row r="9796" spans="40:42" x14ac:dyDescent="0.3">
      <c r="AN9796">
        <v>9792</v>
      </c>
      <c r="AO9796" s="11">
        <v>17554.84</v>
      </c>
      <c r="AP9796" s="9">
        <v>3.185028088630474</v>
      </c>
    </row>
    <row r="9797" spans="40:42" x14ac:dyDescent="0.3">
      <c r="AN9797">
        <v>9793</v>
      </c>
      <c r="AO9797" s="11">
        <v>25697.27</v>
      </c>
      <c r="AP9797" s="9">
        <v>3.1480991805914678</v>
      </c>
    </row>
    <row r="9798" spans="40:42" x14ac:dyDescent="0.3">
      <c r="AN9798">
        <v>9794</v>
      </c>
      <c r="AO9798" s="11">
        <v>22657.57</v>
      </c>
      <c r="AP9798" s="9">
        <v>3.8888307913840974</v>
      </c>
    </row>
    <row r="9799" spans="40:42" x14ac:dyDescent="0.3">
      <c r="AN9799">
        <v>9795</v>
      </c>
      <c r="AO9799" s="11">
        <v>23297.77</v>
      </c>
      <c r="AP9799" s="9">
        <v>3.2377938670875186</v>
      </c>
    </row>
    <row r="9800" spans="40:42" x14ac:dyDescent="0.3">
      <c r="AN9800">
        <v>9796</v>
      </c>
      <c r="AO9800" s="11">
        <v>25264.23</v>
      </c>
      <c r="AP9800" s="9">
        <v>3.2314435267993602</v>
      </c>
    </row>
    <row r="9801" spans="40:42" x14ac:dyDescent="0.3">
      <c r="AN9801">
        <v>9797</v>
      </c>
      <c r="AO9801" s="11">
        <v>29266.23</v>
      </c>
      <c r="AP9801" s="9">
        <v>4.4253200354715512</v>
      </c>
    </row>
    <row r="9802" spans="40:42" x14ac:dyDescent="0.3">
      <c r="AN9802">
        <v>9798</v>
      </c>
      <c r="AO9802" s="11">
        <v>25217.95</v>
      </c>
      <c r="AP9802" s="9">
        <v>2.6908101607619357</v>
      </c>
    </row>
    <row r="9803" spans="40:42" x14ac:dyDescent="0.3">
      <c r="AN9803">
        <v>9799</v>
      </c>
      <c r="AO9803" s="11">
        <v>40520.83</v>
      </c>
      <c r="AP9803" s="9">
        <v>3.5563294076517464</v>
      </c>
    </row>
    <row r="9804" spans="40:42" x14ac:dyDescent="0.3">
      <c r="AN9804">
        <v>9800</v>
      </c>
      <c r="AO9804" s="11">
        <v>28081.360000000001</v>
      </c>
      <c r="AP9804" s="9">
        <v>3.6482552514599527</v>
      </c>
    </row>
    <row r="9805" spans="40:42" x14ac:dyDescent="0.3">
      <c r="AN9805">
        <v>9801</v>
      </c>
      <c r="AO9805" s="11">
        <v>29215.85</v>
      </c>
      <c r="AP9805" s="9">
        <v>3.1502261911124743</v>
      </c>
    </row>
    <row r="9806" spans="40:42" x14ac:dyDescent="0.3">
      <c r="AN9806">
        <v>9802</v>
      </c>
      <c r="AO9806" s="11">
        <v>43772.13</v>
      </c>
      <c r="AP9806" s="9">
        <v>3.2396404905992457</v>
      </c>
    </row>
    <row r="9807" spans="40:42" x14ac:dyDescent="0.3">
      <c r="AN9807">
        <v>9803</v>
      </c>
      <c r="AO9807" s="11">
        <v>26059.97</v>
      </c>
      <c r="AP9807" s="9">
        <v>2.9491978575773414</v>
      </c>
    </row>
    <row r="9808" spans="40:42" x14ac:dyDescent="0.3">
      <c r="AN9808">
        <v>9804</v>
      </c>
      <c r="AO9808" s="11">
        <v>25277.69</v>
      </c>
      <c r="AP9808" s="9">
        <v>3.099454983351678</v>
      </c>
    </row>
    <row r="9809" spans="40:42" x14ac:dyDescent="0.3">
      <c r="AN9809">
        <v>9805</v>
      </c>
      <c r="AO9809" s="11">
        <v>32020.97</v>
      </c>
      <c r="AP9809" s="9">
        <v>3.4639632669297225</v>
      </c>
    </row>
    <row r="9810" spans="40:42" x14ac:dyDescent="0.3">
      <c r="AN9810">
        <v>9806</v>
      </c>
      <c r="AO9810" s="11">
        <v>24814.69</v>
      </c>
      <c r="AP9810" s="9">
        <v>3.3895883835171023</v>
      </c>
    </row>
    <row r="9811" spans="40:42" x14ac:dyDescent="0.3">
      <c r="AN9811">
        <v>9807</v>
      </c>
      <c r="AO9811" s="11">
        <v>22216.61</v>
      </c>
      <c r="AP9811" s="9">
        <v>3.7435911643392998</v>
      </c>
    </row>
    <row r="9812" spans="40:42" x14ac:dyDescent="0.3">
      <c r="AN9812">
        <v>9808</v>
      </c>
      <c r="AO9812" s="11">
        <v>24891.94</v>
      </c>
      <c r="AP9812" s="9">
        <v>3.1167197513381724</v>
      </c>
    </row>
    <row r="9813" spans="40:42" x14ac:dyDescent="0.3">
      <c r="AN9813">
        <v>9809</v>
      </c>
      <c r="AO9813" s="11">
        <v>20745.919999999998</v>
      </c>
      <c r="AP9813" s="9">
        <v>2.8789458584418672</v>
      </c>
    </row>
    <row r="9814" spans="40:42" x14ac:dyDescent="0.3">
      <c r="AN9814">
        <v>9810</v>
      </c>
      <c r="AO9814" s="11">
        <v>35893.06</v>
      </c>
      <c r="AP9814" s="9">
        <v>3.2171588684780117</v>
      </c>
    </row>
    <row r="9815" spans="40:42" x14ac:dyDescent="0.3">
      <c r="AN9815">
        <v>9811</v>
      </c>
      <c r="AO9815" s="11">
        <v>30309.46</v>
      </c>
      <c r="AP9815" s="9">
        <v>3.359142159220287</v>
      </c>
    </row>
    <row r="9816" spans="40:42" x14ac:dyDescent="0.3">
      <c r="AN9816">
        <v>9812</v>
      </c>
      <c r="AO9816" s="11">
        <v>34512.660000000003</v>
      </c>
      <c r="AP9816" s="9">
        <v>3.3198850393181116</v>
      </c>
    </row>
    <row r="9817" spans="40:42" x14ac:dyDescent="0.3">
      <c r="AN9817">
        <v>9813</v>
      </c>
      <c r="AO9817" s="11">
        <v>32712.41</v>
      </c>
      <c r="AP9817" s="9">
        <v>3.9659009810337484</v>
      </c>
    </row>
    <row r="9818" spans="40:42" x14ac:dyDescent="0.3">
      <c r="AN9818">
        <v>9814</v>
      </c>
      <c r="AO9818" s="11">
        <v>28335.06</v>
      </c>
      <c r="AP9818" s="9">
        <v>4.176734930955309</v>
      </c>
    </row>
    <row r="9819" spans="40:42" x14ac:dyDescent="0.3">
      <c r="AN9819">
        <v>9815</v>
      </c>
      <c r="AO9819" s="11">
        <v>25687.03</v>
      </c>
      <c r="AP9819" s="9">
        <v>3.512767541291272</v>
      </c>
    </row>
    <row r="9820" spans="40:42" x14ac:dyDescent="0.3">
      <c r="AN9820">
        <v>9816</v>
      </c>
      <c r="AO9820" s="11">
        <v>29679.9</v>
      </c>
      <c r="AP9820" s="9">
        <v>4.3811495424912072</v>
      </c>
    </row>
    <row r="9821" spans="40:42" x14ac:dyDescent="0.3">
      <c r="AN9821">
        <v>9817</v>
      </c>
      <c r="AO9821" s="11">
        <v>37017.25</v>
      </c>
      <c r="AP9821" s="9">
        <v>3.7889645690431673</v>
      </c>
    </row>
    <row r="9822" spans="40:42" x14ac:dyDescent="0.3">
      <c r="AN9822">
        <v>9818</v>
      </c>
      <c r="AO9822" s="11">
        <v>36378.699999999997</v>
      </c>
      <c r="AP9822" s="9">
        <v>3.4494514902731099</v>
      </c>
    </row>
    <row r="9823" spans="40:42" x14ac:dyDescent="0.3">
      <c r="AN9823">
        <v>9819</v>
      </c>
      <c r="AO9823" s="11">
        <v>28924.47</v>
      </c>
      <c r="AP9823" s="9">
        <v>3.2652332453130377</v>
      </c>
    </row>
    <row r="9824" spans="40:42" x14ac:dyDescent="0.3">
      <c r="AN9824">
        <v>9820</v>
      </c>
      <c r="AO9824" s="11">
        <v>29919.43</v>
      </c>
      <c r="AP9824" s="9">
        <v>3.4284600614870113</v>
      </c>
    </row>
    <row r="9825" spans="40:42" x14ac:dyDescent="0.3">
      <c r="AN9825">
        <v>9821</v>
      </c>
      <c r="AO9825" s="11">
        <v>21937.360000000001</v>
      </c>
      <c r="AP9825" s="9">
        <v>3.7141553509495058</v>
      </c>
    </row>
    <row r="9826" spans="40:42" x14ac:dyDescent="0.3">
      <c r="AN9826">
        <v>9822</v>
      </c>
      <c r="AO9826" s="11">
        <v>30640.400000000001</v>
      </c>
      <c r="AP9826" s="9">
        <v>3.923391282536862</v>
      </c>
    </row>
    <row r="9827" spans="40:42" x14ac:dyDescent="0.3">
      <c r="AN9827">
        <v>9823</v>
      </c>
      <c r="AO9827" s="11">
        <v>26398.85</v>
      </c>
      <c r="AP9827" s="9">
        <v>3.4266276893064522</v>
      </c>
    </row>
    <row r="9828" spans="40:42" x14ac:dyDescent="0.3">
      <c r="AN9828">
        <v>9824</v>
      </c>
      <c r="AO9828" s="11">
        <v>27376.55</v>
      </c>
      <c r="AP9828" s="9">
        <v>3.0719903674630533</v>
      </c>
    </row>
    <row r="9829" spans="40:42" x14ac:dyDescent="0.3">
      <c r="AN9829">
        <v>9825</v>
      </c>
      <c r="AO9829" s="11">
        <v>26430.39</v>
      </c>
      <c r="AP9829" s="9">
        <v>3.2408815377933964</v>
      </c>
    </row>
    <row r="9830" spans="40:42" x14ac:dyDescent="0.3">
      <c r="AN9830">
        <v>9826</v>
      </c>
      <c r="AO9830" s="11">
        <v>33160.129999999997</v>
      </c>
      <c r="AP9830" s="9">
        <v>3.4177115215565794</v>
      </c>
    </row>
    <row r="9831" spans="40:42" x14ac:dyDescent="0.3">
      <c r="AN9831">
        <v>9827</v>
      </c>
      <c r="AO9831" s="11">
        <v>37092.449999999997</v>
      </c>
      <c r="AP9831" s="9">
        <v>3.2872625921576595</v>
      </c>
    </row>
    <row r="9832" spans="40:42" x14ac:dyDescent="0.3">
      <c r="AN9832">
        <v>9828</v>
      </c>
      <c r="AO9832" s="11">
        <v>25853.42</v>
      </c>
      <c r="AP9832" s="9">
        <v>3.2442151647349551</v>
      </c>
    </row>
    <row r="9833" spans="40:42" x14ac:dyDescent="0.3">
      <c r="AN9833">
        <v>9829</v>
      </c>
      <c r="AO9833" s="11">
        <v>27258.240000000002</v>
      </c>
      <c r="AP9833" s="9">
        <v>3.4592740746396951</v>
      </c>
    </row>
    <row r="9834" spans="40:42" x14ac:dyDescent="0.3">
      <c r="AN9834">
        <v>9830</v>
      </c>
      <c r="AO9834" s="11">
        <v>21160.02</v>
      </c>
      <c r="AP9834" s="9">
        <v>2.9996119744403722</v>
      </c>
    </row>
    <row r="9835" spans="40:42" x14ac:dyDescent="0.3">
      <c r="AN9835">
        <v>9831</v>
      </c>
      <c r="AO9835" s="11">
        <v>23112.48</v>
      </c>
      <c r="AP9835" s="9">
        <v>3.1499549075216575</v>
      </c>
    </row>
    <row r="9836" spans="40:42" x14ac:dyDescent="0.3">
      <c r="AN9836">
        <v>9832</v>
      </c>
      <c r="AO9836" s="11">
        <v>29666.97</v>
      </c>
      <c r="AP9836" s="9">
        <v>3.2063973315305563</v>
      </c>
    </row>
    <row r="9837" spans="40:42" x14ac:dyDescent="0.3">
      <c r="AN9837">
        <v>9833</v>
      </c>
      <c r="AO9837" s="11">
        <v>16704.78</v>
      </c>
      <c r="AP9837" s="9">
        <v>3.0400552747406793</v>
      </c>
    </row>
    <row r="9838" spans="40:42" x14ac:dyDescent="0.3">
      <c r="AN9838">
        <v>9834</v>
      </c>
      <c r="AO9838" s="11">
        <v>27366.68</v>
      </c>
      <c r="AP9838" s="9">
        <v>3.2206178697635814</v>
      </c>
    </row>
    <row r="9839" spans="40:42" x14ac:dyDescent="0.3">
      <c r="AN9839">
        <v>9835</v>
      </c>
      <c r="AO9839" s="11">
        <v>33129.78</v>
      </c>
      <c r="AP9839" s="9">
        <v>4.74939832190283</v>
      </c>
    </row>
    <row r="9840" spans="40:42" x14ac:dyDescent="0.3">
      <c r="AN9840">
        <v>9836</v>
      </c>
      <c r="AO9840" s="11">
        <v>14078.76</v>
      </c>
      <c r="AP9840" s="9">
        <v>2.8486814190407737</v>
      </c>
    </row>
    <row r="9841" spans="40:42" x14ac:dyDescent="0.3">
      <c r="AN9841">
        <v>9837</v>
      </c>
      <c r="AO9841" s="11">
        <v>31153.78</v>
      </c>
      <c r="AP9841" s="9">
        <v>4.1559707469708309</v>
      </c>
    </row>
    <row r="9842" spans="40:42" x14ac:dyDescent="0.3">
      <c r="AN9842">
        <v>9838</v>
      </c>
      <c r="AO9842" s="11">
        <v>30318.59</v>
      </c>
      <c r="AP9842" s="9">
        <v>3.9197741373708639</v>
      </c>
    </row>
    <row r="9843" spans="40:42" x14ac:dyDescent="0.3">
      <c r="AN9843">
        <v>9839</v>
      </c>
      <c r="AO9843" s="11">
        <v>32376.86</v>
      </c>
      <c r="AP9843" s="9">
        <v>3.5899253082523965</v>
      </c>
    </row>
    <row r="9844" spans="40:42" x14ac:dyDescent="0.3">
      <c r="AN9844">
        <v>9840</v>
      </c>
      <c r="AO9844" s="11">
        <v>25932.09</v>
      </c>
      <c r="AP9844" s="9">
        <v>3.4175316380709897</v>
      </c>
    </row>
    <row r="9845" spans="40:42" x14ac:dyDescent="0.3">
      <c r="AN9845">
        <v>9841</v>
      </c>
      <c r="AO9845" s="11">
        <v>24609.919999999998</v>
      </c>
      <c r="AP9845" s="9">
        <v>3.6514268414240809</v>
      </c>
    </row>
    <row r="9846" spans="40:42" x14ac:dyDescent="0.3">
      <c r="AN9846">
        <v>9842</v>
      </c>
      <c r="AO9846" s="11">
        <v>24752.45</v>
      </c>
      <c r="AP9846" s="9">
        <v>3.7051158857969542</v>
      </c>
    </row>
    <row r="9847" spans="40:42" x14ac:dyDescent="0.3">
      <c r="AN9847">
        <v>9843</v>
      </c>
      <c r="AO9847" s="11">
        <v>20238.62</v>
      </c>
      <c r="AP9847" s="9">
        <v>3.5360260421027023</v>
      </c>
    </row>
    <row r="9848" spans="40:42" x14ac:dyDescent="0.3">
      <c r="AN9848">
        <v>9844</v>
      </c>
      <c r="AO9848" s="11">
        <v>34714.800000000003</v>
      </c>
      <c r="AP9848" s="9">
        <v>4.5465531154828183</v>
      </c>
    </row>
    <row r="9849" spans="40:42" x14ac:dyDescent="0.3">
      <c r="AN9849">
        <v>9845</v>
      </c>
      <c r="AO9849" s="11">
        <v>31779.599999999999</v>
      </c>
      <c r="AP9849" s="9">
        <v>3.7298620149536688</v>
      </c>
    </row>
    <row r="9850" spans="40:42" x14ac:dyDescent="0.3">
      <c r="AN9850">
        <v>9846</v>
      </c>
      <c r="AO9850" s="11">
        <v>39378.69</v>
      </c>
      <c r="AP9850" s="9">
        <v>3.2464778976755873</v>
      </c>
    </row>
    <row r="9851" spans="40:42" x14ac:dyDescent="0.3">
      <c r="AN9851">
        <v>9847</v>
      </c>
      <c r="AO9851" s="11">
        <v>25009.42</v>
      </c>
      <c r="AP9851" s="9">
        <v>3.1942824037880553</v>
      </c>
    </row>
    <row r="9852" spans="40:42" x14ac:dyDescent="0.3">
      <c r="AN9852">
        <v>9848</v>
      </c>
      <c r="AO9852" s="11">
        <v>21091.18</v>
      </c>
      <c r="AP9852" s="9">
        <v>3.3450247217054483</v>
      </c>
    </row>
    <row r="9853" spans="40:42" x14ac:dyDescent="0.3">
      <c r="AN9853">
        <v>9849</v>
      </c>
      <c r="AO9853" s="11">
        <v>18672.740000000002</v>
      </c>
      <c r="AP9853" s="9">
        <v>2.8195864988190196</v>
      </c>
    </row>
    <row r="9854" spans="40:42" x14ac:dyDescent="0.3">
      <c r="AN9854">
        <v>9850</v>
      </c>
      <c r="AO9854" s="11">
        <v>18971.080000000002</v>
      </c>
      <c r="AP9854" s="9">
        <v>2.730196340625846</v>
      </c>
    </row>
    <row r="9855" spans="40:42" x14ac:dyDescent="0.3">
      <c r="AN9855">
        <v>9851</v>
      </c>
      <c r="AO9855" s="11">
        <v>23299.45</v>
      </c>
      <c r="AP9855" s="9">
        <v>3.3243021049993482</v>
      </c>
    </row>
    <row r="9856" spans="40:42" x14ac:dyDescent="0.3">
      <c r="AN9856">
        <v>9852</v>
      </c>
      <c r="AO9856" s="11">
        <v>17028.16</v>
      </c>
      <c r="AP9856" s="9">
        <v>2.6037603918969845</v>
      </c>
    </row>
    <row r="9857" spans="40:42" x14ac:dyDescent="0.3">
      <c r="AN9857">
        <v>9853</v>
      </c>
      <c r="AO9857" s="11">
        <v>34788.050000000003</v>
      </c>
      <c r="AP9857" s="9">
        <v>3.3912002284751321</v>
      </c>
    </row>
    <row r="9858" spans="40:42" x14ac:dyDescent="0.3">
      <c r="AN9858">
        <v>9854</v>
      </c>
      <c r="AO9858" s="11">
        <v>29237.98</v>
      </c>
      <c r="AP9858" s="9">
        <v>3.6391520251523639</v>
      </c>
    </row>
    <row r="9859" spans="40:42" x14ac:dyDescent="0.3">
      <c r="AN9859">
        <v>9855</v>
      </c>
      <c r="AO9859" s="11">
        <v>25630.34</v>
      </c>
      <c r="AP9859" s="9">
        <v>3.2976467511936725</v>
      </c>
    </row>
    <row r="9860" spans="40:42" x14ac:dyDescent="0.3">
      <c r="AN9860">
        <v>9856</v>
      </c>
      <c r="AO9860" s="11">
        <v>15292.97</v>
      </c>
      <c r="AP9860" s="9">
        <v>3.2171318559817079</v>
      </c>
    </row>
    <row r="9861" spans="40:42" x14ac:dyDescent="0.3">
      <c r="AN9861">
        <v>9857</v>
      </c>
      <c r="AO9861" s="11">
        <v>22271.32</v>
      </c>
      <c r="AP9861" s="9">
        <v>3.4675471563012135</v>
      </c>
    </row>
    <row r="9862" spans="40:42" x14ac:dyDescent="0.3">
      <c r="AN9862">
        <v>9858</v>
      </c>
      <c r="AO9862" s="11">
        <v>34652.980000000003</v>
      </c>
      <c r="AP9862" s="9">
        <v>3.0358313361871998</v>
      </c>
    </row>
    <row r="9863" spans="40:42" x14ac:dyDescent="0.3">
      <c r="AN9863">
        <v>9859</v>
      </c>
      <c r="AO9863" s="11">
        <v>36023.589999999997</v>
      </c>
      <c r="AP9863" s="9">
        <v>3.3922103121969895</v>
      </c>
    </row>
    <row r="9864" spans="40:42" x14ac:dyDescent="0.3">
      <c r="AN9864">
        <v>9860</v>
      </c>
      <c r="AO9864" s="11">
        <v>35026.480000000003</v>
      </c>
      <c r="AP9864" s="9">
        <v>3.9393031865008941</v>
      </c>
    </row>
    <row r="9865" spans="40:42" x14ac:dyDescent="0.3">
      <c r="AN9865">
        <v>9861</v>
      </c>
      <c r="AO9865" s="11">
        <v>18025.38</v>
      </c>
      <c r="AP9865" s="9">
        <v>3.0466509303257112</v>
      </c>
    </row>
    <row r="9866" spans="40:42" x14ac:dyDescent="0.3">
      <c r="AN9866">
        <v>9862</v>
      </c>
      <c r="AO9866" s="11">
        <v>39685.910000000003</v>
      </c>
      <c r="AP9866" s="9">
        <v>3.7590362045344752</v>
      </c>
    </row>
    <row r="9867" spans="40:42" x14ac:dyDescent="0.3">
      <c r="AN9867">
        <v>9863</v>
      </c>
      <c r="AO9867" s="11">
        <v>35586.339999999997</v>
      </c>
      <c r="AP9867" s="9">
        <v>3.423031666852578</v>
      </c>
    </row>
    <row r="9868" spans="40:42" x14ac:dyDescent="0.3">
      <c r="AN9868">
        <v>9864</v>
      </c>
      <c r="AO9868" s="11">
        <v>38478.879999999997</v>
      </c>
      <c r="AP9868" s="9">
        <v>3.1727447660100445</v>
      </c>
    </row>
    <row r="9869" spans="40:42" x14ac:dyDescent="0.3">
      <c r="AN9869">
        <v>9865</v>
      </c>
      <c r="AO9869" s="11">
        <v>27031.16</v>
      </c>
      <c r="AP9869" s="9">
        <v>3.3290300740722207</v>
      </c>
    </row>
    <row r="9870" spans="40:42" x14ac:dyDescent="0.3">
      <c r="AN9870">
        <v>9866</v>
      </c>
      <c r="AO9870" s="11">
        <v>16179.06</v>
      </c>
      <c r="AP9870" s="9">
        <v>3.3057936492089928</v>
      </c>
    </row>
    <row r="9871" spans="40:42" x14ac:dyDescent="0.3">
      <c r="AN9871">
        <v>9867</v>
      </c>
      <c r="AO9871" s="11">
        <v>30548.85</v>
      </c>
      <c r="AP9871" s="9">
        <v>4.2650788964686148</v>
      </c>
    </row>
    <row r="9872" spans="40:42" x14ac:dyDescent="0.3">
      <c r="AN9872">
        <v>9868</v>
      </c>
      <c r="AO9872" s="11">
        <v>19066.09</v>
      </c>
      <c r="AP9872" s="9">
        <v>3.3268547523032885</v>
      </c>
    </row>
    <row r="9873" spans="40:42" x14ac:dyDescent="0.3">
      <c r="AN9873">
        <v>9869</v>
      </c>
      <c r="AO9873" s="11">
        <v>21121.06</v>
      </c>
      <c r="AP9873" s="9">
        <v>2.9945170835963739</v>
      </c>
    </row>
    <row r="9874" spans="40:42" x14ac:dyDescent="0.3">
      <c r="AN9874">
        <v>9870</v>
      </c>
      <c r="AO9874" s="11">
        <v>26114.12</v>
      </c>
      <c r="AP9874" s="9">
        <v>3.4923329445735796</v>
      </c>
    </row>
    <row r="9875" spans="40:42" x14ac:dyDescent="0.3">
      <c r="AN9875">
        <v>9871</v>
      </c>
      <c r="AO9875" s="11">
        <v>26987.66</v>
      </c>
      <c r="AP9875" s="9">
        <v>3.6649808109999604</v>
      </c>
    </row>
    <row r="9876" spans="40:42" x14ac:dyDescent="0.3">
      <c r="AN9876">
        <v>9872</v>
      </c>
      <c r="AO9876" s="11">
        <v>30785.43</v>
      </c>
      <c r="AP9876" s="9">
        <v>4.2939001744302505</v>
      </c>
    </row>
    <row r="9877" spans="40:42" x14ac:dyDescent="0.3">
      <c r="AN9877">
        <v>9873</v>
      </c>
      <c r="AO9877" s="11">
        <v>33927.25</v>
      </c>
      <c r="AP9877" s="9">
        <v>3.8208213841665897</v>
      </c>
    </row>
    <row r="9878" spans="40:42" x14ac:dyDescent="0.3">
      <c r="AN9878">
        <v>9874</v>
      </c>
      <c r="AO9878" s="11">
        <v>15864.01</v>
      </c>
      <c r="AP9878" s="9">
        <v>2.6284325397713069</v>
      </c>
    </row>
    <row r="9879" spans="40:42" x14ac:dyDescent="0.3">
      <c r="AN9879">
        <v>9875</v>
      </c>
      <c r="AO9879" s="11">
        <v>23799.95</v>
      </c>
      <c r="AP9879" s="9">
        <v>2.9726175506214259</v>
      </c>
    </row>
    <row r="9880" spans="40:42" x14ac:dyDescent="0.3">
      <c r="AN9880">
        <v>9876</v>
      </c>
      <c r="AO9880" s="11">
        <v>25799.53</v>
      </c>
      <c r="AP9880" s="9">
        <v>3.3101596198756962</v>
      </c>
    </row>
    <row r="9881" spans="40:42" x14ac:dyDescent="0.3">
      <c r="AN9881">
        <v>9877</v>
      </c>
      <c r="AO9881" s="11">
        <v>25997.85</v>
      </c>
      <c r="AP9881" s="9">
        <v>3.7682063641222219</v>
      </c>
    </row>
    <row r="9882" spans="40:42" x14ac:dyDescent="0.3">
      <c r="AN9882">
        <v>9878</v>
      </c>
      <c r="AO9882" s="11">
        <v>24184.59</v>
      </c>
      <c r="AP9882" s="9">
        <v>3.0886448777325235</v>
      </c>
    </row>
    <row r="9883" spans="40:42" x14ac:dyDescent="0.3">
      <c r="AN9883">
        <v>9879</v>
      </c>
      <c r="AO9883" s="11">
        <v>35384.28</v>
      </c>
      <c r="AP9883" s="9">
        <v>3.816108414029705</v>
      </c>
    </row>
    <row r="9884" spans="40:42" x14ac:dyDescent="0.3">
      <c r="AN9884">
        <v>9880</v>
      </c>
      <c r="AO9884" s="11">
        <v>35141.980000000003</v>
      </c>
      <c r="AP9884" s="9">
        <v>3.171634977900252</v>
      </c>
    </row>
    <row r="9885" spans="40:42" x14ac:dyDescent="0.3">
      <c r="AN9885">
        <v>9881</v>
      </c>
      <c r="AO9885" s="11">
        <v>27220.04</v>
      </c>
      <c r="AP9885" s="9">
        <v>4.0652196626184063</v>
      </c>
    </row>
    <row r="9886" spans="40:42" x14ac:dyDescent="0.3">
      <c r="AN9886">
        <v>9882</v>
      </c>
      <c r="AO9886" s="11">
        <v>41356.32</v>
      </c>
      <c r="AP9886" s="9">
        <v>3.6858488567007521</v>
      </c>
    </row>
    <row r="9887" spans="40:42" x14ac:dyDescent="0.3">
      <c r="AN9887">
        <v>9883</v>
      </c>
      <c r="AO9887" s="11">
        <v>28829.88</v>
      </c>
      <c r="AP9887" s="9">
        <v>3.1816709867951887</v>
      </c>
    </row>
    <row r="9888" spans="40:42" x14ac:dyDescent="0.3">
      <c r="AN9888">
        <v>9884</v>
      </c>
      <c r="AO9888" s="11">
        <v>17980.240000000002</v>
      </c>
      <c r="AP9888" s="9">
        <v>3.4006742721931777</v>
      </c>
    </row>
    <row r="9889" spans="40:42" x14ac:dyDescent="0.3">
      <c r="AN9889">
        <v>9885</v>
      </c>
      <c r="AO9889" s="11">
        <v>45303.33</v>
      </c>
      <c r="AP9889" s="9">
        <v>3.6583752926159447</v>
      </c>
    </row>
    <row r="9890" spans="40:42" x14ac:dyDescent="0.3">
      <c r="AN9890">
        <v>9886</v>
      </c>
      <c r="AO9890" s="11">
        <v>26163.94</v>
      </c>
      <c r="AP9890" s="9">
        <v>3.1290188844275053</v>
      </c>
    </row>
    <row r="9891" spans="40:42" x14ac:dyDescent="0.3">
      <c r="AN9891">
        <v>9887</v>
      </c>
      <c r="AO9891" s="11">
        <v>46731.61</v>
      </c>
      <c r="AP9891" s="9">
        <v>3.3651935042020291</v>
      </c>
    </row>
    <row r="9892" spans="40:42" x14ac:dyDescent="0.3">
      <c r="AN9892">
        <v>9888</v>
      </c>
      <c r="AO9892" s="11">
        <v>28035.87</v>
      </c>
      <c r="AP9892" s="9">
        <v>3.1873151201799375</v>
      </c>
    </row>
    <row r="9893" spans="40:42" x14ac:dyDescent="0.3">
      <c r="AN9893">
        <v>9889</v>
      </c>
      <c r="AO9893" s="11">
        <v>37774.03</v>
      </c>
      <c r="AP9893" s="9">
        <v>4.0289766482259406</v>
      </c>
    </row>
    <row r="9894" spans="40:42" x14ac:dyDescent="0.3">
      <c r="AN9894">
        <v>9890</v>
      </c>
      <c r="AO9894" s="11">
        <v>24392.41</v>
      </c>
      <c r="AP9894" s="9">
        <v>3.4929354424356891</v>
      </c>
    </row>
    <row r="9895" spans="40:42" x14ac:dyDescent="0.3">
      <c r="AN9895">
        <v>9891</v>
      </c>
      <c r="AO9895" s="11">
        <v>19734.73</v>
      </c>
      <c r="AP9895" s="9">
        <v>3.6678300151571173</v>
      </c>
    </row>
    <row r="9896" spans="40:42" x14ac:dyDescent="0.3">
      <c r="AN9896">
        <v>9892</v>
      </c>
      <c r="AO9896" s="11">
        <v>30341.17</v>
      </c>
      <c r="AP9896" s="9">
        <v>3.8734300229103318</v>
      </c>
    </row>
    <row r="9897" spans="40:42" x14ac:dyDescent="0.3">
      <c r="AN9897">
        <v>9893</v>
      </c>
      <c r="AO9897" s="11">
        <v>30486.45</v>
      </c>
      <c r="AP9897" s="9">
        <v>3.7940821917353031</v>
      </c>
    </row>
    <row r="9898" spans="40:42" x14ac:dyDescent="0.3">
      <c r="AN9898">
        <v>9894</v>
      </c>
      <c r="AO9898" s="11">
        <v>36820.81</v>
      </c>
      <c r="AP9898" s="9">
        <v>3.8331605282847212</v>
      </c>
    </row>
    <row r="9899" spans="40:42" x14ac:dyDescent="0.3">
      <c r="AN9899">
        <v>9895</v>
      </c>
      <c r="AO9899" s="11">
        <v>35629.21</v>
      </c>
      <c r="AP9899" s="9">
        <v>3.7035135142812488</v>
      </c>
    </row>
    <row r="9900" spans="40:42" x14ac:dyDescent="0.3">
      <c r="AN9900">
        <v>9896</v>
      </c>
      <c r="AO9900" s="11">
        <v>22077.68</v>
      </c>
      <c r="AP9900" s="9">
        <v>3.5160282270248708</v>
      </c>
    </row>
    <row r="9901" spans="40:42" x14ac:dyDescent="0.3">
      <c r="AN9901">
        <v>9897</v>
      </c>
      <c r="AO9901" s="11">
        <v>39422.97</v>
      </c>
      <c r="AP9901" s="9">
        <v>4.4769969348175129</v>
      </c>
    </row>
    <row r="9902" spans="40:42" x14ac:dyDescent="0.3">
      <c r="AN9902">
        <v>9898</v>
      </c>
      <c r="AO9902" s="11">
        <v>27888.63</v>
      </c>
      <c r="AP9902" s="9">
        <v>3.1214243337160306</v>
      </c>
    </row>
    <row r="9903" spans="40:42" x14ac:dyDescent="0.3">
      <c r="AN9903">
        <v>9899</v>
      </c>
      <c r="AO9903" s="11">
        <v>22407.200000000001</v>
      </c>
      <c r="AP9903" s="9">
        <v>3.4850875896689848</v>
      </c>
    </row>
    <row r="9904" spans="40:42" x14ac:dyDescent="0.3">
      <c r="AN9904">
        <v>9900</v>
      </c>
      <c r="AO9904" s="11">
        <v>37414.92</v>
      </c>
      <c r="AP9904" s="9">
        <v>4.1016225436057443</v>
      </c>
    </row>
    <row r="9905" spans="40:42" x14ac:dyDescent="0.3">
      <c r="AN9905">
        <v>9901</v>
      </c>
      <c r="AO9905" s="11">
        <v>14792.33</v>
      </c>
      <c r="AP9905" s="9">
        <v>2.7281092487216196</v>
      </c>
    </row>
    <row r="9906" spans="40:42" x14ac:dyDescent="0.3">
      <c r="AN9906">
        <v>9902</v>
      </c>
      <c r="AO9906" s="11">
        <v>27608.02</v>
      </c>
      <c r="AP9906" s="9">
        <v>3.7159962524953838</v>
      </c>
    </row>
    <row r="9907" spans="40:42" x14ac:dyDescent="0.3">
      <c r="AN9907">
        <v>9903</v>
      </c>
      <c r="AO9907" s="11">
        <v>17375.55</v>
      </c>
      <c r="AP9907" s="9">
        <v>3.291612646232561</v>
      </c>
    </row>
    <row r="9908" spans="40:42" x14ac:dyDescent="0.3">
      <c r="AN9908">
        <v>9904</v>
      </c>
      <c r="AO9908" s="11">
        <v>31847.59</v>
      </c>
      <c r="AP9908" s="9">
        <v>3.0332594336032548</v>
      </c>
    </row>
    <row r="9909" spans="40:42" x14ac:dyDescent="0.3">
      <c r="AN9909">
        <v>9905</v>
      </c>
      <c r="AO9909" s="11">
        <v>32611.75</v>
      </c>
      <c r="AP9909" s="9">
        <v>3.5636245018085093</v>
      </c>
    </row>
    <row r="9910" spans="40:42" x14ac:dyDescent="0.3">
      <c r="AN9910">
        <v>9906</v>
      </c>
      <c r="AO9910" s="11">
        <v>21845.85</v>
      </c>
      <c r="AP9910" s="9">
        <v>3.4074194947128849</v>
      </c>
    </row>
    <row r="9911" spans="40:42" x14ac:dyDescent="0.3">
      <c r="AN9911">
        <v>9907</v>
      </c>
      <c r="AO9911" s="11">
        <v>29769.63</v>
      </c>
      <c r="AP9911" s="9">
        <v>3.0394700424718439</v>
      </c>
    </row>
    <row r="9912" spans="40:42" x14ac:dyDescent="0.3">
      <c r="AN9912">
        <v>9908</v>
      </c>
      <c r="AO9912" s="11">
        <v>28404.62</v>
      </c>
      <c r="AP9912" s="9">
        <v>3.1540860647708748</v>
      </c>
    </row>
    <row r="9913" spans="40:42" x14ac:dyDescent="0.3">
      <c r="AN9913">
        <v>9909</v>
      </c>
      <c r="AO9913" s="11">
        <v>26628.9</v>
      </c>
      <c r="AP9913" s="9">
        <v>3.5382529848221638</v>
      </c>
    </row>
    <row r="9914" spans="40:42" x14ac:dyDescent="0.3">
      <c r="AN9914">
        <v>9910</v>
      </c>
      <c r="AO9914" s="11">
        <v>17411.98</v>
      </c>
      <c r="AP9914" s="9">
        <v>2.8412919422759928</v>
      </c>
    </row>
    <row r="9915" spans="40:42" x14ac:dyDescent="0.3">
      <c r="AN9915">
        <v>9911</v>
      </c>
      <c r="AO9915" s="11">
        <v>24470.55</v>
      </c>
      <c r="AP9915" s="9">
        <v>2.9771786145022885</v>
      </c>
    </row>
    <row r="9916" spans="40:42" x14ac:dyDescent="0.3">
      <c r="AN9916">
        <v>9912</v>
      </c>
      <c r="AO9916" s="11">
        <v>37716.26</v>
      </c>
      <c r="AP9916" s="9">
        <v>3.5579209438556312</v>
      </c>
    </row>
    <row r="9917" spans="40:42" x14ac:dyDescent="0.3">
      <c r="AN9917">
        <v>9913</v>
      </c>
      <c r="AO9917" s="11">
        <v>30859.61</v>
      </c>
      <c r="AP9917" s="9">
        <v>3.468398853683321</v>
      </c>
    </row>
    <row r="9918" spans="40:42" x14ac:dyDescent="0.3">
      <c r="AN9918">
        <v>9914</v>
      </c>
      <c r="AO9918" s="11">
        <v>28067.32</v>
      </c>
      <c r="AP9918" s="9">
        <v>3.7489206247409168</v>
      </c>
    </row>
    <row r="9919" spans="40:42" x14ac:dyDescent="0.3">
      <c r="AN9919">
        <v>9915</v>
      </c>
      <c r="AO9919" s="11">
        <v>23790.720000000001</v>
      </c>
      <c r="AP9919" s="9">
        <v>3.7640771395666195</v>
      </c>
    </row>
    <row r="9920" spans="40:42" x14ac:dyDescent="0.3">
      <c r="AN9920">
        <v>9916</v>
      </c>
      <c r="AO9920" s="11">
        <v>23547.17</v>
      </c>
      <c r="AP9920" s="9">
        <v>3.698173819119376</v>
      </c>
    </row>
    <row r="9921" spans="40:42" x14ac:dyDescent="0.3">
      <c r="AN9921">
        <v>9917</v>
      </c>
      <c r="AO9921" s="11">
        <v>32583.81</v>
      </c>
      <c r="AP9921" s="9">
        <v>3.9630853324152775</v>
      </c>
    </row>
    <row r="9922" spans="40:42" x14ac:dyDescent="0.3">
      <c r="AN9922">
        <v>9918</v>
      </c>
      <c r="AO9922" s="11">
        <v>28031.97</v>
      </c>
      <c r="AP9922" s="9">
        <v>3.1753097184838426</v>
      </c>
    </row>
    <row r="9923" spans="40:42" x14ac:dyDescent="0.3">
      <c r="AN9923">
        <v>9919</v>
      </c>
      <c r="AO9923" s="11">
        <v>22696.55</v>
      </c>
      <c r="AP9923" s="9">
        <v>3.369499090479497</v>
      </c>
    </row>
    <row r="9924" spans="40:42" x14ac:dyDescent="0.3">
      <c r="AN9924">
        <v>9920</v>
      </c>
      <c r="AO9924" s="11">
        <v>26422.87</v>
      </c>
      <c r="AP9924" s="9">
        <v>3.8502262234997628</v>
      </c>
    </row>
    <row r="9925" spans="40:42" x14ac:dyDescent="0.3">
      <c r="AN9925">
        <v>9921</v>
      </c>
      <c r="AO9925" s="11">
        <v>36712.01</v>
      </c>
      <c r="AP9925" s="9">
        <v>3.5138443770480237</v>
      </c>
    </row>
    <row r="9926" spans="40:42" x14ac:dyDescent="0.3">
      <c r="AN9926">
        <v>9922</v>
      </c>
      <c r="AO9926" s="11">
        <v>23859.87</v>
      </c>
      <c r="AP9926" s="9">
        <v>3.114358350134514</v>
      </c>
    </row>
    <row r="9927" spans="40:42" x14ac:dyDescent="0.3">
      <c r="AN9927">
        <v>9923</v>
      </c>
      <c r="AO9927" s="11">
        <v>29935.14</v>
      </c>
      <c r="AP9927" s="9">
        <v>3.6131249309835249</v>
      </c>
    </row>
    <row r="9928" spans="40:42" x14ac:dyDescent="0.3">
      <c r="AN9928">
        <v>9924</v>
      </c>
      <c r="AO9928" s="11">
        <v>28028.91</v>
      </c>
      <c r="AP9928" s="9">
        <v>3.9761960937181176</v>
      </c>
    </row>
    <row r="9929" spans="40:42" x14ac:dyDescent="0.3">
      <c r="AN9929">
        <v>9925</v>
      </c>
      <c r="AO9929" s="11">
        <v>18235.37</v>
      </c>
      <c r="AP9929" s="9">
        <v>3.1782879852357779</v>
      </c>
    </row>
    <row r="9930" spans="40:42" x14ac:dyDescent="0.3">
      <c r="AN9930">
        <v>9926</v>
      </c>
      <c r="AO9930" s="11">
        <v>26925.29</v>
      </c>
      <c r="AP9930" s="9">
        <v>3.3729832619503193</v>
      </c>
    </row>
    <row r="9931" spans="40:42" x14ac:dyDescent="0.3">
      <c r="AN9931">
        <v>9927</v>
      </c>
      <c r="AO9931" s="11">
        <v>22429.279999999999</v>
      </c>
      <c r="AP9931" s="9">
        <v>3.7674898778469843</v>
      </c>
    </row>
    <row r="9932" spans="40:42" x14ac:dyDescent="0.3">
      <c r="AN9932">
        <v>9928</v>
      </c>
      <c r="AO9932" s="11">
        <v>24753.01</v>
      </c>
      <c r="AP9932" s="9">
        <v>3.5681057542061487</v>
      </c>
    </row>
    <row r="9933" spans="40:42" x14ac:dyDescent="0.3">
      <c r="AN9933">
        <v>9929</v>
      </c>
      <c r="AO9933" s="11">
        <v>41181.82</v>
      </c>
      <c r="AP9933" s="9">
        <v>3.5155530235407775</v>
      </c>
    </row>
    <row r="9934" spans="40:42" x14ac:dyDescent="0.3">
      <c r="AN9934">
        <v>9930</v>
      </c>
      <c r="AO9934" s="11">
        <v>25307.91</v>
      </c>
      <c r="AP9934" s="9">
        <v>3.0433353612263216</v>
      </c>
    </row>
    <row r="9935" spans="40:42" x14ac:dyDescent="0.3">
      <c r="AN9935">
        <v>9931</v>
      </c>
      <c r="AO9935" s="11">
        <v>27296.959999999999</v>
      </c>
      <c r="AP9935" s="9">
        <v>3.2251907624794627</v>
      </c>
    </row>
    <row r="9936" spans="40:42" x14ac:dyDescent="0.3">
      <c r="AN9936">
        <v>9932</v>
      </c>
      <c r="AO9936" s="11">
        <v>31786.53</v>
      </c>
      <c r="AP9936" s="9">
        <v>3.2425722120263321</v>
      </c>
    </row>
    <row r="9937" spans="40:42" x14ac:dyDescent="0.3">
      <c r="AN9937">
        <v>9933</v>
      </c>
      <c r="AO9937" s="11">
        <v>35048.25</v>
      </c>
      <c r="AP9937" s="9">
        <v>3.1694268657873379</v>
      </c>
    </row>
    <row r="9938" spans="40:42" x14ac:dyDescent="0.3">
      <c r="AN9938">
        <v>9934</v>
      </c>
      <c r="AO9938" s="11">
        <v>30116.83</v>
      </c>
      <c r="AP9938" s="9">
        <v>3.199975621493365</v>
      </c>
    </row>
    <row r="9939" spans="40:42" x14ac:dyDescent="0.3">
      <c r="AN9939">
        <v>9935</v>
      </c>
      <c r="AO9939" s="11">
        <v>20815.13</v>
      </c>
      <c r="AP9939" s="9">
        <v>3.1866810033109325</v>
      </c>
    </row>
    <row r="9940" spans="40:42" x14ac:dyDescent="0.3">
      <c r="AN9940">
        <v>9936</v>
      </c>
      <c r="AO9940" s="11">
        <v>22916.84</v>
      </c>
      <c r="AP9940" s="9">
        <v>3.3068704532799069</v>
      </c>
    </row>
    <row r="9941" spans="40:42" x14ac:dyDescent="0.3">
      <c r="AN9941">
        <v>9937</v>
      </c>
      <c r="AO9941" s="11">
        <v>29060.89</v>
      </c>
      <c r="AP9941" s="9">
        <v>3.4239213236347155</v>
      </c>
    </row>
    <row r="9942" spans="40:42" x14ac:dyDescent="0.3">
      <c r="AN9942">
        <v>9938</v>
      </c>
      <c r="AO9942" s="11">
        <v>32363.52</v>
      </c>
      <c r="AP9942" s="9">
        <v>3.4931723272922235</v>
      </c>
    </row>
    <row r="9943" spans="40:42" x14ac:dyDescent="0.3">
      <c r="AN9943">
        <v>9939</v>
      </c>
      <c r="AO9943" s="11">
        <v>42748.66</v>
      </c>
      <c r="AP9943" s="9">
        <v>3.9971961564657836</v>
      </c>
    </row>
    <row r="9944" spans="40:42" x14ac:dyDescent="0.3">
      <c r="AN9944">
        <v>9940</v>
      </c>
      <c r="AO9944" s="11">
        <v>15532.41</v>
      </c>
      <c r="AP9944" s="9">
        <v>2.7752642139460519</v>
      </c>
    </row>
    <row r="9945" spans="40:42" x14ac:dyDescent="0.3">
      <c r="AN9945">
        <v>9941</v>
      </c>
      <c r="AO9945" s="11">
        <v>15633.31</v>
      </c>
      <c r="AP9945" s="9">
        <v>3.3789489103670283</v>
      </c>
    </row>
    <row r="9946" spans="40:42" x14ac:dyDescent="0.3">
      <c r="AN9946">
        <v>9942</v>
      </c>
      <c r="AO9946" s="11">
        <v>27786.2</v>
      </c>
      <c r="AP9946" s="9">
        <v>3.530195037170385</v>
      </c>
    </row>
    <row r="9947" spans="40:42" x14ac:dyDescent="0.3">
      <c r="AN9947">
        <v>9943</v>
      </c>
      <c r="AO9947" s="11">
        <v>27692.63</v>
      </c>
      <c r="AP9947" s="9">
        <v>2.9959560687720099</v>
      </c>
    </row>
    <row r="9948" spans="40:42" x14ac:dyDescent="0.3">
      <c r="AN9948">
        <v>9944</v>
      </c>
      <c r="AO9948" s="11">
        <v>27472.65</v>
      </c>
      <c r="AP9948" s="9">
        <v>3.37955771560507</v>
      </c>
    </row>
    <row r="9949" spans="40:42" x14ac:dyDescent="0.3">
      <c r="AN9949">
        <v>9945</v>
      </c>
      <c r="AO9949" s="11">
        <v>29043.93</v>
      </c>
      <c r="AP9949" s="9">
        <v>3.4051058023953136</v>
      </c>
    </row>
    <row r="9950" spans="40:42" x14ac:dyDescent="0.3">
      <c r="AN9950">
        <v>9946</v>
      </c>
      <c r="AO9950" s="11">
        <v>35715.19</v>
      </c>
      <c r="AP9950" s="9">
        <v>3.6473599907788139</v>
      </c>
    </row>
    <row r="9951" spans="40:42" x14ac:dyDescent="0.3">
      <c r="AN9951">
        <v>9947</v>
      </c>
      <c r="AO9951" s="11">
        <v>29323.360000000001</v>
      </c>
      <c r="AP9951" s="9">
        <v>3.4671442420103307</v>
      </c>
    </row>
    <row r="9952" spans="40:42" x14ac:dyDescent="0.3">
      <c r="AN9952">
        <v>9948</v>
      </c>
      <c r="AO9952" s="11">
        <v>11756.88</v>
      </c>
      <c r="AP9952" s="9">
        <v>2.9343663973099505</v>
      </c>
    </row>
    <row r="9953" spans="40:42" x14ac:dyDescent="0.3">
      <c r="AN9953">
        <v>9949</v>
      </c>
      <c r="AO9953" s="11">
        <v>28148.98</v>
      </c>
      <c r="AP9953" s="9">
        <v>3.4807249521271211</v>
      </c>
    </row>
    <row r="9954" spans="40:42" x14ac:dyDescent="0.3">
      <c r="AN9954">
        <v>9950</v>
      </c>
      <c r="AO9954" s="11">
        <v>19989.12</v>
      </c>
      <c r="AP9954" s="9">
        <v>3.0832039411914081</v>
      </c>
    </row>
    <row r="9955" spans="40:42" x14ac:dyDescent="0.3">
      <c r="AN9955">
        <v>9951</v>
      </c>
      <c r="AO9955" s="11">
        <v>43345.58</v>
      </c>
      <c r="AP9955" s="9">
        <v>4.5984608486910892</v>
      </c>
    </row>
    <row r="9956" spans="40:42" x14ac:dyDescent="0.3">
      <c r="AN9956">
        <v>9952</v>
      </c>
      <c r="AO9956" s="11">
        <v>22821.5</v>
      </c>
      <c r="AP9956" s="9">
        <v>3.780899762392862</v>
      </c>
    </row>
    <row r="9957" spans="40:42" x14ac:dyDescent="0.3">
      <c r="AN9957">
        <v>9953</v>
      </c>
      <c r="AO9957" s="11">
        <v>37087.35</v>
      </c>
      <c r="AP9957" s="9">
        <v>3.328393897654454</v>
      </c>
    </row>
    <row r="9958" spans="40:42" x14ac:dyDescent="0.3">
      <c r="AN9958">
        <v>9954</v>
      </c>
      <c r="AO9958" s="11">
        <v>27553.83</v>
      </c>
      <c r="AP9958" s="9">
        <v>3.8480139605680153</v>
      </c>
    </row>
    <row r="9959" spans="40:42" x14ac:dyDescent="0.3">
      <c r="AN9959">
        <v>9955</v>
      </c>
      <c r="AO9959" s="11">
        <v>24775.78</v>
      </c>
      <c r="AP9959" s="9">
        <v>3.5957055494375822</v>
      </c>
    </row>
    <row r="9960" spans="40:42" x14ac:dyDescent="0.3">
      <c r="AN9960">
        <v>9956</v>
      </c>
      <c r="AO9960" s="11">
        <v>22685.22</v>
      </c>
      <c r="AP9960" s="9">
        <v>3.4584579498973334</v>
      </c>
    </row>
    <row r="9961" spans="40:42" x14ac:dyDescent="0.3">
      <c r="AN9961">
        <v>9957</v>
      </c>
      <c r="AO9961" s="11">
        <v>28479.89</v>
      </c>
      <c r="AP9961" s="9">
        <v>3.2405586028097044</v>
      </c>
    </row>
    <row r="9962" spans="40:42" x14ac:dyDescent="0.3">
      <c r="AN9962">
        <v>9958</v>
      </c>
      <c r="AO9962" s="11">
        <v>24261.69</v>
      </c>
      <c r="AP9962" s="9">
        <v>3.3236390035228465</v>
      </c>
    </row>
    <row r="9963" spans="40:42" x14ac:dyDescent="0.3">
      <c r="AN9963">
        <v>9959</v>
      </c>
      <c r="AO9963" s="11">
        <v>24530.53</v>
      </c>
      <c r="AP9963" s="9">
        <v>3.2930676403750065</v>
      </c>
    </row>
    <row r="9964" spans="40:42" x14ac:dyDescent="0.3">
      <c r="AN9964">
        <v>9960</v>
      </c>
      <c r="AO9964" s="11">
        <v>21825.35</v>
      </c>
      <c r="AP9964" s="9">
        <v>3.2949201767901806</v>
      </c>
    </row>
    <row r="9965" spans="40:42" x14ac:dyDescent="0.3">
      <c r="AN9965">
        <v>9961</v>
      </c>
      <c r="AO9965" s="11">
        <v>16629.900000000001</v>
      </c>
      <c r="AP9965" s="9">
        <v>2.7844403551698957</v>
      </c>
    </row>
    <row r="9966" spans="40:42" x14ac:dyDescent="0.3">
      <c r="AN9966">
        <v>9962</v>
      </c>
      <c r="AO9966" s="11">
        <v>22095.46</v>
      </c>
      <c r="AP9966" s="9">
        <v>3.2783066121888451</v>
      </c>
    </row>
    <row r="9967" spans="40:42" x14ac:dyDescent="0.3">
      <c r="AN9967">
        <v>9963</v>
      </c>
      <c r="AO9967" s="11">
        <v>22151.59</v>
      </c>
      <c r="AP9967" s="9">
        <v>3.4262984680294277</v>
      </c>
    </row>
    <row r="9968" spans="40:42" x14ac:dyDescent="0.3">
      <c r="AN9968">
        <v>9964</v>
      </c>
      <c r="AO9968" s="11">
        <v>24461</v>
      </c>
      <c r="AP9968" s="9">
        <v>3.6324982289334748</v>
      </c>
    </row>
    <row r="9969" spans="40:42" x14ac:dyDescent="0.3">
      <c r="AN9969">
        <v>9965</v>
      </c>
      <c r="AO9969" s="11">
        <v>27269.74</v>
      </c>
      <c r="AP9969" s="9">
        <v>3.3439954713511644</v>
      </c>
    </row>
    <row r="9970" spans="40:42" x14ac:dyDescent="0.3">
      <c r="AN9970">
        <v>9966</v>
      </c>
      <c r="AO9970" s="11">
        <v>28849.62</v>
      </c>
      <c r="AP9970" s="9">
        <v>3.6638406693212531</v>
      </c>
    </row>
    <row r="9971" spans="40:42" x14ac:dyDescent="0.3">
      <c r="AN9971">
        <v>9967</v>
      </c>
      <c r="AO9971" s="11">
        <v>27639.84</v>
      </c>
      <c r="AP9971" s="9">
        <v>3.9345077508872883</v>
      </c>
    </row>
    <row r="9972" spans="40:42" x14ac:dyDescent="0.3">
      <c r="AN9972">
        <v>9968</v>
      </c>
      <c r="AO9972" s="11">
        <v>32395.35</v>
      </c>
      <c r="AP9972" s="9">
        <v>3.1638791660406582</v>
      </c>
    </row>
    <row r="9973" spans="40:42" x14ac:dyDescent="0.3">
      <c r="AN9973">
        <v>9969</v>
      </c>
      <c r="AO9973" s="11">
        <v>36525.21</v>
      </c>
      <c r="AP9973" s="9">
        <v>4.0066405987837914</v>
      </c>
    </row>
    <row r="9974" spans="40:42" x14ac:dyDescent="0.3">
      <c r="AN9974">
        <v>9970</v>
      </c>
      <c r="AO9974" s="11">
        <v>30456.97</v>
      </c>
      <c r="AP9974" s="9">
        <v>3.7072017555136769</v>
      </c>
    </row>
    <row r="9975" spans="40:42" x14ac:dyDescent="0.3">
      <c r="AN9975">
        <v>9971</v>
      </c>
      <c r="AO9975" s="11">
        <v>25406.400000000001</v>
      </c>
      <c r="AP9975" s="9">
        <v>4.0713927734966946</v>
      </c>
    </row>
    <row r="9976" spans="40:42" x14ac:dyDescent="0.3">
      <c r="AN9976">
        <v>9972</v>
      </c>
      <c r="AO9976" s="11">
        <v>30220.65</v>
      </c>
      <c r="AP9976" s="9">
        <v>3.5721944675562698</v>
      </c>
    </row>
    <row r="9977" spans="40:42" x14ac:dyDescent="0.3">
      <c r="AN9977">
        <v>9973</v>
      </c>
      <c r="AO9977" s="11">
        <v>27437.81</v>
      </c>
      <c r="AP9977" s="9">
        <v>3.375545426453185</v>
      </c>
    </row>
    <row r="9978" spans="40:42" x14ac:dyDescent="0.3">
      <c r="AN9978">
        <v>9974</v>
      </c>
      <c r="AO9978" s="11">
        <v>16982.990000000002</v>
      </c>
      <c r="AP9978" s="9">
        <v>3.0459921398563976</v>
      </c>
    </row>
    <row r="9979" spans="40:42" x14ac:dyDescent="0.3">
      <c r="AN9979">
        <v>9975</v>
      </c>
      <c r="AO9979" s="11">
        <v>37602.550000000003</v>
      </c>
      <c r="AP9979" s="9">
        <v>3.5218411425216534</v>
      </c>
    </row>
    <row r="9980" spans="40:42" x14ac:dyDescent="0.3">
      <c r="AN9980">
        <v>9976</v>
      </c>
      <c r="AO9980" s="11">
        <v>26047.759999999998</v>
      </c>
      <c r="AP9980" s="9">
        <v>4.1582401400540077</v>
      </c>
    </row>
    <row r="9981" spans="40:42" x14ac:dyDescent="0.3">
      <c r="AN9981">
        <v>9977</v>
      </c>
      <c r="AO9981" s="11">
        <v>25308.560000000001</v>
      </c>
      <c r="AP9981" s="9">
        <v>3.0522428760848079</v>
      </c>
    </row>
    <row r="9982" spans="40:42" x14ac:dyDescent="0.3">
      <c r="AN9982">
        <v>9978</v>
      </c>
      <c r="AO9982" s="11">
        <v>33741.39</v>
      </c>
      <c r="AP9982" s="9">
        <v>4.2154101854808541</v>
      </c>
    </row>
    <row r="9983" spans="40:42" x14ac:dyDescent="0.3">
      <c r="AN9983">
        <v>9979</v>
      </c>
      <c r="AO9983" s="11">
        <v>39013.49</v>
      </c>
      <c r="AP9983" s="9">
        <v>3.6509126797096263</v>
      </c>
    </row>
    <row r="9984" spans="40:42" x14ac:dyDescent="0.3">
      <c r="AN9984">
        <v>9980</v>
      </c>
      <c r="AO9984" s="11">
        <v>28273.97</v>
      </c>
      <c r="AP9984" s="9">
        <v>3.2862439527760783</v>
      </c>
    </row>
    <row r="9985" spans="40:42" x14ac:dyDescent="0.3">
      <c r="AN9985">
        <v>9981</v>
      </c>
      <c r="AO9985" s="11">
        <v>19936.73</v>
      </c>
      <c r="AP9985" s="9">
        <v>3.1911011640220286</v>
      </c>
    </row>
    <row r="9986" spans="40:42" x14ac:dyDescent="0.3">
      <c r="AN9986">
        <v>9982</v>
      </c>
      <c r="AO9986" s="11">
        <v>26785.88</v>
      </c>
      <c r="AP9986" s="9">
        <v>3.158314114953936</v>
      </c>
    </row>
    <row r="9987" spans="40:42" x14ac:dyDescent="0.3">
      <c r="AN9987">
        <v>9983</v>
      </c>
      <c r="AO9987" s="11">
        <v>21597.08</v>
      </c>
      <c r="AP9987" s="9">
        <v>3.3824356605896004</v>
      </c>
    </row>
    <row r="9988" spans="40:42" x14ac:dyDescent="0.3">
      <c r="AN9988">
        <v>9984</v>
      </c>
      <c r="AO9988" s="11">
        <v>20622.5</v>
      </c>
      <c r="AP9988" s="9">
        <v>3.7646443858593104</v>
      </c>
    </row>
    <row r="9989" spans="40:42" x14ac:dyDescent="0.3">
      <c r="AN9989">
        <v>9985</v>
      </c>
      <c r="AO9989" s="11">
        <v>19977.45</v>
      </c>
      <c r="AP9989" s="9">
        <v>3.3037928165573232</v>
      </c>
    </row>
    <row r="9990" spans="40:42" x14ac:dyDescent="0.3">
      <c r="AN9990">
        <v>9986</v>
      </c>
      <c r="AO9990" s="11">
        <v>26876.42</v>
      </c>
      <c r="AP9990" s="9">
        <v>3.0577354062903721</v>
      </c>
    </row>
    <row r="9991" spans="40:42" x14ac:dyDescent="0.3">
      <c r="AN9991">
        <v>9987</v>
      </c>
      <c r="AO9991" s="11">
        <v>20449.18</v>
      </c>
      <c r="AP9991" s="9">
        <v>2.5171927694919436</v>
      </c>
    </row>
    <row r="9992" spans="40:42" x14ac:dyDescent="0.3">
      <c r="AN9992">
        <v>9988</v>
      </c>
      <c r="AO9992" s="11">
        <v>21030.27</v>
      </c>
      <c r="AP9992" s="9">
        <v>3.4743036498014748</v>
      </c>
    </row>
    <row r="9993" spans="40:42" x14ac:dyDescent="0.3">
      <c r="AN9993">
        <v>9989</v>
      </c>
      <c r="AO9993" s="11">
        <v>24735.77</v>
      </c>
      <c r="AP9993" s="9">
        <v>3.1596625544291816</v>
      </c>
    </row>
    <row r="9994" spans="40:42" x14ac:dyDescent="0.3">
      <c r="AN9994">
        <v>9990</v>
      </c>
      <c r="AO9994" s="11">
        <v>42559.3</v>
      </c>
      <c r="AP9994" s="9">
        <v>3.413271462901772</v>
      </c>
    </row>
    <row r="9995" spans="40:42" x14ac:dyDescent="0.3">
      <c r="AN9995">
        <v>9991</v>
      </c>
      <c r="AO9995" s="11">
        <v>29962.14</v>
      </c>
      <c r="AP9995" s="9">
        <v>3.3514083311838005</v>
      </c>
    </row>
    <row r="9996" spans="40:42" x14ac:dyDescent="0.3">
      <c r="AN9996">
        <v>9992</v>
      </c>
      <c r="AO9996" s="11">
        <v>24731.07</v>
      </c>
      <c r="AP9996" s="9">
        <v>3.6318018033103185</v>
      </c>
    </row>
    <row r="9997" spans="40:42" x14ac:dyDescent="0.3">
      <c r="AN9997">
        <v>9993</v>
      </c>
      <c r="AO9997" s="11">
        <v>26483.17</v>
      </c>
      <c r="AP9997" s="9">
        <v>3.1503547034277917</v>
      </c>
    </row>
    <row r="9998" spans="40:42" x14ac:dyDescent="0.3">
      <c r="AN9998">
        <v>9994</v>
      </c>
      <c r="AO9998" s="11">
        <v>28346.91</v>
      </c>
      <c r="AP9998" s="9">
        <v>3.4090049781076197</v>
      </c>
    </row>
    <row r="9999" spans="40:42" x14ac:dyDescent="0.3">
      <c r="AN9999">
        <v>9995</v>
      </c>
      <c r="AO9999" s="11">
        <v>35204.22</v>
      </c>
      <c r="AP9999" s="9">
        <v>3.5021700538642357</v>
      </c>
    </row>
    <row r="10000" spans="40:42" x14ac:dyDescent="0.3">
      <c r="AN10000">
        <v>9996</v>
      </c>
      <c r="AO10000" s="11">
        <v>24519.78</v>
      </c>
      <c r="AP10000" s="9">
        <v>3.4456572346115983</v>
      </c>
    </row>
    <row r="10001" spans="40:42" x14ac:dyDescent="0.3">
      <c r="AN10001">
        <v>9997</v>
      </c>
      <c r="AO10001" s="11">
        <v>24424.81</v>
      </c>
      <c r="AP10001" s="9">
        <v>3.4728235182174259</v>
      </c>
    </row>
    <row r="10002" spans="40:42" x14ac:dyDescent="0.3">
      <c r="AN10002">
        <v>9998</v>
      </c>
      <c r="AO10002" s="11">
        <v>32743</v>
      </c>
      <c r="AP10002" s="9">
        <v>3.5294505494963091</v>
      </c>
    </row>
    <row r="10003" spans="40:42" x14ac:dyDescent="0.3">
      <c r="AN10003">
        <v>9999</v>
      </c>
      <c r="AO10003" s="11">
        <v>38768.53</v>
      </c>
      <c r="AP10003" s="9">
        <v>4.1279751191495517</v>
      </c>
    </row>
    <row r="10004" spans="40:42" x14ac:dyDescent="0.3">
      <c r="AN10004">
        <v>10000</v>
      </c>
      <c r="AO10004" s="11">
        <v>17468.66</v>
      </c>
      <c r="AP10004" s="9">
        <v>2.9665010883480187</v>
      </c>
    </row>
    <row r="10005" spans="40:42" x14ac:dyDescent="0.3">
      <c r="AN10005">
        <v>10001</v>
      </c>
      <c r="AO10005" s="11">
        <v>24740.17</v>
      </c>
      <c r="AP10005" s="9">
        <v>3.3735900363474407</v>
      </c>
    </row>
    <row r="10006" spans="40:42" x14ac:dyDescent="0.3">
      <c r="AN10006">
        <v>10002</v>
      </c>
      <c r="AO10006" s="11">
        <v>32686.59</v>
      </c>
      <c r="AP10006" s="9">
        <v>3.5087511276743024</v>
      </c>
    </row>
    <row r="10007" spans="40:42" x14ac:dyDescent="0.3">
      <c r="AN10007">
        <v>10003</v>
      </c>
      <c r="AO10007" s="11">
        <v>23212.74</v>
      </c>
      <c r="AP10007" s="9">
        <v>3.3360168988450374</v>
      </c>
    </row>
    <row r="10008" spans="40:42" x14ac:dyDescent="0.3">
      <c r="AN10008">
        <v>10004</v>
      </c>
      <c r="AO10008" s="11">
        <v>41220.26</v>
      </c>
      <c r="AP10008" s="9">
        <v>3.318236508656085</v>
      </c>
    </row>
    <row r="10009" spans="40:42" x14ac:dyDescent="0.3">
      <c r="AN10009">
        <v>10005</v>
      </c>
      <c r="AO10009" s="11">
        <v>33248.160000000003</v>
      </c>
      <c r="AP10009" s="9">
        <v>3.580238244913581</v>
      </c>
    </row>
    <row r="10010" spans="40:42" x14ac:dyDescent="0.3">
      <c r="AN10010">
        <v>10006</v>
      </c>
      <c r="AO10010" s="11">
        <v>27275.14</v>
      </c>
      <c r="AP10010" s="9">
        <v>3.4232830991194207</v>
      </c>
    </row>
    <row r="10011" spans="40:42" x14ac:dyDescent="0.3">
      <c r="AN10011">
        <v>10007</v>
      </c>
      <c r="AO10011" s="11">
        <v>23663.62</v>
      </c>
      <c r="AP10011" s="9">
        <v>2.4870753607122698</v>
      </c>
    </row>
    <row r="10012" spans="40:42" x14ac:dyDescent="0.3">
      <c r="AN10012">
        <v>10008</v>
      </c>
      <c r="AO10012" s="11">
        <v>14890.29</v>
      </c>
      <c r="AP10012" s="9">
        <v>3.1416389305393579</v>
      </c>
    </row>
    <row r="10013" spans="40:42" x14ac:dyDescent="0.3">
      <c r="AN10013">
        <v>10009</v>
      </c>
      <c r="AO10013" s="11">
        <v>19833.84</v>
      </c>
      <c r="AP10013" s="9">
        <v>3.7495968863069198</v>
      </c>
    </row>
    <row r="10014" spans="40:42" x14ac:dyDescent="0.3">
      <c r="AN10014">
        <v>10010</v>
      </c>
      <c r="AO10014" s="11">
        <v>26963.05</v>
      </c>
      <c r="AP10014" s="9">
        <v>3.433772021500562</v>
      </c>
    </row>
    <row r="10015" spans="40:42" x14ac:dyDescent="0.3">
      <c r="AN10015">
        <v>10011</v>
      </c>
      <c r="AO10015" s="11">
        <v>22995.01</v>
      </c>
      <c r="AP10015" s="9">
        <v>3.5978961553554383</v>
      </c>
    </row>
    <row r="10016" spans="40:42" x14ac:dyDescent="0.3">
      <c r="AN10016">
        <v>10012</v>
      </c>
      <c r="AO10016" s="11">
        <v>25917.119999999999</v>
      </c>
      <c r="AP10016" s="9">
        <v>3.6293485370483274</v>
      </c>
    </row>
    <row r="10017" spans="40:42" x14ac:dyDescent="0.3">
      <c r="AN10017">
        <v>10013</v>
      </c>
      <c r="AO10017" s="11">
        <v>28613.17</v>
      </c>
      <c r="AP10017" s="9">
        <v>3.5042825051514832</v>
      </c>
    </row>
    <row r="10018" spans="40:42" x14ac:dyDescent="0.3">
      <c r="AN10018">
        <v>10014</v>
      </c>
      <c r="AO10018" s="11">
        <v>30599.3</v>
      </c>
      <c r="AP10018" s="9">
        <v>3.3955275001713927</v>
      </c>
    </row>
    <row r="10019" spans="40:42" x14ac:dyDescent="0.3">
      <c r="AN10019">
        <v>10015</v>
      </c>
      <c r="AO10019" s="11">
        <v>16608.95</v>
      </c>
      <c r="AP10019" s="9">
        <v>3.0175191088125972</v>
      </c>
    </row>
    <row r="10020" spans="40:42" x14ac:dyDescent="0.3">
      <c r="AN10020">
        <v>10016</v>
      </c>
      <c r="AO10020" s="11">
        <v>34592.57</v>
      </c>
      <c r="AP10020" s="9">
        <v>2.9656953844595377</v>
      </c>
    </row>
    <row r="10021" spans="40:42" x14ac:dyDescent="0.3">
      <c r="AN10021">
        <v>10017</v>
      </c>
      <c r="AO10021" s="11">
        <v>16879.47</v>
      </c>
      <c r="AP10021" s="9">
        <v>2.8286555936905096</v>
      </c>
    </row>
    <row r="10022" spans="40:42" x14ac:dyDescent="0.3">
      <c r="AN10022">
        <v>10018</v>
      </c>
      <c r="AO10022" s="11">
        <v>39309.35</v>
      </c>
      <c r="AP10022" s="9">
        <v>3.5380631066009944</v>
      </c>
    </row>
    <row r="10023" spans="40:42" x14ac:dyDescent="0.3">
      <c r="AN10023">
        <v>10019</v>
      </c>
      <c r="AO10023" s="11">
        <v>39386.04</v>
      </c>
      <c r="AP10023" s="9">
        <v>3.3118235958342548</v>
      </c>
    </row>
    <row r="10024" spans="40:42" x14ac:dyDescent="0.3">
      <c r="AN10024">
        <v>10020</v>
      </c>
      <c r="AO10024" s="11">
        <v>22908.68</v>
      </c>
      <c r="AP10024" s="9">
        <v>3.9959989361302344</v>
      </c>
    </row>
    <row r="10025" spans="40:42" x14ac:dyDescent="0.3">
      <c r="AN10025">
        <v>10021</v>
      </c>
      <c r="AO10025" s="11">
        <v>15142.57</v>
      </c>
      <c r="AP10025" s="9">
        <v>2.8245387329369174</v>
      </c>
    </row>
    <row r="10026" spans="40:42" x14ac:dyDescent="0.3">
      <c r="AN10026">
        <v>10022</v>
      </c>
      <c r="AO10026" s="11">
        <v>19095.88</v>
      </c>
      <c r="AP10026" s="9">
        <v>3.5379540393309457</v>
      </c>
    </row>
    <row r="10027" spans="40:42" x14ac:dyDescent="0.3">
      <c r="AN10027">
        <v>10023</v>
      </c>
      <c r="AO10027" s="11">
        <v>25930.46</v>
      </c>
      <c r="AP10027" s="9">
        <v>2.7235611712976255</v>
      </c>
    </row>
    <row r="10028" spans="40:42" x14ac:dyDescent="0.3">
      <c r="AN10028">
        <v>10024</v>
      </c>
      <c r="AO10028" s="11">
        <v>43401.07</v>
      </c>
      <c r="AP10028" s="9">
        <v>4.1377956861525851</v>
      </c>
    </row>
    <row r="10029" spans="40:42" x14ac:dyDescent="0.3">
      <c r="AN10029">
        <v>10025</v>
      </c>
      <c r="AO10029" s="11">
        <v>28269.18</v>
      </c>
      <c r="AP10029" s="9">
        <v>3.3635398735626247</v>
      </c>
    </row>
    <row r="10030" spans="40:42" x14ac:dyDescent="0.3">
      <c r="AN10030">
        <v>10026</v>
      </c>
      <c r="AO10030" s="11">
        <v>20615.57</v>
      </c>
      <c r="AP10030" s="9">
        <v>3.3416344146837975</v>
      </c>
    </row>
    <row r="10031" spans="40:42" x14ac:dyDescent="0.3">
      <c r="AN10031">
        <v>10027</v>
      </c>
      <c r="AO10031" s="11">
        <v>30910.53</v>
      </c>
      <c r="AP10031" s="9">
        <v>4.2758344443235581</v>
      </c>
    </row>
    <row r="10032" spans="40:42" x14ac:dyDescent="0.3">
      <c r="AN10032">
        <v>10028</v>
      </c>
      <c r="AO10032" s="11">
        <v>20188.439999999999</v>
      </c>
      <c r="AP10032" s="9">
        <v>2.8947540478041263</v>
      </c>
    </row>
    <row r="10033" spans="40:42" x14ac:dyDescent="0.3">
      <c r="AN10033">
        <v>10029</v>
      </c>
      <c r="AO10033" s="11">
        <v>26245.759999999998</v>
      </c>
      <c r="AP10033" s="9">
        <v>2.9158376302265419</v>
      </c>
    </row>
    <row r="10034" spans="40:42" x14ac:dyDescent="0.3">
      <c r="AN10034">
        <v>10030</v>
      </c>
      <c r="AO10034" s="11">
        <v>25539.79</v>
      </c>
      <c r="AP10034" s="9">
        <v>3.4961183806985372</v>
      </c>
    </row>
    <row r="10035" spans="40:42" x14ac:dyDescent="0.3">
      <c r="AN10035">
        <v>10031</v>
      </c>
      <c r="AO10035" s="11">
        <v>20370.150000000001</v>
      </c>
      <c r="AP10035" s="9">
        <v>3.315548106936284</v>
      </c>
    </row>
    <row r="10036" spans="40:42" x14ac:dyDescent="0.3">
      <c r="AN10036">
        <v>10032</v>
      </c>
      <c r="AO10036" s="11">
        <v>34748.71</v>
      </c>
      <c r="AP10036" s="9">
        <v>3.693274437856684</v>
      </c>
    </row>
    <row r="10037" spans="40:42" x14ac:dyDescent="0.3">
      <c r="AN10037">
        <v>10033</v>
      </c>
      <c r="AO10037" s="11">
        <v>20824.169999999998</v>
      </c>
      <c r="AP10037" s="9">
        <v>3.3238795098766714</v>
      </c>
    </row>
    <row r="10038" spans="40:42" x14ac:dyDescent="0.3">
      <c r="AN10038">
        <v>10034</v>
      </c>
      <c r="AO10038" s="11">
        <v>23481.96</v>
      </c>
      <c r="AP10038" s="9">
        <v>3.1134819755875078</v>
      </c>
    </row>
    <row r="10039" spans="40:42" x14ac:dyDescent="0.3">
      <c r="AN10039">
        <v>10035</v>
      </c>
      <c r="AO10039" s="11">
        <v>16247.24</v>
      </c>
      <c r="AP10039" s="9">
        <v>3.0713518738169614</v>
      </c>
    </row>
    <row r="10040" spans="40:42" x14ac:dyDescent="0.3">
      <c r="AN10040">
        <v>10036</v>
      </c>
      <c r="AO10040" s="11">
        <v>38662.01</v>
      </c>
      <c r="AP10040" s="9">
        <v>3.8284730786691679</v>
      </c>
    </row>
    <row r="10041" spans="40:42" x14ac:dyDescent="0.3">
      <c r="AN10041">
        <v>10037</v>
      </c>
      <c r="AO10041" s="11">
        <v>28712.33</v>
      </c>
      <c r="AP10041" s="9">
        <v>3.6281381997765494</v>
      </c>
    </row>
    <row r="10042" spans="40:42" x14ac:dyDescent="0.3">
      <c r="AN10042">
        <v>10038</v>
      </c>
      <c r="AO10042" s="11">
        <v>24849.87</v>
      </c>
      <c r="AP10042" s="9">
        <v>3.5284351254296391</v>
      </c>
    </row>
    <row r="10043" spans="40:42" x14ac:dyDescent="0.3">
      <c r="AN10043">
        <v>10039</v>
      </c>
      <c r="AO10043" s="11">
        <v>25129.61</v>
      </c>
      <c r="AP10043" s="9">
        <v>2.8819991601170716</v>
      </c>
    </row>
    <row r="10044" spans="40:42" x14ac:dyDescent="0.3">
      <c r="AN10044">
        <v>10040</v>
      </c>
      <c r="AO10044" s="11">
        <v>23165.23</v>
      </c>
      <c r="AP10044" s="9">
        <v>3.3377558682517461</v>
      </c>
    </row>
    <row r="10045" spans="40:42" x14ac:dyDescent="0.3">
      <c r="AN10045">
        <v>10041</v>
      </c>
      <c r="AO10045" s="11">
        <v>35701.75</v>
      </c>
      <c r="AP10045" s="9">
        <v>4.1790951339706233</v>
      </c>
    </row>
    <row r="10046" spans="40:42" x14ac:dyDescent="0.3">
      <c r="AN10046">
        <v>10042</v>
      </c>
      <c r="AO10046" s="11">
        <v>30906.12</v>
      </c>
      <c r="AP10046" s="9">
        <v>3.2038868901540161</v>
      </c>
    </row>
    <row r="10047" spans="40:42" x14ac:dyDescent="0.3">
      <c r="AN10047">
        <v>10043</v>
      </c>
      <c r="AO10047" s="11">
        <v>38028.99</v>
      </c>
      <c r="AP10047" s="9">
        <v>4.3586022658752706</v>
      </c>
    </row>
    <row r="10048" spans="40:42" x14ac:dyDescent="0.3">
      <c r="AN10048">
        <v>10044</v>
      </c>
      <c r="AO10048" s="11">
        <v>29743.24</v>
      </c>
      <c r="AP10048" s="9">
        <v>3.4042446478613564</v>
      </c>
    </row>
    <row r="10049" spans="40:42" x14ac:dyDescent="0.3">
      <c r="AN10049">
        <v>10045</v>
      </c>
      <c r="AO10049" s="11">
        <v>22146.799999999999</v>
      </c>
      <c r="AP10049" s="9">
        <v>3.3730951190345433</v>
      </c>
    </row>
    <row r="10050" spans="40:42" x14ac:dyDescent="0.3">
      <c r="AN10050">
        <v>10046</v>
      </c>
      <c r="AO10050" s="11">
        <v>18269.89</v>
      </c>
      <c r="AP10050" s="9">
        <v>2.9262583775376898</v>
      </c>
    </row>
    <row r="10051" spans="40:42" x14ac:dyDescent="0.3">
      <c r="AN10051">
        <v>10047</v>
      </c>
      <c r="AO10051" s="11">
        <v>29796.44</v>
      </c>
      <c r="AP10051" s="9">
        <v>3.5644557051497485</v>
      </c>
    </row>
    <row r="10052" spans="40:42" x14ac:dyDescent="0.3">
      <c r="AN10052">
        <v>10048</v>
      </c>
      <c r="AO10052" s="11">
        <v>34189.25</v>
      </c>
      <c r="AP10052" s="9">
        <v>3.6334070091171662</v>
      </c>
    </row>
    <row r="10053" spans="40:42" x14ac:dyDescent="0.3">
      <c r="AN10053">
        <v>10049</v>
      </c>
      <c r="AO10053" s="11">
        <v>35536.92</v>
      </c>
      <c r="AP10053" s="9">
        <v>3.7227576620432044</v>
      </c>
    </row>
    <row r="10054" spans="40:42" x14ac:dyDescent="0.3">
      <c r="AN10054">
        <v>10050</v>
      </c>
      <c r="AO10054" s="11">
        <v>33300.519999999997</v>
      </c>
      <c r="AP10054" s="9">
        <v>3.9218512870268829</v>
      </c>
    </row>
    <row r="10055" spans="40:42" x14ac:dyDescent="0.3">
      <c r="AN10055">
        <v>10051</v>
      </c>
      <c r="AO10055" s="11">
        <v>21840.31</v>
      </c>
      <c r="AP10055" s="9">
        <v>3.5599722941594218</v>
      </c>
    </row>
    <row r="10056" spans="40:42" x14ac:dyDescent="0.3">
      <c r="AN10056">
        <v>10052</v>
      </c>
      <c r="AO10056" s="11">
        <v>39367.83</v>
      </c>
      <c r="AP10056" s="9">
        <v>3.7407996594695354</v>
      </c>
    </row>
    <row r="10057" spans="40:42" x14ac:dyDescent="0.3">
      <c r="AN10057">
        <v>10053</v>
      </c>
      <c r="AO10057" s="11">
        <v>28351.35</v>
      </c>
      <c r="AP10057" s="9">
        <v>3.5686808370372063</v>
      </c>
    </row>
    <row r="10058" spans="40:42" x14ac:dyDescent="0.3">
      <c r="AN10058">
        <v>10054</v>
      </c>
      <c r="AO10058" s="11">
        <v>26199.95</v>
      </c>
      <c r="AP10058" s="9">
        <v>3.9068601660641842</v>
      </c>
    </row>
    <row r="10059" spans="40:42" x14ac:dyDescent="0.3">
      <c r="AN10059">
        <v>10055</v>
      </c>
      <c r="AO10059" s="11">
        <v>26443.64</v>
      </c>
      <c r="AP10059" s="9">
        <v>3.2601480048884826</v>
      </c>
    </row>
    <row r="10060" spans="40:42" x14ac:dyDescent="0.3">
      <c r="AN10060">
        <v>10056</v>
      </c>
      <c r="AO10060" s="11">
        <v>21527.34</v>
      </c>
      <c r="AP10060" s="9">
        <v>3.1671666632014164</v>
      </c>
    </row>
    <row r="10061" spans="40:42" x14ac:dyDescent="0.3">
      <c r="AN10061">
        <v>10057</v>
      </c>
      <c r="AO10061" s="11">
        <v>21298.25</v>
      </c>
      <c r="AP10061" s="9">
        <v>3.1091587927264057</v>
      </c>
    </row>
    <row r="10062" spans="40:42" x14ac:dyDescent="0.3">
      <c r="AN10062">
        <v>10058</v>
      </c>
      <c r="AO10062" s="11">
        <v>29322.59</v>
      </c>
      <c r="AP10062" s="9">
        <v>3.2673478530918354</v>
      </c>
    </row>
    <row r="10063" spans="40:42" x14ac:dyDescent="0.3">
      <c r="AN10063">
        <v>10059</v>
      </c>
      <c r="AO10063" s="11">
        <v>26374.32</v>
      </c>
      <c r="AP10063" s="9">
        <v>3.3740885405322079</v>
      </c>
    </row>
    <row r="10064" spans="40:42" x14ac:dyDescent="0.3">
      <c r="AN10064">
        <v>10060</v>
      </c>
      <c r="AO10064" s="11">
        <v>29460.55</v>
      </c>
      <c r="AP10064" s="9">
        <v>3.4232826845198305</v>
      </c>
    </row>
    <row r="10065" spans="40:42" x14ac:dyDescent="0.3">
      <c r="AN10065">
        <v>10061</v>
      </c>
      <c r="AO10065" s="11">
        <v>25371.279999999999</v>
      </c>
      <c r="AP10065" s="9">
        <v>3.5036646016860127</v>
      </c>
    </row>
    <row r="10066" spans="40:42" x14ac:dyDescent="0.3">
      <c r="AN10066">
        <v>10062</v>
      </c>
      <c r="AO10066" s="11">
        <v>25295.9</v>
      </c>
      <c r="AP10066" s="9">
        <v>3.6492129263293771</v>
      </c>
    </row>
    <row r="10067" spans="40:42" x14ac:dyDescent="0.3">
      <c r="AN10067">
        <v>10063</v>
      </c>
      <c r="AO10067" s="11">
        <v>25863.279999999999</v>
      </c>
      <c r="AP10067" s="9">
        <v>3.5822548635968419</v>
      </c>
    </row>
    <row r="10068" spans="40:42" x14ac:dyDescent="0.3">
      <c r="AN10068">
        <v>10064</v>
      </c>
      <c r="AO10068" s="11">
        <v>26489.4</v>
      </c>
      <c r="AP10068" s="9">
        <v>3.5186660017258284</v>
      </c>
    </row>
    <row r="10069" spans="40:42" x14ac:dyDescent="0.3">
      <c r="AN10069">
        <v>10065</v>
      </c>
      <c r="AO10069" s="11">
        <v>39706.36</v>
      </c>
      <c r="AP10069" s="9">
        <v>3.2875150493576171</v>
      </c>
    </row>
    <row r="10070" spans="40:42" x14ac:dyDescent="0.3">
      <c r="AN10070">
        <v>10066</v>
      </c>
      <c r="AO10070" s="11">
        <v>36913.86</v>
      </c>
      <c r="AP10070" s="9">
        <v>3.9327276440308028</v>
      </c>
    </row>
    <row r="10071" spans="40:42" x14ac:dyDescent="0.3">
      <c r="AN10071">
        <v>10067</v>
      </c>
      <c r="AO10071" s="11">
        <v>27251.16</v>
      </c>
      <c r="AP10071" s="9">
        <v>4.1680391872109599</v>
      </c>
    </row>
    <row r="10072" spans="40:42" x14ac:dyDescent="0.3">
      <c r="AN10072">
        <v>10068</v>
      </c>
      <c r="AO10072" s="11">
        <v>27422.62</v>
      </c>
      <c r="AP10072" s="9">
        <v>2.8410402342714325</v>
      </c>
    </row>
    <row r="10073" spans="40:42" x14ac:dyDescent="0.3">
      <c r="AN10073">
        <v>10069</v>
      </c>
      <c r="AO10073" s="11">
        <v>12450.52</v>
      </c>
      <c r="AP10073" s="9">
        <v>2.859260678235708</v>
      </c>
    </row>
    <row r="10074" spans="40:42" x14ac:dyDescent="0.3">
      <c r="AN10074">
        <v>10070</v>
      </c>
      <c r="AO10074" s="11">
        <v>23828.959999999999</v>
      </c>
      <c r="AP10074" s="9">
        <v>3.7652111992584216</v>
      </c>
    </row>
    <row r="10075" spans="40:42" x14ac:dyDescent="0.3">
      <c r="AN10075">
        <v>10071</v>
      </c>
      <c r="AO10075" s="11">
        <v>18736.919999999998</v>
      </c>
      <c r="AP10075" s="9">
        <v>3.3484608855490574</v>
      </c>
    </row>
    <row r="10076" spans="40:42" x14ac:dyDescent="0.3">
      <c r="AN10076">
        <v>10072</v>
      </c>
      <c r="AO10076" s="11">
        <v>18973.259999999998</v>
      </c>
      <c r="AP10076" s="9">
        <v>3.6527356874322248</v>
      </c>
    </row>
    <row r="10077" spans="40:42" x14ac:dyDescent="0.3">
      <c r="AN10077">
        <v>10073</v>
      </c>
      <c r="AO10077" s="11">
        <v>25302.59</v>
      </c>
      <c r="AP10077" s="9">
        <v>3.5411130227942378</v>
      </c>
    </row>
    <row r="10078" spans="40:42" x14ac:dyDescent="0.3">
      <c r="AN10078">
        <v>10074</v>
      </c>
      <c r="AO10078" s="11">
        <v>18344.689999999999</v>
      </c>
      <c r="AP10078" s="9">
        <v>3.168082007129978</v>
      </c>
    </row>
    <row r="10079" spans="40:42" x14ac:dyDescent="0.3">
      <c r="AN10079">
        <v>10075</v>
      </c>
      <c r="AO10079" s="11">
        <v>36337.31</v>
      </c>
      <c r="AP10079" s="9">
        <v>3.5272574764957114</v>
      </c>
    </row>
    <row r="10080" spans="40:42" x14ac:dyDescent="0.3">
      <c r="AN10080">
        <v>10076</v>
      </c>
      <c r="AO10080" s="11">
        <v>35694.29</v>
      </c>
      <c r="AP10080" s="9">
        <v>3.461206919028506</v>
      </c>
    </row>
    <row r="10081" spans="40:42" x14ac:dyDescent="0.3">
      <c r="AN10081">
        <v>10077</v>
      </c>
      <c r="AO10081" s="11">
        <v>26790.3</v>
      </c>
      <c r="AP10081" s="9">
        <v>3.8135064297774504</v>
      </c>
    </row>
    <row r="10082" spans="40:42" x14ac:dyDescent="0.3">
      <c r="AN10082">
        <v>10078</v>
      </c>
      <c r="AO10082" s="11">
        <v>34399.120000000003</v>
      </c>
      <c r="AP10082" s="9">
        <v>3.6761284939613135</v>
      </c>
    </row>
    <row r="10083" spans="40:42" x14ac:dyDescent="0.3">
      <c r="AN10083">
        <v>10079</v>
      </c>
      <c r="AO10083" s="11">
        <v>30774.81</v>
      </c>
      <c r="AP10083" s="9">
        <v>3.4755306319727937</v>
      </c>
    </row>
    <row r="10084" spans="40:42" x14ac:dyDescent="0.3">
      <c r="AN10084">
        <v>10080</v>
      </c>
      <c r="AO10084" s="11">
        <v>32980.19</v>
      </c>
      <c r="AP10084" s="9">
        <v>3.4367595475579895</v>
      </c>
    </row>
    <row r="10085" spans="40:42" x14ac:dyDescent="0.3">
      <c r="AN10085">
        <v>10081</v>
      </c>
      <c r="AO10085" s="11">
        <v>28813.53</v>
      </c>
      <c r="AP10085" s="9">
        <v>2.9545383080828471</v>
      </c>
    </row>
    <row r="10086" spans="40:42" x14ac:dyDescent="0.3">
      <c r="AN10086">
        <v>10082</v>
      </c>
      <c r="AO10086" s="11">
        <v>26356.67</v>
      </c>
      <c r="AP10086" s="9">
        <v>4.0030036641860205</v>
      </c>
    </row>
    <row r="10087" spans="40:42" x14ac:dyDescent="0.3">
      <c r="AN10087">
        <v>10083</v>
      </c>
      <c r="AO10087" s="11">
        <v>22268.23</v>
      </c>
      <c r="AP10087" s="9">
        <v>3.0334609752122974</v>
      </c>
    </row>
    <row r="10088" spans="40:42" x14ac:dyDescent="0.3">
      <c r="AN10088">
        <v>10084</v>
      </c>
      <c r="AO10088" s="11">
        <v>37152.17</v>
      </c>
      <c r="AP10088" s="9">
        <v>3.7649846938547613</v>
      </c>
    </row>
    <row r="10089" spans="40:42" x14ac:dyDescent="0.3">
      <c r="AN10089">
        <v>10085</v>
      </c>
      <c r="AO10089" s="11">
        <v>20965.72</v>
      </c>
      <c r="AP10089" s="9">
        <v>3.4130357585868292</v>
      </c>
    </row>
    <row r="10090" spans="40:42" x14ac:dyDescent="0.3">
      <c r="AN10090">
        <v>10086</v>
      </c>
      <c r="AO10090" s="11">
        <v>53919.42</v>
      </c>
      <c r="AP10090" s="9">
        <v>3.4665529531019779</v>
      </c>
    </row>
    <row r="10091" spans="40:42" x14ac:dyDescent="0.3">
      <c r="AN10091">
        <v>10087</v>
      </c>
      <c r="AO10091" s="11">
        <v>19173.240000000002</v>
      </c>
      <c r="AP10091" s="9">
        <v>3.6659191612185946</v>
      </c>
    </row>
    <row r="10092" spans="40:42" x14ac:dyDescent="0.3">
      <c r="AN10092">
        <v>10088</v>
      </c>
      <c r="AO10092" s="11">
        <v>32199.17</v>
      </c>
      <c r="AP10092" s="9">
        <v>4.4226760034202464</v>
      </c>
    </row>
    <row r="10093" spans="40:42" x14ac:dyDescent="0.3">
      <c r="AN10093">
        <v>10089</v>
      </c>
      <c r="AO10093" s="11">
        <v>22248.67</v>
      </c>
      <c r="AP10093" s="9">
        <v>3.4550196398120887</v>
      </c>
    </row>
    <row r="10094" spans="40:42" x14ac:dyDescent="0.3">
      <c r="AN10094">
        <v>10090</v>
      </c>
      <c r="AO10094" s="11">
        <v>28231.34</v>
      </c>
      <c r="AP10094" s="9">
        <v>3.4204778107831477</v>
      </c>
    </row>
    <row r="10095" spans="40:42" x14ac:dyDescent="0.3">
      <c r="AN10095">
        <v>10091</v>
      </c>
      <c r="AO10095" s="11">
        <v>22491.29</v>
      </c>
      <c r="AP10095" s="9">
        <v>3.2030909317045824</v>
      </c>
    </row>
    <row r="10096" spans="40:42" x14ac:dyDescent="0.3">
      <c r="AN10096">
        <v>10092</v>
      </c>
      <c r="AO10096" s="11">
        <v>24933.9</v>
      </c>
      <c r="AP10096" s="9">
        <v>3.2541960906368259</v>
      </c>
    </row>
    <row r="10097" spans="40:42" x14ac:dyDescent="0.3">
      <c r="AN10097">
        <v>10093</v>
      </c>
      <c r="AO10097" s="11">
        <v>16720.72</v>
      </c>
      <c r="AP10097" s="9">
        <v>2.854923639030059</v>
      </c>
    </row>
    <row r="10098" spans="40:42" x14ac:dyDescent="0.3">
      <c r="AN10098">
        <v>10094</v>
      </c>
      <c r="AO10098" s="11">
        <v>25928.91</v>
      </c>
      <c r="AP10098" s="9">
        <v>3.3424485390506935</v>
      </c>
    </row>
    <row r="10099" spans="40:42" x14ac:dyDescent="0.3">
      <c r="AN10099">
        <v>10095</v>
      </c>
      <c r="AO10099" s="11">
        <v>26610.6</v>
      </c>
      <c r="AP10099" s="9">
        <v>3.0234265472602191</v>
      </c>
    </row>
    <row r="10100" spans="40:42" x14ac:dyDescent="0.3">
      <c r="AN10100">
        <v>10096</v>
      </c>
      <c r="AO10100" s="11">
        <v>29786.99</v>
      </c>
      <c r="AP10100" s="9">
        <v>3.1586026690703743</v>
      </c>
    </row>
    <row r="10101" spans="40:42" x14ac:dyDescent="0.3">
      <c r="AN10101">
        <v>10097</v>
      </c>
      <c r="AO10101" s="11">
        <v>22561.79</v>
      </c>
      <c r="AP10101" s="9">
        <v>2.8614520967192267</v>
      </c>
    </row>
    <row r="10102" spans="40:42" x14ac:dyDescent="0.3">
      <c r="AN10102">
        <v>10098</v>
      </c>
      <c r="AO10102" s="11">
        <v>21317.56</v>
      </c>
      <c r="AP10102" s="9">
        <v>2.8471256728628722</v>
      </c>
    </row>
    <row r="10103" spans="40:42" x14ac:dyDescent="0.3">
      <c r="AN10103">
        <v>10099</v>
      </c>
      <c r="AO10103" s="11">
        <v>28475.5</v>
      </c>
      <c r="AP10103" s="9">
        <v>3.5692425200839293</v>
      </c>
    </row>
    <row r="10104" spans="40:42" x14ac:dyDescent="0.3">
      <c r="AN10104">
        <v>10100</v>
      </c>
      <c r="AO10104" s="11">
        <v>27080.57</v>
      </c>
      <c r="AP10104" s="9">
        <v>3.6753494591336207</v>
      </c>
    </row>
    <row r="10105" spans="40:42" x14ac:dyDescent="0.3">
      <c r="AN10105">
        <v>10101</v>
      </c>
      <c r="AO10105" s="11">
        <v>19628.91</v>
      </c>
      <c r="AP10105" s="9">
        <v>3.1366463464339365</v>
      </c>
    </row>
    <row r="10106" spans="40:42" x14ac:dyDescent="0.3">
      <c r="AN10106">
        <v>10102</v>
      </c>
      <c r="AO10106" s="11">
        <v>17832.29</v>
      </c>
      <c r="AP10106" s="9">
        <v>3.005195774252635</v>
      </c>
    </row>
    <row r="10107" spans="40:42" x14ac:dyDescent="0.3">
      <c r="AN10107">
        <v>10103</v>
      </c>
      <c r="AO10107" s="11">
        <v>20829.32</v>
      </c>
      <c r="AP10107" s="9">
        <v>3.1798641820253373</v>
      </c>
    </row>
    <row r="10108" spans="40:42" x14ac:dyDescent="0.3">
      <c r="AN10108">
        <v>10104</v>
      </c>
      <c r="AO10108" s="11">
        <v>15371.48</v>
      </c>
      <c r="AP10108" s="9">
        <v>3.6478039946821483</v>
      </c>
    </row>
    <row r="10109" spans="40:42" x14ac:dyDescent="0.3">
      <c r="AN10109">
        <v>10105</v>
      </c>
      <c r="AO10109" s="11">
        <v>27914.22</v>
      </c>
      <c r="AP10109" s="9">
        <v>3.1290544832610241</v>
      </c>
    </row>
    <row r="10110" spans="40:42" x14ac:dyDescent="0.3">
      <c r="AN10110">
        <v>10106</v>
      </c>
      <c r="AO10110" s="11">
        <v>16285.89</v>
      </c>
      <c r="AP10110" s="9">
        <v>3.1013856835257574</v>
      </c>
    </row>
    <row r="10111" spans="40:42" x14ac:dyDescent="0.3">
      <c r="AN10111">
        <v>10107</v>
      </c>
      <c r="AO10111" s="11">
        <v>23296.06</v>
      </c>
      <c r="AP10111" s="9">
        <v>3.4851068617699585</v>
      </c>
    </row>
    <row r="10112" spans="40:42" x14ac:dyDescent="0.3">
      <c r="AN10112">
        <v>10108</v>
      </c>
      <c r="AO10112" s="11">
        <v>36397.22</v>
      </c>
      <c r="AP10112" s="9">
        <v>3.0077940382518769</v>
      </c>
    </row>
    <row r="10113" spans="40:42" x14ac:dyDescent="0.3">
      <c r="AN10113">
        <v>10109</v>
      </c>
      <c r="AO10113" s="11">
        <v>29865.439999999999</v>
      </c>
      <c r="AP10113" s="9">
        <v>3.5281739725751873</v>
      </c>
    </row>
    <row r="10114" spans="40:42" x14ac:dyDescent="0.3">
      <c r="AN10114">
        <v>10110</v>
      </c>
      <c r="AO10114" s="11">
        <v>17860.91</v>
      </c>
      <c r="AP10114" s="9">
        <v>3.04551725873009</v>
      </c>
    </row>
    <row r="10115" spans="40:42" x14ac:dyDescent="0.3">
      <c r="AN10115">
        <v>10111</v>
      </c>
      <c r="AO10115" s="11">
        <v>18809.16</v>
      </c>
      <c r="AP10115" s="9">
        <v>3.8193190770335894</v>
      </c>
    </row>
    <row r="10116" spans="40:42" x14ac:dyDescent="0.3">
      <c r="AN10116">
        <v>10112</v>
      </c>
      <c r="AO10116" s="11">
        <v>25322.04</v>
      </c>
      <c r="AP10116" s="9">
        <v>3.5144916592016715</v>
      </c>
    </row>
    <row r="10117" spans="40:42" x14ac:dyDescent="0.3">
      <c r="AN10117">
        <v>10113</v>
      </c>
      <c r="AO10117" s="11">
        <v>35036.980000000003</v>
      </c>
      <c r="AP10117" s="9">
        <v>3.8564675596187832</v>
      </c>
    </row>
    <row r="10118" spans="40:42" x14ac:dyDescent="0.3">
      <c r="AN10118">
        <v>10114</v>
      </c>
      <c r="AO10118" s="11">
        <v>21673.26</v>
      </c>
      <c r="AP10118" s="9">
        <v>3.460919861215086</v>
      </c>
    </row>
    <row r="10119" spans="40:42" x14ac:dyDescent="0.3">
      <c r="AN10119">
        <v>10115</v>
      </c>
      <c r="AO10119" s="11">
        <v>20442.099999999999</v>
      </c>
      <c r="AP10119" s="9">
        <v>3.3059759802487796</v>
      </c>
    </row>
    <row r="10120" spans="40:42" x14ac:dyDescent="0.3">
      <c r="AN10120">
        <v>10116</v>
      </c>
      <c r="AO10120" s="11">
        <v>23981.26</v>
      </c>
      <c r="AP10120" s="9">
        <v>3.0646832336309222</v>
      </c>
    </row>
    <row r="10121" spans="40:42" x14ac:dyDescent="0.3">
      <c r="AN10121">
        <v>10117</v>
      </c>
      <c r="AO10121" s="11">
        <v>21756.94</v>
      </c>
      <c r="AP10121" s="9">
        <v>3.4837571439856028</v>
      </c>
    </row>
    <row r="10122" spans="40:42" x14ac:dyDescent="0.3">
      <c r="AN10122">
        <v>10118</v>
      </c>
      <c r="AO10122" s="11">
        <v>33296.879999999997</v>
      </c>
      <c r="AP10122" s="9">
        <v>3.4835055283462242</v>
      </c>
    </row>
    <row r="10123" spans="40:42" x14ac:dyDescent="0.3">
      <c r="AN10123">
        <v>10119</v>
      </c>
      <c r="AO10123" s="11">
        <v>30126.85</v>
      </c>
      <c r="AP10123" s="9">
        <v>3.2393829899210131</v>
      </c>
    </row>
    <row r="10124" spans="40:42" x14ac:dyDescent="0.3">
      <c r="AN10124">
        <v>10120</v>
      </c>
      <c r="AO10124" s="11">
        <v>18730.14</v>
      </c>
      <c r="AP10124" s="9">
        <v>3.0350032233161892</v>
      </c>
    </row>
    <row r="10125" spans="40:42" x14ac:dyDescent="0.3">
      <c r="AN10125">
        <v>10121</v>
      </c>
      <c r="AO10125" s="11">
        <v>30001.63</v>
      </c>
      <c r="AP10125" s="9">
        <v>3.830871070447794</v>
      </c>
    </row>
    <row r="10126" spans="40:42" x14ac:dyDescent="0.3">
      <c r="AN10126">
        <v>10122</v>
      </c>
      <c r="AO10126" s="11">
        <v>24102.68</v>
      </c>
      <c r="AP10126" s="9">
        <v>3.3239080336616706</v>
      </c>
    </row>
    <row r="10127" spans="40:42" x14ac:dyDescent="0.3">
      <c r="AN10127">
        <v>10123</v>
      </c>
      <c r="AO10127" s="11">
        <v>17865.66</v>
      </c>
      <c r="AP10127" s="9">
        <v>2.7460035638300289</v>
      </c>
    </row>
    <row r="10128" spans="40:42" x14ac:dyDescent="0.3">
      <c r="AN10128">
        <v>10124</v>
      </c>
      <c r="AO10128" s="11">
        <v>23609.71</v>
      </c>
      <c r="AP10128" s="9">
        <v>3.3225337107352173</v>
      </c>
    </row>
    <row r="10129" spans="40:42" x14ac:dyDescent="0.3">
      <c r="AN10129">
        <v>10125</v>
      </c>
      <c r="AO10129" s="11">
        <v>23765.14</v>
      </c>
      <c r="AP10129" s="9">
        <v>2.963396287240823</v>
      </c>
    </row>
    <row r="10130" spans="40:42" x14ac:dyDescent="0.3">
      <c r="AN10130">
        <v>10126</v>
      </c>
      <c r="AO10130" s="11">
        <v>24384.1</v>
      </c>
      <c r="AP10130" s="9">
        <v>3.7080660052861978</v>
      </c>
    </row>
    <row r="10131" spans="40:42" x14ac:dyDescent="0.3">
      <c r="AN10131">
        <v>10127</v>
      </c>
      <c r="AO10131" s="11">
        <v>17916.77</v>
      </c>
      <c r="AP10131" s="9">
        <v>3.0732082318609373</v>
      </c>
    </row>
    <row r="10132" spans="40:42" x14ac:dyDescent="0.3">
      <c r="AN10132">
        <v>10128</v>
      </c>
      <c r="AO10132" s="11">
        <v>21415.14</v>
      </c>
      <c r="AP10132" s="9">
        <v>3.0290071555395586</v>
      </c>
    </row>
    <row r="10133" spans="40:42" x14ac:dyDescent="0.3">
      <c r="AN10133">
        <v>10129</v>
      </c>
      <c r="AO10133" s="11">
        <v>41471.4</v>
      </c>
      <c r="AP10133" s="9">
        <v>4.0995341527741402</v>
      </c>
    </row>
    <row r="10134" spans="40:42" x14ac:dyDescent="0.3">
      <c r="AN10134">
        <v>10130</v>
      </c>
      <c r="AO10134" s="11">
        <v>23471.29</v>
      </c>
      <c r="AP10134" s="9">
        <v>3.3802391300706147</v>
      </c>
    </row>
    <row r="10135" spans="40:42" x14ac:dyDescent="0.3">
      <c r="AN10135">
        <v>10131</v>
      </c>
      <c r="AO10135" s="11">
        <v>23289.77</v>
      </c>
      <c r="AP10135" s="9">
        <v>3.7538194651722878</v>
      </c>
    </row>
    <row r="10136" spans="40:42" x14ac:dyDescent="0.3">
      <c r="AN10136">
        <v>10132</v>
      </c>
      <c r="AO10136" s="11">
        <v>38131.18</v>
      </c>
      <c r="AP10136" s="9">
        <v>3.5086986755884051</v>
      </c>
    </row>
    <row r="10137" spans="40:42" x14ac:dyDescent="0.3">
      <c r="AN10137">
        <v>10133</v>
      </c>
      <c r="AO10137" s="11">
        <v>32004.959999999999</v>
      </c>
      <c r="AP10137" s="9">
        <v>3.0667626062831355</v>
      </c>
    </row>
    <row r="10138" spans="40:42" x14ac:dyDescent="0.3">
      <c r="AN10138">
        <v>10134</v>
      </c>
      <c r="AO10138" s="11">
        <v>39410.559999999998</v>
      </c>
      <c r="AP10138" s="9">
        <v>3.7157246799110659</v>
      </c>
    </row>
    <row r="10139" spans="40:42" x14ac:dyDescent="0.3">
      <c r="AN10139">
        <v>10135</v>
      </c>
      <c r="AO10139" s="11">
        <v>29586.29</v>
      </c>
      <c r="AP10139" s="9">
        <v>3.5182934116200162</v>
      </c>
    </row>
    <row r="10140" spans="40:42" x14ac:dyDescent="0.3">
      <c r="AN10140">
        <v>10136</v>
      </c>
      <c r="AO10140" s="11">
        <v>29573.88</v>
      </c>
      <c r="AP10140" s="9">
        <v>3.6145989347448881</v>
      </c>
    </row>
    <row r="10141" spans="40:42" x14ac:dyDescent="0.3">
      <c r="AN10141">
        <v>10137</v>
      </c>
      <c r="AO10141" s="11">
        <v>24794.41</v>
      </c>
      <c r="AP10141" s="9">
        <v>3.7544709584600202</v>
      </c>
    </row>
    <row r="10142" spans="40:42" x14ac:dyDescent="0.3">
      <c r="AN10142">
        <v>10138</v>
      </c>
      <c r="AO10142" s="11">
        <v>24462.65</v>
      </c>
      <c r="AP10142" s="9">
        <v>3.4267034483165317</v>
      </c>
    </row>
    <row r="10143" spans="40:42" x14ac:dyDescent="0.3">
      <c r="AN10143">
        <v>10139</v>
      </c>
      <c r="AO10143" s="11">
        <v>29843.91</v>
      </c>
      <c r="AP10143" s="9">
        <v>2.7355682756191895</v>
      </c>
    </row>
    <row r="10144" spans="40:42" x14ac:dyDescent="0.3">
      <c r="AN10144">
        <v>10140</v>
      </c>
      <c r="AO10144" s="11">
        <v>33335.65</v>
      </c>
      <c r="AP10144" s="9">
        <v>3.5500390794999634</v>
      </c>
    </row>
    <row r="10145" spans="40:42" x14ac:dyDescent="0.3">
      <c r="AN10145">
        <v>10141</v>
      </c>
      <c r="AO10145" s="11">
        <v>31730.55</v>
      </c>
      <c r="AP10145" s="9">
        <v>3.6444519820408008</v>
      </c>
    </row>
    <row r="10146" spans="40:42" x14ac:dyDescent="0.3">
      <c r="AN10146">
        <v>10142</v>
      </c>
      <c r="AO10146" s="11">
        <v>21912.799999999999</v>
      </c>
      <c r="AP10146" s="9">
        <v>3.2804423610689737</v>
      </c>
    </row>
    <row r="10147" spans="40:42" x14ac:dyDescent="0.3">
      <c r="AN10147">
        <v>10143</v>
      </c>
      <c r="AO10147" s="11">
        <v>22749.83</v>
      </c>
      <c r="AP10147" s="9">
        <v>3.2522340030235455</v>
      </c>
    </row>
    <row r="10148" spans="40:42" x14ac:dyDescent="0.3">
      <c r="AN10148">
        <v>10144</v>
      </c>
      <c r="AO10148" s="11">
        <v>30624.66</v>
      </c>
      <c r="AP10148" s="9">
        <v>3.7427236407553113</v>
      </c>
    </row>
    <row r="10149" spans="40:42" x14ac:dyDescent="0.3">
      <c r="AN10149">
        <v>10145</v>
      </c>
      <c r="AO10149" s="11">
        <v>17128.740000000002</v>
      </c>
      <c r="AP10149" s="9">
        <v>3.3949665080687441</v>
      </c>
    </row>
    <row r="10150" spans="40:42" x14ac:dyDescent="0.3">
      <c r="AN10150">
        <v>10146</v>
      </c>
      <c r="AO10150" s="11">
        <v>25774.01</v>
      </c>
      <c r="AP10150" s="9">
        <v>3.0655507999622258</v>
      </c>
    </row>
    <row r="10151" spans="40:42" x14ac:dyDescent="0.3">
      <c r="AN10151">
        <v>10147</v>
      </c>
      <c r="AO10151" s="11">
        <v>31766.75</v>
      </c>
      <c r="AP10151" s="9">
        <v>3.9223501479972187</v>
      </c>
    </row>
    <row r="10152" spans="40:42" x14ac:dyDescent="0.3">
      <c r="AN10152">
        <v>10148</v>
      </c>
      <c r="AO10152" s="11">
        <v>31012.31</v>
      </c>
      <c r="AP10152" s="9">
        <v>3.3093038281294866</v>
      </c>
    </row>
    <row r="10153" spans="40:42" x14ac:dyDescent="0.3">
      <c r="AN10153">
        <v>10149</v>
      </c>
      <c r="AO10153" s="11">
        <v>27669.16</v>
      </c>
      <c r="AP10153" s="9">
        <v>4.1872775048226121</v>
      </c>
    </row>
    <row r="10154" spans="40:42" x14ac:dyDescent="0.3">
      <c r="AN10154">
        <v>10150</v>
      </c>
      <c r="AO10154" s="11">
        <v>27469.34</v>
      </c>
      <c r="AP10154" s="9">
        <v>3.1791010524957599</v>
      </c>
    </row>
    <row r="10155" spans="40:42" x14ac:dyDescent="0.3">
      <c r="AN10155">
        <v>10151</v>
      </c>
      <c r="AO10155" s="11">
        <v>36750.1</v>
      </c>
      <c r="AP10155" s="9">
        <v>3.3619764563550159</v>
      </c>
    </row>
    <row r="10156" spans="40:42" x14ac:dyDescent="0.3">
      <c r="AN10156">
        <v>10152</v>
      </c>
      <c r="AO10156" s="11">
        <v>17193.599999999999</v>
      </c>
      <c r="AP10156" s="9">
        <v>2.5541485038613772</v>
      </c>
    </row>
    <row r="10157" spans="40:42" x14ac:dyDescent="0.3">
      <c r="AN10157">
        <v>10153</v>
      </c>
      <c r="AO10157" s="11">
        <v>20461.95</v>
      </c>
      <c r="AP10157" s="9">
        <v>3.3597122450110564</v>
      </c>
    </row>
    <row r="10158" spans="40:42" x14ac:dyDescent="0.3">
      <c r="AN10158">
        <v>10154</v>
      </c>
      <c r="AO10158" s="11">
        <v>25804.71</v>
      </c>
      <c r="AP10158" s="9">
        <v>3.1187852372910352</v>
      </c>
    </row>
    <row r="10159" spans="40:42" x14ac:dyDescent="0.3">
      <c r="AN10159">
        <v>10155</v>
      </c>
      <c r="AO10159" s="11">
        <v>39613.83</v>
      </c>
      <c r="AP10159" s="9">
        <v>3.2452826401006285</v>
      </c>
    </row>
    <row r="10160" spans="40:42" x14ac:dyDescent="0.3">
      <c r="AN10160">
        <v>10156</v>
      </c>
      <c r="AO10160" s="11">
        <v>23893.13</v>
      </c>
      <c r="AP10160" s="9">
        <v>3.242039992454409</v>
      </c>
    </row>
    <row r="10161" spans="40:42" x14ac:dyDescent="0.3">
      <c r="AN10161">
        <v>10157</v>
      </c>
      <c r="AO10161" s="11">
        <v>29434.06</v>
      </c>
      <c r="AP10161" s="9">
        <v>3.1737387678469857</v>
      </c>
    </row>
    <row r="10162" spans="40:42" x14ac:dyDescent="0.3">
      <c r="AN10162">
        <v>10158</v>
      </c>
      <c r="AO10162" s="11">
        <v>16741.63</v>
      </c>
      <c r="AP10162" s="9">
        <v>3.265893326797074</v>
      </c>
    </row>
    <row r="10163" spans="40:42" x14ac:dyDescent="0.3">
      <c r="AN10163">
        <v>10159</v>
      </c>
      <c r="AO10163" s="11">
        <v>35278.839999999997</v>
      </c>
      <c r="AP10163" s="9">
        <v>3.7805849405653644</v>
      </c>
    </row>
    <row r="10164" spans="40:42" x14ac:dyDescent="0.3">
      <c r="AN10164">
        <v>10160</v>
      </c>
      <c r="AO10164" s="11">
        <v>16192.06</v>
      </c>
      <c r="AP10164" s="9">
        <v>2.9239635206168222</v>
      </c>
    </row>
    <row r="10165" spans="40:42" x14ac:dyDescent="0.3">
      <c r="AN10165">
        <v>10161</v>
      </c>
      <c r="AO10165" s="11">
        <v>23432.9</v>
      </c>
      <c r="AP10165" s="9">
        <v>3.3133620887531015</v>
      </c>
    </row>
    <row r="10166" spans="40:42" x14ac:dyDescent="0.3">
      <c r="AN10166">
        <v>10162</v>
      </c>
      <c r="AO10166" s="11">
        <v>29180.63</v>
      </c>
      <c r="AP10166" s="9">
        <v>3.5642883047960545</v>
      </c>
    </row>
    <row r="10167" spans="40:42" x14ac:dyDescent="0.3">
      <c r="AN10167">
        <v>10163</v>
      </c>
      <c r="AO10167" s="11">
        <v>25296.31</v>
      </c>
      <c r="AP10167" s="9">
        <v>3.1481356352431322</v>
      </c>
    </row>
    <row r="10168" spans="40:42" x14ac:dyDescent="0.3">
      <c r="AN10168">
        <v>10164</v>
      </c>
      <c r="AO10168" s="11">
        <v>30605.19</v>
      </c>
      <c r="AP10168" s="9">
        <v>3.1713032251905173</v>
      </c>
    </row>
    <row r="10169" spans="40:42" x14ac:dyDescent="0.3">
      <c r="AN10169">
        <v>10165</v>
      </c>
      <c r="AO10169" s="11">
        <v>24083.63</v>
      </c>
      <c r="AP10169" s="9">
        <v>2.8358726447650837</v>
      </c>
    </row>
    <row r="10170" spans="40:42" x14ac:dyDescent="0.3">
      <c r="AN10170">
        <v>10166</v>
      </c>
      <c r="AO10170" s="11">
        <v>36497.269999999997</v>
      </c>
      <c r="AP10170" s="9">
        <v>3.6481462445436414</v>
      </c>
    </row>
    <row r="10171" spans="40:42" x14ac:dyDescent="0.3">
      <c r="AN10171">
        <v>10167</v>
      </c>
      <c r="AO10171" s="11">
        <v>20878.27</v>
      </c>
      <c r="AP10171" s="9">
        <v>3.2509101396382127</v>
      </c>
    </row>
    <row r="10172" spans="40:42" x14ac:dyDescent="0.3">
      <c r="AN10172">
        <v>10168</v>
      </c>
      <c r="AO10172" s="11">
        <v>20975.66</v>
      </c>
      <c r="AP10172" s="9">
        <v>3.3814538313331148</v>
      </c>
    </row>
    <row r="10173" spans="40:42" x14ac:dyDescent="0.3">
      <c r="AN10173">
        <v>10169</v>
      </c>
      <c r="AO10173" s="11">
        <v>22171.71</v>
      </c>
      <c r="AP10173" s="9">
        <v>3.3062019081358929</v>
      </c>
    </row>
    <row r="10174" spans="40:42" x14ac:dyDescent="0.3">
      <c r="AN10174">
        <v>10170</v>
      </c>
      <c r="AO10174" s="11">
        <v>34140.85</v>
      </c>
      <c r="AP10174" s="9">
        <v>3.2246078245347558</v>
      </c>
    </row>
    <row r="10175" spans="40:42" x14ac:dyDescent="0.3">
      <c r="AN10175">
        <v>10171</v>
      </c>
      <c r="AO10175" s="11">
        <v>20573.66</v>
      </c>
      <c r="AP10175" s="9">
        <v>3.4446075207911893</v>
      </c>
    </row>
    <row r="10176" spans="40:42" x14ac:dyDescent="0.3">
      <c r="AN10176">
        <v>10172</v>
      </c>
      <c r="AO10176" s="11">
        <v>26670.57</v>
      </c>
      <c r="AP10176" s="9">
        <v>3.1103970179898472</v>
      </c>
    </row>
    <row r="10177" spans="40:42" x14ac:dyDescent="0.3">
      <c r="AN10177">
        <v>10173</v>
      </c>
      <c r="AO10177" s="11">
        <v>28051.01</v>
      </c>
      <c r="AP10177" s="9">
        <v>4.1982893648970254</v>
      </c>
    </row>
    <row r="10178" spans="40:42" x14ac:dyDescent="0.3">
      <c r="AN10178">
        <v>10174</v>
      </c>
      <c r="AO10178" s="11">
        <v>28888.54</v>
      </c>
      <c r="AP10178" s="9">
        <v>2.9989530889289302</v>
      </c>
    </row>
    <row r="10179" spans="40:42" x14ac:dyDescent="0.3">
      <c r="AN10179">
        <v>10175</v>
      </c>
      <c r="AO10179" s="11">
        <v>20845.7</v>
      </c>
      <c r="AP10179" s="9">
        <v>3.3955302817435014</v>
      </c>
    </row>
    <row r="10180" spans="40:42" x14ac:dyDescent="0.3">
      <c r="AN10180">
        <v>10176</v>
      </c>
      <c r="AO10180" s="11">
        <v>31313.81</v>
      </c>
      <c r="AP10180" s="9">
        <v>3.2431503633891161</v>
      </c>
    </row>
    <row r="10181" spans="40:42" x14ac:dyDescent="0.3">
      <c r="AN10181">
        <v>10177</v>
      </c>
      <c r="AO10181" s="11">
        <v>39056.85</v>
      </c>
      <c r="AP10181" s="9">
        <v>3.8016592013903656</v>
      </c>
    </row>
    <row r="10182" spans="40:42" x14ac:dyDescent="0.3">
      <c r="AN10182">
        <v>10178</v>
      </c>
      <c r="AO10182" s="11">
        <v>32321.919999999998</v>
      </c>
      <c r="AP10182" s="9">
        <v>3.0818772215409611</v>
      </c>
    </row>
    <row r="10183" spans="40:42" x14ac:dyDescent="0.3">
      <c r="AN10183">
        <v>10179</v>
      </c>
      <c r="AO10183" s="11">
        <v>22243.37</v>
      </c>
      <c r="AP10183" s="9">
        <v>3.1321223546305483</v>
      </c>
    </row>
    <row r="10184" spans="40:42" x14ac:dyDescent="0.3">
      <c r="AN10184">
        <v>10180</v>
      </c>
      <c r="AO10184" s="11">
        <v>34040.400000000001</v>
      </c>
      <c r="AP10184" s="9">
        <v>3.8941341643838423</v>
      </c>
    </row>
    <row r="10185" spans="40:42" x14ac:dyDescent="0.3">
      <c r="AN10185">
        <v>10181</v>
      </c>
      <c r="AO10185" s="11">
        <v>27374.33</v>
      </c>
      <c r="AP10185" s="9">
        <v>3.88997876529778</v>
      </c>
    </row>
    <row r="10186" spans="40:42" x14ac:dyDescent="0.3">
      <c r="AN10186">
        <v>10182</v>
      </c>
      <c r="AO10186" s="11">
        <v>20051.150000000001</v>
      </c>
      <c r="AP10186" s="9">
        <v>3.2027391124581519</v>
      </c>
    </row>
    <row r="10187" spans="40:42" x14ac:dyDescent="0.3">
      <c r="AN10187">
        <v>10183</v>
      </c>
      <c r="AO10187" s="11">
        <v>25699.08</v>
      </c>
      <c r="AP10187" s="9">
        <v>3.4107221142754565</v>
      </c>
    </row>
    <row r="10188" spans="40:42" x14ac:dyDescent="0.3">
      <c r="AN10188">
        <v>10184</v>
      </c>
      <c r="AO10188" s="11">
        <v>18376.09</v>
      </c>
      <c r="AP10188" s="9">
        <v>3.0483760997725557</v>
      </c>
    </row>
    <row r="10189" spans="40:42" x14ac:dyDescent="0.3">
      <c r="AN10189">
        <v>10185</v>
      </c>
      <c r="AO10189" s="11">
        <v>40841.54</v>
      </c>
      <c r="AP10189" s="9">
        <v>3.3513654165513471</v>
      </c>
    </row>
    <row r="10190" spans="40:42" x14ac:dyDescent="0.3">
      <c r="AN10190">
        <v>10186</v>
      </c>
      <c r="AO10190" s="11">
        <v>30883.93</v>
      </c>
      <c r="AP10190" s="9">
        <v>3.339261380671549</v>
      </c>
    </row>
    <row r="10191" spans="40:42" x14ac:dyDescent="0.3">
      <c r="AN10191">
        <v>10187</v>
      </c>
      <c r="AO10191" s="11">
        <v>18770.990000000002</v>
      </c>
      <c r="AP10191" s="9">
        <v>2.6464968196042955</v>
      </c>
    </row>
    <row r="10192" spans="40:42" x14ac:dyDescent="0.3">
      <c r="AN10192">
        <v>10188</v>
      </c>
      <c r="AO10192" s="11">
        <v>18075.98</v>
      </c>
      <c r="AP10192" s="9">
        <v>3.1876420188816841</v>
      </c>
    </row>
    <row r="10193" spans="40:42" x14ac:dyDescent="0.3">
      <c r="AN10193">
        <v>10189</v>
      </c>
      <c r="AO10193" s="11">
        <v>23019.43</v>
      </c>
      <c r="AP10193" s="9">
        <v>3.8743353345510196</v>
      </c>
    </row>
    <row r="10194" spans="40:42" x14ac:dyDescent="0.3">
      <c r="AN10194">
        <v>10190</v>
      </c>
      <c r="AO10194" s="11">
        <v>19791.650000000001</v>
      </c>
      <c r="AP10194" s="9">
        <v>3.1782060156121719</v>
      </c>
    </row>
    <row r="10195" spans="40:42" x14ac:dyDescent="0.3">
      <c r="AN10195">
        <v>10191</v>
      </c>
      <c r="AO10195" s="11">
        <v>36428.74</v>
      </c>
      <c r="AP10195" s="9">
        <v>3.4821218015404325</v>
      </c>
    </row>
    <row r="10196" spans="40:42" x14ac:dyDescent="0.3">
      <c r="AN10196">
        <v>10192</v>
      </c>
      <c r="AO10196" s="11">
        <v>26476.41</v>
      </c>
      <c r="AP10196" s="9">
        <v>3.6509682840046631</v>
      </c>
    </row>
    <row r="10197" spans="40:42" x14ac:dyDescent="0.3">
      <c r="AN10197">
        <v>10193</v>
      </c>
      <c r="AO10197" s="11">
        <v>22357.25</v>
      </c>
      <c r="AP10197" s="9">
        <v>3.247134142052587</v>
      </c>
    </row>
    <row r="10198" spans="40:42" x14ac:dyDescent="0.3">
      <c r="AN10198">
        <v>10194</v>
      </c>
      <c r="AO10198" s="11">
        <v>19921.87</v>
      </c>
      <c r="AP10198" s="9">
        <v>3.6928994617916917</v>
      </c>
    </row>
    <row r="10199" spans="40:42" x14ac:dyDescent="0.3">
      <c r="AN10199">
        <v>10195</v>
      </c>
      <c r="AO10199" s="11">
        <v>21192.28</v>
      </c>
      <c r="AP10199" s="9">
        <v>3.0909205967229716</v>
      </c>
    </row>
    <row r="10200" spans="40:42" x14ac:dyDescent="0.3">
      <c r="AN10200">
        <v>10196</v>
      </c>
      <c r="AO10200" s="11">
        <v>33952.239999999998</v>
      </c>
      <c r="AP10200" s="9">
        <v>3.401498391597173</v>
      </c>
    </row>
    <row r="10201" spans="40:42" x14ac:dyDescent="0.3">
      <c r="AN10201">
        <v>10197</v>
      </c>
      <c r="AO10201" s="11">
        <v>40171.43</v>
      </c>
      <c r="AP10201" s="9">
        <v>3.6369313105303518</v>
      </c>
    </row>
    <row r="10202" spans="40:42" x14ac:dyDescent="0.3">
      <c r="AN10202">
        <v>10198</v>
      </c>
      <c r="AO10202" s="11">
        <v>29241.59</v>
      </c>
      <c r="AP10202" s="9">
        <v>3.5674819578201555</v>
      </c>
    </row>
    <row r="10203" spans="40:42" x14ac:dyDescent="0.3">
      <c r="AN10203">
        <v>10199</v>
      </c>
      <c r="AO10203" s="11">
        <v>47915.31</v>
      </c>
      <c r="AP10203" s="9">
        <v>3.4265378691175008</v>
      </c>
    </row>
    <row r="10204" spans="40:42" x14ac:dyDescent="0.3">
      <c r="AN10204">
        <v>10200</v>
      </c>
      <c r="AO10204" s="11">
        <v>19597.91</v>
      </c>
      <c r="AP10204" s="9">
        <v>2.8088753554437962</v>
      </c>
    </row>
    <row r="10205" spans="40:42" x14ac:dyDescent="0.3">
      <c r="AN10205">
        <v>10201</v>
      </c>
      <c r="AO10205" s="11">
        <v>31174.46</v>
      </c>
      <c r="AP10205" s="9">
        <v>3.1219313337780861</v>
      </c>
    </row>
    <row r="10206" spans="40:42" x14ac:dyDescent="0.3">
      <c r="AN10206">
        <v>10202</v>
      </c>
      <c r="AO10206" s="11">
        <v>24341.53</v>
      </c>
      <c r="AP10206" s="9">
        <v>3.3998061271024929</v>
      </c>
    </row>
    <row r="10207" spans="40:42" x14ac:dyDescent="0.3">
      <c r="AN10207">
        <v>10203</v>
      </c>
      <c r="AO10207" s="11">
        <v>33665.480000000003</v>
      </c>
      <c r="AP10207" s="9">
        <v>3.5333814986005319</v>
      </c>
    </row>
    <row r="10208" spans="40:42" x14ac:dyDescent="0.3">
      <c r="AN10208">
        <v>10204</v>
      </c>
      <c r="AO10208" s="11">
        <v>29229.78</v>
      </c>
      <c r="AP10208" s="9">
        <v>3.3151792398847175</v>
      </c>
    </row>
    <row r="10209" spans="40:42" x14ac:dyDescent="0.3">
      <c r="AN10209">
        <v>10205</v>
      </c>
      <c r="AO10209" s="11">
        <v>23420.81</v>
      </c>
      <c r="AP10209" s="9">
        <v>3.2083350659621774</v>
      </c>
    </row>
    <row r="10210" spans="40:42" x14ac:dyDescent="0.3">
      <c r="AN10210">
        <v>10206</v>
      </c>
      <c r="AO10210" s="11">
        <v>41289.129999999997</v>
      </c>
      <c r="AP10210" s="9">
        <v>3.9276035868718817</v>
      </c>
    </row>
    <row r="10211" spans="40:42" x14ac:dyDescent="0.3">
      <c r="AN10211">
        <v>10207</v>
      </c>
      <c r="AO10211" s="11">
        <v>31549.37</v>
      </c>
      <c r="AP10211" s="9">
        <v>2.955840753286167</v>
      </c>
    </row>
    <row r="10212" spans="40:42" x14ac:dyDescent="0.3">
      <c r="AN10212">
        <v>10208</v>
      </c>
      <c r="AO10212" s="11">
        <v>34529.29</v>
      </c>
      <c r="AP10212" s="9">
        <v>3.3326929986925666</v>
      </c>
    </row>
    <row r="10213" spans="40:42" x14ac:dyDescent="0.3">
      <c r="AN10213">
        <v>10209</v>
      </c>
      <c r="AO10213" s="11">
        <v>32796.04</v>
      </c>
      <c r="AP10213" s="9">
        <v>2.973848931498777</v>
      </c>
    </row>
    <row r="10214" spans="40:42" x14ac:dyDescent="0.3">
      <c r="AN10214">
        <v>10210</v>
      </c>
      <c r="AO10214" s="11">
        <v>33980.050000000003</v>
      </c>
      <c r="AP10214" s="9">
        <v>3.544311065770672</v>
      </c>
    </row>
    <row r="10215" spans="40:42" x14ac:dyDescent="0.3">
      <c r="AN10215">
        <v>10211</v>
      </c>
      <c r="AO10215" s="11">
        <v>26315.38</v>
      </c>
      <c r="AP10215" s="9">
        <v>3.1127164512775551</v>
      </c>
    </row>
    <row r="10216" spans="40:42" x14ac:dyDescent="0.3">
      <c r="AN10216">
        <v>10212</v>
      </c>
      <c r="AO10216" s="11">
        <v>29263.06</v>
      </c>
      <c r="AP10216" s="9">
        <v>4.1523619091157986</v>
      </c>
    </row>
    <row r="10217" spans="40:42" x14ac:dyDescent="0.3">
      <c r="AN10217">
        <v>10213</v>
      </c>
      <c r="AO10217" s="11">
        <v>26305.13</v>
      </c>
      <c r="AP10217" s="9">
        <v>3.3761307357857837</v>
      </c>
    </row>
    <row r="10218" spans="40:42" x14ac:dyDescent="0.3">
      <c r="AN10218">
        <v>10214</v>
      </c>
      <c r="AO10218" s="11">
        <v>15300.15</v>
      </c>
      <c r="AP10218" s="9">
        <v>3.8408783288732073</v>
      </c>
    </row>
    <row r="10219" spans="40:42" x14ac:dyDescent="0.3">
      <c r="AN10219">
        <v>10215</v>
      </c>
      <c r="AO10219" s="11">
        <v>22392.799999999999</v>
      </c>
      <c r="AP10219" s="9">
        <v>3.5255157094368275</v>
      </c>
    </row>
    <row r="10220" spans="40:42" x14ac:dyDescent="0.3">
      <c r="AN10220">
        <v>10216</v>
      </c>
      <c r="AO10220" s="11">
        <v>23784.84</v>
      </c>
      <c r="AP10220" s="9">
        <v>2.7566464641570199</v>
      </c>
    </row>
    <row r="10221" spans="40:42" x14ac:dyDescent="0.3">
      <c r="AN10221">
        <v>10217</v>
      </c>
      <c r="AO10221" s="11">
        <v>19681.650000000001</v>
      </c>
      <c r="AP10221" s="9">
        <v>3.1801607525903477</v>
      </c>
    </row>
    <row r="10222" spans="40:42" x14ac:dyDescent="0.3">
      <c r="AN10222">
        <v>10218</v>
      </c>
      <c r="AO10222" s="11">
        <v>35444.17</v>
      </c>
      <c r="AP10222" s="9">
        <v>3.4026002875103116</v>
      </c>
    </row>
    <row r="10223" spans="40:42" x14ac:dyDescent="0.3">
      <c r="AN10223">
        <v>10219</v>
      </c>
      <c r="AO10223" s="11">
        <v>22482.75</v>
      </c>
      <c r="AP10223" s="9">
        <v>3.2691678202133949</v>
      </c>
    </row>
    <row r="10224" spans="40:42" x14ac:dyDescent="0.3">
      <c r="AN10224">
        <v>10220</v>
      </c>
      <c r="AO10224" s="11">
        <v>29384.44</v>
      </c>
      <c r="AP10224" s="9">
        <v>3.3355294466068766</v>
      </c>
    </row>
    <row r="10225" spans="40:42" x14ac:dyDescent="0.3">
      <c r="AN10225">
        <v>10221</v>
      </c>
      <c r="AO10225" s="11">
        <v>21201.43</v>
      </c>
      <c r="AP10225" s="9">
        <v>3.4736148535566969</v>
      </c>
    </row>
    <row r="10226" spans="40:42" x14ac:dyDescent="0.3">
      <c r="AN10226">
        <v>10222</v>
      </c>
      <c r="AO10226" s="11">
        <v>26947.43</v>
      </c>
      <c r="AP10226" s="9">
        <v>3.4182399182149568</v>
      </c>
    </row>
    <row r="10227" spans="40:42" x14ac:dyDescent="0.3">
      <c r="AN10227">
        <v>10223</v>
      </c>
      <c r="AO10227" s="11">
        <v>20700.59</v>
      </c>
      <c r="AP10227" s="9">
        <v>3.1483969573693869</v>
      </c>
    </row>
    <row r="10228" spans="40:42" x14ac:dyDescent="0.3">
      <c r="AN10228">
        <v>10224</v>
      </c>
      <c r="AO10228" s="11">
        <v>36915.08</v>
      </c>
      <c r="AP10228" s="9">
        <v>3.3778757037311129</v>
      </c>
    </row>
    <row r="10229" spans="40:42" x14ac:dyDescent="0.3">
      <c r="AN10229">
        <v>10225</v>
      </c>
      <c r="AO10229" s="11">
        <v>47512.74</v>
      </c>
      <c r="AP10229" s="9">
        <v>3.6467419523339628</v>
      </c>
    </row>
    <row r="10230" spans="40:42" x14ac:dyDescent="0.3">
      <c r="AN10230">
        <v>10226</v>
      </c>
      <c r="AO10230" s="11">
        <v>20583.43</v>
      </c>
      <c r="AP10230" s="9">
        <v>3.0528753528759935</v>
      </c>
    </row>
    <row r="10231" spans="40:42" x14ac:dyDescent="0.3">
      <c r="AN10231">
        <v>10227</v>
      </c>
      <c r="AO10231" s="11">
        <v>36936.160000000003</v>
      </c>
      <c r="AP10231" s="9">
        <v>3.9875825566405663</v>
      </c>
    </row>
    <row r="10232" spans="40:42" x14ac:dyDescent="0.3">
      <c r="AN10232">
        <v>10228</v>
      </c>
      <c r="AO10232" s="11">
        <v>21347.83</v>
      </c>
      <c r="AP10232" s="9">
        <v>3.4396284017340975</v>
      </c>
    </row>
    <row r="10233" spans="40:42" x14ac:dyDescent="0.3">
      <c r="AN10233">
        <v>10229</v>
      </c>
      <c r="AO10233" s="11">
        <v>37595.14</v>
      </c>
      <c r="AP10233" s="9">
        <v>4.0261431822855247</v>
      </c>
    </row>
    <row r="10234" spans="40:42" x14ac:dyDescent="0.3">
      <c r="AN10234">
        <v>10230</v>
      </c>
      <c r="AO10234" s="11">
        <v>22642.13</v>
      </c>
      <c r="AP10234" s="9">
        <v>3.1683969742617801</v>
      </c>
    </row>
    <row r="10235" spans="40:42" x14ac:dyDescent="0.3">
      <c r="AN10235">
        <v>10231</v>
      </c>
      <c r="AO10235" s="11">
        <v>25054.47</v>
      </c>
      <c r="AP10235" s="9">
        <v>3.5085599333104778</v>
      </c>
    </row>
    <row r="10236" spans="40:42" x14ac:dyDescent="0.3">
      <c r="AN10236">
        <v>10232</v>
      </c>
      <c r="AO10236" s="11">
        <v>25976.97</v>
      </c>
      <c r="AP10236" s="9">
        <v>3.2087603570190022</v>
      </c>
    </row>
    <row r="10237" spans="40:42" x14ac:dyDescent="0.3">
      <c r="AN10237">
        <v>10233</v>
      </c>
      <c r="AO10237" s="11">
        <v>25180.46</v>
      </c>
      <c r="AP10237" s="9">
        <v>3.354814775585294</v>
      </c>
    </row>
    <row r="10238" spans="40:42" x14ac:dyDescent="0.3">
      <c r="AN10238">
        <v>10234</v>
      </c>
      <c r="AO10238" s="11">
        <v>27704.39</v>
      </c>
      <c r="AP10238" s="9">
        <v>3.4093125076754127</v>
      </c>
    </row>
    <row r="10239" spans="40:42" x14ac:dyDescent="0.3">
      <c r="AN10239">
        <v>10235</v>
      </c>
      <c r="AO10239" s="11">
        <v>33588.379999999997</v>
      </c>
      <c r="AP10239" s="9">
        <v>3.547230483027537</v>
      </c>
    </row>
    <row r="10240" spans="40:42" x14ac:dyDescent="0.3">
      <c r="AN10240">
        <v>10236</v>
      </c>
      <c r="AO10240" s="11">
        <v>30471.599999999999</v>
      </c>
      <c r="AP10240" s="9">
        <v>3.5871522867979877</v>
      </c>
    </row>
    <row r="10241" spans="40:42" x14ac:dyDescent="0.3">
      <c r="AN10241">
        <v>10237</v>
      </c>
      <c r="AO10241" s="11">
        <v>21736.62</v>
      </c>
      <c r="AP10241" s="9">
        <v>2.6642332485405138</v>
      </c>
    </row>
    <row r="10242" spans="40:42" x14ac:dyDescent="0.3">
      <c r="AN10242">
        <v>10238</v>
      </c>
      <c r="AO10242" s="11">
        <v>29731.88</v>
      </c>
      <c r="AP10242" s="9">
        <v>3.1438169898314889</v>
      </c>
    </row>
    <row r="10243" spans="40:42" x14ac:dyDescent="0.3">
      <c r="AN10243">
        <v>10239</v>
      </c>
      <c r="AO10243" s="11">
        <v>32567.58</v>
      </c>
      <c r="AP10243" s="9">
        <v>3.8292890724165103</v>
      </c>
    </row>
    <row r="10244" spans="40:42" x14ac:dyDescent="0.3">
      <c r="AN10244">
        <v>10240</v>
      </c>
      <c r="AO10244" s="11">
        <v>32989.69</v>
      </c>
      <c r="AP10244" s="9">
        <v>3.8685438425829521</v>
      </c>
    </row>
    <row r="10245" spans="40:42" x14ac:dyDescent="0.3">
      <c r="AN10245">
        <v>10241</v>
      </c>
      <c r="AO10245" s="11">
        <v>30794.46</v>
      </c>
      <c r="AP10245" s="9">
        <v>2.9880578423358148</v>
      </c>
    </row>
    <row r="10246" spans="40:42" x14ac:dyDescent="0.3">
      <c r="AN10246">
        <v>10242</v>
      </c>
      <c r="AO10246" s="11">
        <v>22202.03</v>
      </c>
      <c r="AP10246" s="9">
        <v>2.8612354974802749</v>
      </c>
    </row>
    <row r="10247" spans="40:42" x14ac:dyDescent="0.3">
      <c r="AN10247">
        <v>10243</v>
      </c>
      <c r="AO10247" s="11">
        <v>31774.83</v>
      </c>
      <c r="AP10247" s="9">
        <v>3.1480553839752465</v>
      </c>
    </row>
    <row r="10248" spans="40:42" x14ac:dyDescent="0.3">
      <c r="AN10248">
        <v>10244</v>
      </c>
      <c r="AO10248" s="11">
        <v>18147.79</v>
      </c>
      <c r="AP10248" s="9">
        <v>3.0118416671227584</v>
      </c>
    </row>
    <row r="10249" spans="40:42" x14ac:dyDescent="0.3">
      <c r="AN10249">
        <v>10245</v>
      </c>
      <c r="AO10249" s="11">
        <v>31214.11</v>
      </c>
      <c r="AP10249" s="9">
        <v>2.9813705330597893</v>
      </c>
    </row>
    <row r="10250" spans="40:42" x14ac:dyDescent="0.3">
      <c r="AN10250">
        <v>10246</v>
      </c>
      <c r="AO10250" s="11">
        <v>23115.18</v>
      </c>
      <c r="AP10250" s="9">
        <v>3.4858903256619125</v>
      </c>
    </row>
    <row r="10251" spans="40:42" x14ac:dyDescent="0.3">
      <c r="AN10251">
        <v>10247</v>
      </c>
      <c r="AO10251" s="11">
        <v>25720.65</v>
      </c>
      <c r="AP10251" s="9">
        <v>3.7302224879802739</v>
      </c>
    </row>
    <row r="10252" spans="40:42" x14ac:dyDescent="0.3">
      <c r="AN10252">
        <v>10248</v>
      </c>
      <c r="AO10252" s="11">
        <v>26021.65</v>
      </c>
      <c r="AP10252" s="9">
        <v>3.831702776882381</v>
      </c>
    </row>
    <row r="10253" spans="40:42" x14ac:dyDescent="0.3">
      <c r="AN10253">
        <v>10249</v>
      </c>
      <c r="AO10253" s="11">
        <v>22154.07</v>
      </c>
      <c r="AP10253" s="9">
        <v>3.8867535199413865</v>
      </c>
    </row>
    <row r="10254" spans="40:42" x14ac:dyDescent="0.3">
      <c r="AN10254">
        <v>10250</v>
      </c>
      <c r="AO10254" s="11">
        <v>17000.16</v>
      </c>
      <c r="AP10254" s="9">
        <v>3.1077913035706537</v>
      </c>
    </row>
    <row r="10255" spans="40:42" x14ac:dyDescent="0.3">
      <c r="AN10255">
        <v>10251</v>
      </c>
      <c r="AO10255" s="11">
        <v>25602.54</v>
      </c>
      <c r="AP10255" s="9">
        <v>2.8316636882386521</v>
      </c>
    </row>
    <row r="10256" spans="40:42" x14ac:dyDescent="0.3">
      <c r="AN10256">
        <v>10252</v>
      </c>
      <c r="AO10256" s="11">
        <v>29069.42</v>
      </c>
      <c r="AP10256" s="9">
        <v>3.0987574028329914</v>
      </c>
    </row>
    <row r="10257" spans="40:42" x14ac:dyDescent="0.3">
      <c r="AN10257">
        <v>10253</v>
      </c>
      <c r="AO10257" s="11">
        <v>33537.75</v>
      </c>
      <c r="AP10257" s="9">
        <v>3.3670393911194436</v>
      </c>
    </row>
    <row r="10258" spans="40:42" x14ac:dyDescent="0.3">
      <c r="AN10258">
        <v>10254</v>
      </c>
      <c r="AO10258" s="11">
        <v>33813.21</v>
      </c>
      <c r="AP10258" s="9">
        <v>3.7176539691431429</v>
      </c>
    </row>
    <row r="10259" spans="40:42" x14ac:dyDescent="0.3">
      <c r="AN10259">
        <v>10255</v>
      </c>
      <c r="AO10259" s="11">
        <v>30525.55</v>
      </c>
      <c r="AP10259" s="9">
        <v>4.1001983308344974</v>
      </c>
    </row>
    <row r="10260" spans="40:42" x14ac:dyDescent="0.3">
      <c r="AN10260">
        <v>10256</v>
      </c>
      <c r="AO10260" s="11">
        <v>37380.43</v>
      </c>
      <c r="AP10260" s="9">
        <v>3.4949322926963036</v>
      </c>
    </row>
    <row r="10261" spans="40:42" x14ac:dyDescent="0.3">
      <c r="AN10261">
        <v>10257</v>
      </c>
      <c r="AO10261" s="11">
        <v>27205.71</v>
      </c>
      <c r="AP10261" s="9">
        <v>3.2976809018310167</v>
      </c>
    </row>
    <row r="10262" spans="40:42" x14ac:dyDescent="0.3">
      <c r="AN10262">
        <v>10258</v>
      </c>
      <c r="AO10262" s="11">
        <v>21102.38</v>
      </c>
      <c r="AP10262" s="9">
        <v>3.3081831581044079</v>
      </c>
    </row>
    <row r="10263" spans="40:42" x14ac:dyDescent="0.3">
      <c r="AN10263">
        <v>10259</v>
      </c>
      <c r="AO10263" s="11">
        <v>26381.82</v>
      </c>
      <c r="AP10263" s="9">
        <v>2.9541131392913154</v>
      </c>
    </row>
    <row r="10264" spans="40:42" x14ac:dyDescent="0.3">
      <c r="AN10264">
        <v>10260</v>
      </c>
      <c r="AO10264" s="11">
        <v>26521.5</v>
      </c>
      <c r="AP10264" s="9">
        <v>3.4462936495091383</v>
      </c>
    </row>
    <row r="10265" spans="40:42" x14ac:dyDescent="0.3">
      <c r="AN10265">
        <v>10261</v>
      </c>
      <c r="AO10265" s="11">
        <v>20127.080000000002</v>
      </c>
      <c r="AP10265" s="9">
        <v>3.1754503500367064</v>
      </c>
    </row>
    <row r="10266" spans="40:42" x14ac:dyDescent="0.3">
      <c r="AN10266">
        <v>10262</v>
      </c>
      <c r="AO10266" s="11">
        <v>31243.88</v>
      </c>
      <c r="AP10266" s="9">
        <v>3.1613116422634251</v>
      </c>
    </row>
    <row r="10267" spans="40:42" x14ac:dyDescent="0.3">
      <c r="AN10267">
        <v>10263</v>
      </c>
      <c r="AO10267" s="11">
        <v>37698.230000000003</v>
      </c>
      <c r="AP10267" s="9">
        <v>3.7166298464502758</v>
      </c>
    </row>
    <row r="10268" spans="40:42" x14ac:dyDescent="0.3">
      <c r="AN10268">
        <v>10264</v>
      </c>
      <c r="AO10268" s="11">
        <v>36395.19</v>
      </c>
      <c r="AP10268" s="9">
        <v>3.9115741476384827</v>
      </c>
    </row>
    <row r="10269" spans="40:42" x14ac:dyDescent="0.3">
      <c r="AN10269">
        <v>10265</v>
      </c>
      <c r="AO10269" s="11">
        <v>26453.27</v>
      </c>
      <c r="AP10269" s="9">
        <v>3.4870757707006423</v>
      </c>
    </row>
    <row r="10270" spans="40:42" x14ac:dyDescent="0.3">
      <c r="AN10270">
        <v>10266</v>
      </c>
      <c r="AO10270" s="11">
        <v>31647.29</v>
      </c>
      <c r="AP10270" s="9">
        <v>3.3311787779911644</v>
      </c>
    </row>
    <row r="10271" spans="40:42" x14ac:dyDescent="0.3">
      <c r="AN10271">
        <v>10267</v>
      </c>
      <c r="AO10271" s="11">
        <v>22757.05</v>
      </c>
      <c r="AP10271" s="9">
        <v>3.4896575642466781</v>
      </c>
    </row>
    <row r="10272" spans="40:42" x14ac:dyDescent="0.3">
      <c r="AN10272">
        <v>10268</v>
      </c>
      <c r="AO10272" s="11">
        <v>22583.63</v>
      </c>
      <c r="AP10272" s="9">
        <v>2.7399676458490512</v>
      </c>
    </row>
    <row r="10273" spans="40:42" x14ac:dyDescent="0.3">
      <c r="AN10273">
        <v>10269</v>
      </c>
      <c r="AO10273" s="11">
        <v>29384.22</v>
      </c>
      <c r="AP10273" s="9">
        <v>3.4796186243920291</v>
      </c>
    </row>
    <row r="10274" spans="40:42" x14ac:dyDescent="0.3">
      <c r="AN10274">
        <v>10270</v>
      </c>
      <c r="AO10274" s="11">
        <v>29497.93</v>
      </c>
      <c r="AP10274" s="9">
        <v>3.1342745068932936</v>
      </c>
    </row>
    <row r="10275" spans="40:42" x14ac:dyDescent="0.3">
      <c r="AN10275">
        <v>10271</v>
      </c>
      <c r="AO10275" s="11">
        <v>21733.41</v>
      </c>
      <c r="AP10275" s="9">
        <v>2.7376870593697356</v>
      </c>
    </row>
    <row r="10276" spans="40:42" x14ac:dyDescent="0.3">
      <c r="AN10276">
        <v>10272</v>
      </c>
      <c r="AO10276" s="11">
        <v>18353.41</v>
      </c>
      <c r="AP10276" s="9">
        <v>3.1340403027337063</v>
      </c>
    </row>
    <row r="10277" spans="40:42" x14ac:dyDescent="0.3">
      <c r="AN10277">
        <v>10273</v>
      </c>
      <c r="AO10277" s="11">
        <v>39745.75</v>
      </c>
      <c r="AP10277" s="9">
        <v>3.0056163941088219</v>
      </c>
    </row>
    <row r="10278" spans="40:42" x14ac:dyDescent="0.3">
      <c r="AN10278">
        <v>10274</v>
      </c>
      <c r="AO10278" s="11">
        <v>24926.400000000001</v>
      </c>
      <c r="AP10278" s="9">
        <v>3.0521342116467323</v>
      </c>
    </row>
    <row r="10279" spans="40:42" x14ac:dyDescent="0.3">
      <c r="AN10279">
        <v>10275</v>
      </c>
      <c r="AO10279" s="11">
        <v>27808.55</v>
      </c>
      <c r="AP10279" s="9">
        <v>3.3850026704018514</v>
      </c>
    </row>
    <row r="10280" spans="40:42" x14ac:dyDescent="0.3">
      <c r="AN10280">
        <v>10276</v>
      </c>
      <c r="AO10280" s="11">
        <v>30958.17</v>
      </c>
      <c r="AP10280" s="9">
        <v>3.5349013477788622</v>
      </c>
    </row>
    <row r="10281" spans="40:42" x14ac:dyDescent="0.3">
      <c r="AN10281">
        <v>10277</v>
      </c>
      <c r="AO10281" s="11">
        <v>39734.629999999997</v>
      </c>
      <c r="AP10281" s="9">
        <v>3.530614987055527</v>
      </c>
    </row>
    <row r="10282" spans="40:42" x14ac:dyDescent="0.3">
      <c r="AN10282">
        <v>10278</v>
      </c>
      <c r="AO10282" s="11">
        <v>34412.75</v>
      </c>
      <c r="AP10282" s="9">
        <v>3.2919693049442831</v>
      </c>
    </row>
    <row r="10283" spans="40:42" x14ac:dyDescent="0.3">
      <c r="AN10283">
        <v>10279</v>
      </c>
      <c r="AO10283" s="11">
        <v>28300.79</v>
      </c>
      <c r="AP10283" s="9">
        <v>4.3123773660351485</v>
      </c>
    </row>
    <row r="10284" spans="40:42" x14ac:dyDescent="0.3">
      <c r="AN10284">
        <v>10280</v>
      </c>
      <c r="AO10284" s="11">
        <v>22327.439999999999</v>
      </c>
      <c r="AP10284" s="9">
        <v>2.949816716044261</v>
      </c>
    </row>
    <row r="10285" spans="40:42" x14ac:dyDescent="0.3">
      <c r="AN10285">
        <v>10281</v>
      </c>
      <c r="AO10285" s="11">
        <v>20156.48</v>
      </c>
      <c r="AP10285" s="9">
        <v>4.6035685420923578</v>
      </c>
    </row>
    <row r="10286" spans="40:42" x14ac:dyDescent="0.3">
      <c r="AN10286">
        <v>10282</v>
      </c>
      <c r="AO10286" s="11">
        <v>40583.81</v>
      </c>
      <c r="AP10286" s="9">
        <v>3.2818985767272069</v>
      </c>
    </row>
    <row r="10287" spans="40:42" x14ac:dyDescent="0.3">
      <c r="AN10287">
        <v>10283</v>
      </c>
      <c r="AO10287" s="11">
        <v>22021.74</v>
      </c>
      <c r="AP10287" s="9">
        <v>3.437570068916489</v>
      </c>
    </row>
    <row r="10288" spans="40:42" x14ac:dyDescent="0.3">
      <c r="AN10288">
        <v>10284</v>
      </c>
      <c r="AO10288" s="11">
        <v>26072.5</v>
      </c>
      <c r="AP10288" s="9">
        <v>3.5350964377110596</v>
      </c>
    </row>
    <row r="10289" spans="40:42" x14ac:dyDescent="0.3">
      <c r="AN10289">
        <v>10285</v>
      </c>
      <c r="AO10289" s="11">
        <v>28721.119999999999</v>
      </c>
      <c r="AP10289" s="9">
        <v>3.0987485937117376</v>
      </c>
    </row>
    <row r="10290" spans="40:42" x14ac:dyDescent="0.3">
      <c r="AN10290">
        <v>10286</v>
      </c>
      <c r="AO10290" s="11">
        <v>47150.26</v>
      </c>
      <c r="AP10290" s="9">
        <v>4.139630402829221</v>
      </c>
    </row>
    <row r="10291" spans="40:42" x14ac:dyDescent="0.3">
      <c r="AN10291">
        <v>10287</v>
      </c>
      <c r="AO10291" s="11">
        <v>20937.05</v>
      </c>
      <c r="AP10291" s="9">
        <v>3.2472924734778434</v>
      </c>
    </row>
    <row r="10292" spans="40:42" x14ac:dyDescent="0.3">
      <c r="AN10292">
        <v>10288</v>
      </c>
      <c r="AO10292" s="11">
        <v>21907.16</v>
      </c>
      <c r="AP10292" s="9">
        <v>3.1432554928871643</v>
      </c>
    </row>
    <row r="10293" spans="40:42" x14ac:dyDescent="0.3">
      <c r="AN10293">
        <v>10289</v>
      </c>
      <c r="AO10293" s="11">
        <v>22640.44</v>
      </c>
      <c r="AP10293" s="9">
        <v>3.5850061402682867</v>
      </c>
    </row>
    <row r="10294" spans="40:42" x14ac:dyDescent="0.3">
      <c r="AN10294">
        <v>10290</v>
      </c>
      <c r="AO10294" s="11">
        <v>26407.919999999998</v>
      </c>
      <c r="AP10294" s="9">
        <v>3.5005224384822591</v>
      </c>
    </row>
    <row r="10295" spans="40:42" x14ac:dyDescent="0.3">
      <c r="AN10295">
        <v>10291</v>
      </c>
      <c r="AO10295" s="11">
        <v>29975.8</v>
      </c>
      <c r="AP10295" s="9">
        <v>3.4775299888788571</v>
      </c>
    </row>
    <row r="10296" spans="40:42" x14ac:dyDescent="0.3">
      <c r="AN10296">
        <v>10292</v>
      </c>
      <c r="AO10296" s="11">
        <v>27457.279999999999</v>
      </c>
      <c r="AP10296" s="9">
        <v>3.0293431173970866</v>
      </c>
    </row>
    <row r="10297" spans="40:42" x14ac:dyDescent="0.3">
      <c r="AN10297">
        <v>10293</v>
      </c>
      <c r="AO10297" s="11">
        <v>19468.150000000001</v>
      </c>
      <c r="AP10297" s="9">
        <v>3.3218676202812176</v>
      </c>
    </row>
    <row r="10298" spans="40:42" x14ac:dyDescent="0.3">
      <c r="AN10298">
        <v>10294</v>
      </c>
      <c r="AO10298" s="11">
        <v>22645.61</v>
      </c>
      <c r="AP10298" s="9">
        <v>3.1035549206135027</v>
      </c>
    </row>
    <row r="10299" spans="40:42" x14ac:dyDescent="0.3">
      <c r="AN10299">
        <v>10295</v>
      </c>
      <c r="AO10299" s="11">
        <v>28859.35</v>
      </c>
      <c r="AP10299" s="9">
        <v>3.1830366506624372</v>
      </c>
    </row>
    <row r="10300" spans="40:42" x14ac:dyDescent="0.3">
      <c r="AN10300">
        <v>10296</v>
      </c>
      <c r="AO10300" s="11">
        <v>28701.98</v>
      </c>
      <c r="AP10300" s="9">
        <v>3.5025939598145031</v>
      </c>
    </row>
    <row r="10301" spans="40:42" x14ac:dyDescent="0.3">
      <c r="AN10301">
        <v>10297</v>
      </c>
      <c r="AO10301" s="11">
        <v>19702.75</v>
      </c>
      <c r="AP10301" s="9">
        <v>3.5046161916417109</v>
      </c>
    </row>
    <row r="10302" spans="40:42" x14ac:dyDescent="0.3">
      <c r="AN10302">
        <v>10298</v>
      </c>
      <c r="AO10302" s="11">
        <v>28725.43</v>
      </c>
      <c r="AP10302" s="9">
        <v>3.7392702569753609</v>
      </c>
    </row>
    <row r="10303" spans="40:42" x14ac:dyDescent="0.3">
      <c r="AN10303">
        <v>10299</v>
      </c>
      <c r="AO10303" s="11">
        <v>21878.41</v>
      </c>
      <c r="AP10303" s="9">
        <v>3.0321339664437592</v>
      </c>
    </row>
    <row r="10304" spans="40:42" x14ac:dyDescent="0.3">
      <c r="AN10304">
        <v>10300</v>
      </c>
      <c r="AO10304" s="11">
        <v>23258.87</v>
      </c>
      <c r="AP10304" s="9">
        <v>3.5338317360226741</v>
      </c>
    </row>
    <row r="10305" spans="40:42" x14ac:dyDescent="0.3">
      <c r="AN10305">
        <v>10301</v>
      </c>
      <c r="AO10305" s="11">
        <v>25061.93</v>
      </c>
      <c r="AP10305" s="9">
        <v>3.1734184089852171</v>
      </c>
    </row>
    <row r="10306" spans="40:42" x14ac:dyDescent="0.3">
      <c r="AN10306">
        <v>10302</v>
      </c>
      <c r="AO10306" s="11">
        <v>22760.35</v>
      </c>
      <c r="AP10306" s="9">
        <v>3.0652386890759353</v>
      </c>
    </row>
    <row r="10307" spans="40:42" x14ac:dyDescent="0.3">
      <c r="AN10307">
        <v>10303</v>
      </c>
      <c r="AO10307" s="11">
        <v>24586.09</v>
      </c>
      <c r="AP10307" s="9">
        <v>3.9704975748296309</v>
      </c>
    </row>
    <row r="10308" spans="40:42" x14ac:dyDescent="0.3">
      <c r="AN10308">
        <v>10304</v>
      </c>
      <c r="AO10308" s="11">
        <v>23239</v>
      </c>
      <c r="AP10308" s="9">
        <v>3.3710977955810555</v>
      </c>
    </row>
    <row r="10309" spans="40:42" x14ac:dyDescent="0.3">
      <c r="AN10309">
        <v>10305</v>
      </c>
      <c r="AO10309" s="11">
        <v>24152.18</v>
      </c>
      <c r="AP10309" s="9">
        <v>3.574544533663365</v>
      </c>
    </row>
    <row r="10310" spans="40:42" x14ac:dyDescent="0.3">
      <c r="AN10310">
        <v>10306</v>
      </c>
      <c r="AO10310" s="11">
        <v>29783.91</v>
      </c>
      <c r="AP10310" s="9">
        <v>3.533672362114745</v>
      </c>
    </row>
    <row r="10311" spans="40:42" x14ac:dyDescent="0.3">
      <c r="AN10311">
        <v>10307</v>
      </c>
      <c r="AO10311" s="11">
        <v>41821.46</v>
      </c>
      <c r="AP10311" s="9">
        <v>4.3349620926656609</v>
      </c>
    </row>
    <row r="10312" spans="40:42" x14ac:dyDescent="0.3">
      <c r="AN10312">
        <v>10308</v>
      </c>
      <c r="AO10312" s="11">
        <v>20750.169999999998</v>
      </c>
      <c r="AP10312" s="9">
        <v>3.1251175812302896</v>
      </c>
    </row>
    <row r="10313" spans="40:42" x14ac:dyDescent="0.3">
      <c r="AN10313">
        <v>10309</v>
      </c>
      <c r="AO10313" s="11">
        <v>27195.88</v>
      </c>
      <c r="AP10313" s="9">
        <v>3.1695649369166898</v>
      </c>
    </row>
    <row r="10314" spans="40:42" x14ac:dyDescent="0.3">
      <c r="AN10314">
        <v>10310</v>
      </c>
      <c r="AO10314" s="11">
        <v>34124.18</v>
      </c>
      <c r="AP10314" s="9">
        <v>3.0641781556786492</v>
      </c>
    </row>
    <row r="10315" spans="40:42" x14ac:dyDescent="0.3">
      <c r="AN10315">
        <v>10311</v>
      </c>
      <c r="AO10315" s="11">
        <v>31943.74</v>
      </c>
      <c r="AP10315" s="9">
        <v>3.5861529582924407</v>
      </c>
    </row>
    <row r="10316" spans="40:42" x14ac:dyDescent="0.3">
      <c r="AN10316">
        <v>10312</v>
      </c>
      <c r="AO10316" s="11">
        <v>27621.200000000001</v>
      </c>
      <c r="AP10316" s="9">
        <v>3.0589344347940832</v>
      </c>
    </row>
    <row r="10317" spans="40:42" x14ac:dyDescent="0.3">
      <c r="AN10317">
        <v>10313</v>
      </c>
      <c r="AO10317" s="11">
        <v>39099.35</v>
      </c>
      <c r="AP10317" s="9">
        <v>3.9612294282709355</v>
      </c>
    </row>
    <row r="10318" spans="40:42" x14ac:dyDescent="0.3">
      <c r="AN10318">
        <v>10314</v>
      </c>
      <c r="AO10318" s="11">
        <v>31737.13</v>
      </c>
      <c r="AP10318" s="9">
        <v>3.7368296998074237</v>
      </c>
    </row>
    <row r="10319" spans="40:42" x14ac:dyDescent="0.3">
      <c r="AN10319">
        <v>10315</v>
      </c>
      <c r="AO10319" s="11">
        <v>20485.23</v>
      </c>
      <c r="AP10319" s="9">
        <v>3.1106656923290465</v>
      </c>
    </row>
    <row r="10320" spans="40:42" x14ac:dyDescent="0.3">
      <c r="AN10320">
        <v>10316</v>
      </c>
      <c r="AO10320" s="11">
        <v>28334.41</v>
      </c>
      <c r="AP10320" s="9">
        <v>3.1158722863655841</v>
      </c>
    </row>
    <row r="10321" spans="40:42" x14ac:dyDescent="0.3">
      <c r="AN10321">
        <v>10317</v>
      </c>
      <c r="AO10321" s="11">
        <v>22566.04</v>
      </c>
      <c r="AP10321" s="9">
        <v>3.2873459665236435</v>
      </c>
    </row>
    <row r="10322" spans="40:42" x14ac:dyDescent="0.3">
      <c r="AN10322">
        <v>10318</v>
      </c>
      <c r="AO10322" s="11">
        <v>26272.09</v>
      </c>
      <c r="AP10322" s="9">
        <v>3.2113519275202513</v>
      </c>
    </row>
    <row r="10323" spans="40:42" x14ac:dyDescent="0.3">
      <c r="AN10323">
        <v>10319</v>
      </c>
      <c r="AO10323" s="11">
        <v>24386.71</v>
      </c>
      <c r="AP10323" s="9">
        <v>3.7764925838824679</v>
      </c>
    </row>
    <row r="10324" spans="40:42" x14ac:dyDescent="0.3">
      <c r="AN10324">
        <v>10320</v>
      </c>
      <c r="AO10324" s="11">
        <v>30879.84</v>
      </c>
      <c r="AP10324" s="9">
        <v>3.0326355064698225</v>
      </c>
    </row>
    <row r="10325" spans="40:42" x14ac:dyDescent="0.3">
      <c r="AN10325">
        <v>10321</v>
      </c>
      <c r="AO10325" s="11">
        <v>22849.19</v>
      </c>
      <c r="AP10325" s="9">
        <v>2.909375328758816</v>
      </c>
    </row>
    <row r="10326" spans="40:42" x14ac:dyDescent="0.3">
      <c r="AN10326">
        <v>10322</v>
      </c>
      <c r="AO10326" s="11">
        <v>36564.15</v>
      </c>
      <c r="AP10326" s="9">
        <v>3.4578005087544237</v>
      </c>
    </row>
    <row r="10327" spans="40:42" x14ac:dyDescent="0.3">
      <c r="AN10327">
        <v>10323</v>
      </c>
      <c r="AO10327" s="11">
        <v>37773.089999999997</v>
      </c>
      <c r="AP10327" s="9">
        <v>3.720956068673384</v>
      </c>
    </row>
    <row r="10328" spans="40:42" x14ac:dyDescent="0.3">
      <c r="AN10328">
        <v>10324</v>
      </c>
      <c r="AO10328" s="11">
        <v>25394.799999999999</v>
      </c>
      <c r="AP10328" s="9">
        <v>3.3522456681980626</v>
      </c>
    </row>
    <row r="10329" spans="40:42" x14ac:dyDescent="0.3">
      <c r="AN10329">
        <v>10325</v>
      </c>
      <c r="AO10329" s="11">
        <v>21028.83</v>
      </c>
      <c r="AP10329" s="9">
        <v>3.0151835029192235</v>
      </c>
    </row>
    <row r="10330" spans="40:42" x14ac:dyDescent="0.3">
      <c r="AN10330">
        <v>10326</v>
      </c>
      <c r="AO10330" s="11">
        <v>44624.46</v>
      </c>
      <c r="AP10330" s="9">
        <v>3.3972876339659144</v>
      </c>
    </row>
    <row r="10331" spans="40:42" x14ac:dyDescent="0.3">
      <c r="AN10331">
        <v>10327</v>
      </c>
      <c r="AO10331" s="11">
        <v>32063.759999999998</v>
      </c>
      <c r="AP10331" s="9">
        <v>3.4268775760040477</v>
      </c>
    </row>
    <row r="10332" spans="40:42" x14ac:dyDescent="0.3">
      <c r="AN10332">
        <v>10328</v>
      </c>
      <c r="AO10332" s="11">
        <v>33538.870000000003</v>
      </c>
      <c r="AP10332" s="9">
        <v>3.0978934900562622</v>
      </c>
    </row>
    <row r="10333" spans="40:42" x14ac:dyDescent="0.3">
      <c r="AN10333">
        <v>10329</v>
      </c>
      <c r="AO10333" s="11">
        <v>27562.49</v>
      </c>
      <c r="AP10333" s="9">
        <v>3.6387085323445683</v>
      </c>
    </row>
    <row r="10334" spans="40:42" x14ac:dyDescent="0.3">
      <c r="AN10334">
        <v>10330</v>
      </c>
      <c r="AO10334" s="11">
        <v>29962.81</v>
      </c>
      <c r="AP10334" s="9">
        <v>3.0000923886568205</v>
      </c>
    </row>
    <row r="10335" spans="40:42" x14ac:dyDescent="0.3">
      <c r="AN10335">
        <v>10331</v>
      </c>
      <c r="AO10335" s="11">
        <v>19236.990000000002</v>
      </c>
      <c r="AP10335" s="9">
        <v>3.3057620260122484</v>
      </c>
    </row>
    <row r="10336" spans="40:42" x14ac:dyDescent="0.3">
      <c r="AN10336">
        <v>10332</v>
      </c>
      <c r="AO10336" s="11">
        <v>14947.59</v>
      </c>
      <c r="AP10336" s="9">
        <v>3.0470675998980123</v>
      </c>
    </row>
    <row r="10337" spans="40:42" x14ac:dyDescent="0.3">
      <c r="AN10337">
        <v>10333</v>
      </c>
      <c r="AO10337" s="11">
        <v>31866.75</v>
      </c>
      <c r="AP10337" s="9">
        <v>4.0125595755577566</v>
      </c>
    </row>
    <row r="10338" spans="40:42" x14ac:dyDescent="0.3">
      <c r="AN10338">
        <v>10334</v>
      </c>
      <c r="AO10338" s="11">
        <v>34034.699999999997</v>
      </c>
      <c r="AP10338" s="9">
        <v>3.2655501677948262</v>
      </c>
    </row>
    <row r="10339" spans="40:42" x14ac:dyDescent="0.3">
      <c r="AN10339">
        <v>10335</v>
      </c>
      <c r="AO10339" s="11">
        <v>23523.71</v>
      </c>
      <c r="AP10339" s="9">
        <v>3.0685509427414259</v>
      </c>
    </row>
    <row r="10340" spans="40:42" x14ac:dyDescent="0.3">
      <c r="AN10340">
        <v>10336</v>
      </c>
      <c r="AO10340" s="11">
        <v>22891.8</v>
      </c>
      <c r="AP10340" s="9">
        <v>3.3883969465742636</v>
      </c>
    </row>
    <row r="10341" spans="40:42" x14ac:dyDescent="0.3">
      <c r="AN10341">
        <v>10337</v>
      </c>
      <c r="AO10341" s="11">
        <v>30362.33</v>
      </c>
      <c r="AP10341" s="9">
        <v>3.1907674262932195</v>
      </c>
    </row>
    <row r="10342" spans="40:42" x14ac:dyDescent="0.3">
      <c r="AN10342">
        <v>10338</v>
      </c>
      <c r="AO10342" s="11">
        <v>38809.339999999997</v>
      </c>
      <c r="AP10342" s="9">
        <v>3.7543380971403471</v>
      </c>
    </row>
    <row r="10343" spans="40:42" x14ac:dyDescent="0.3">
      <c r="AN10343">
        <v>10339</v>
      </c>
      <c r="AO10343" s="11">
        <v>25768.26</v>
      </c>
      <c r="AP10343" s="9">
        <v>3.7955635947364375</v>
      </c>
    </row>
    <row r="10344" spans="40:42" x14ac:dyDescent="0.3">
      <c r="AN10344">
        <v>10340</v>
      </c>
      <c r="AO10344" s="11">
        <v>28886.53</v>
      </c>
      <c r="AP10344" s="9">
        <v>3.9189587803939316</v>
      </c>
    </row>
    <row r="10345" spans="40:42" x14ac:dyDescent="0.3">
      <c r="AN10345">
        <v>10341</v>
      </c>
      <c r="AO10345" s="11">
        <v>29072.33</v>
      </c>
      <c r="AP10345" s="9">
        <v>3.0024663097722053</v>
      </c>
    </row>
    <row r="10346" spans="40:42" x14ac:dyDescent="0.3">
      <c r="AN10346">
        <v>10342</v>
      </c>
      <c r="AO10346" s="11">
        <v>26181.25</v>
      </c>
      <c r="AP10346" s="9">
        <v>3.4058524961050942</v>
      </c>
    </row>
    <row r="10347" spans="40:42" x14ac:dyDescent="0.3">
      <c r="AN10347">
        <v>10343</v>
      </c>
      <c r="AO10347" s="11">
        <v>25814.23</v>
      </c>
      <c r="AP10347" s="9">
        <v>4.360291409926047</v>
      </c>
    </row>
    <row r="10348" spans="40:42" x14ac:dyDescent="0.3">
      <c r="AN10348">
        <v>10344</v>
      </c>
      <c r="AO10348" s="11">
        <v>20393.07</v>
      </c>
      <c r="AP10348" s="9">
        <v>3.2459968201220368</v>
      </c>
    </row>
    <row r="10349" spans="40:42" x14ac:dyDescent="0.3">
      <c r="AN10349">
        <v>10345</v>
      </c>
      <c r="AO10349" s="11">
        <v>18178.310000000001</v>
      </c>
      <c r="AP10349" s="9">
        <v>3.7834620601493114</v>
      </c>
    </row>
    <row r="10350" spans="40:42" x14ac:dyDescent="0.3">
      <c r="AN10350">
        <v>10346</v>
      </c>
      <c r="AO10350" s="11">
        <v>31052.240000000002</v>
      </c>
      <c r="AP10350" s="9">
        <v>3.8185982618602776</v>
      </c>
    </row>
    <row r="10351" spans="40:42" x14ac:dyDescent="0.3">
      <c r="AN10351">
        <v>10347</v>
      </c>
      <c r="AO10351" s="11">
        <v>29537.02</v>
      </c>
      <c r="AP10351" s="9">
        <v>3.9918386197663609</v>
      </c>
    </row>
    <row r="10352" spans="40:42" x14ac:dyDescent="0.3">
      <c r="AN10352">
        <v>10348</v>
      </c>
      <c r="AO10352" s="11">
        <v>28045.919999999998</v>
      </c>
      <c r="AP10352" s="9">
        <v>3.1933427375717676</v>
      </c>
    </row>
    <row r="10353" spans="40:42" x14ac:dyDescent="0.3">
      <c r="AN10353">
        <v>10349</v>
      </c>
      <c r="AO10353" s="11">
        <v>27568.83</v>
      </c>
      <c r="AP10353" s="9">
        <v>3.0452766338728123</v>
      </c>
    </row>
    <row r="10354" spans="40:42" x14ac:dyDescent="0.3">
      <c r="AN10354">
        <v>10350</v>
      </c>
      <c r="AO10354" s="11">
        <v>23777.45</v>
      </c>
      <c r="AP10354" s="9">
        <v>2.8826444539086999</v>
      </c>
    </row>
    <row r="10355" spans="40:42" x14ac:dyDescent="0.3">
      <c r="AN10355">
        <v>10351</v>
      </c>
      <c r="AO10355" s="11">
        <v>33381.86</v>
      </c>
      <c r="AP10355" s="9">
        <v>3.5008121227890068</v>
      </c>
    </row>
    <row r="10356" spans="40:42" x14ac:dyDescent="0.3">
      <c r="AN10356">
        <v>10352</v>
      </c>
      <c r="AO10356" s="11">
        <v>18858.55</v>
      </c>
      <c r="AP10356" s="9">
        <v>3.2170448260083582</v>
      </c>
    </row>
    <row r="10357" spans="40:42" x14ac:dyDescent="0.3">
      <c r="AN10357">
        <v>10353</v>
      </c>
      <c r="AO10357" s="11">
        <v>22266.23</v>
      </c>
      <c r="AP10357" s="9">
        <v>3.3800886338040503</v>
      </c>
    </row>
    <row r="10358" spans="40:42" x14ac:dyDescent="0.3">
      <c r="AN10358">
        <v>10354</v>
      </c>
      <c r="AO10358" s="11">
        <v>16145.45</v>
      </c>
      <c r="AP10358" s="9">
        <v>3.0376303319631894</v>
      </c>
    </row>
    <row r="10359" spans="40:42" x14ac:dyDescent="0.3">
      <c r="AN10359">
        <v>10355</v>
      </c>
      <c r="AO10359" s="11">
        <v>32558.78</v>
      </c>
      <c r="AP10359" s="9">
        <v>3.5197068069608197</v>
      </c>
    </row>
    <row r="10360" spans="40:42" x14ac:dyDescent="0.3">
      <c r="AN10360">
        <v>10356</v>
      </c>
      <c r="AO10360" s="11">
        <v>21135.64</v>
      </c>
      <c r="AP10360" s="9">
        <v>3.0284772251524492</v>
      </c>
    </row>
    <row r="10361" spans="40:42" x14ac:dyDescent="0.3">
      <c r="AN10361">
        <v>10357</v>
      </c>
      <c r="AO10361" s="11">
        <v>43288.88</v>
      </c>
      <c r="AP10361" s="9">
        <v>3.426154166277108</v>
      </c>
    </row>
    <row r="10362" spans="40:42" x14ac:dyDescent="0.3">
      <c r="AN10362">
        <v>10358</v>
      </c>
      <c r="AO10362" s="11">
        <v>28792.73</v>
      </c>
      <c r="AP10362" s="9">
        <v>3.3562877797215593</v>
      </c>
    </row>
    <row r="10363" spans="40:42" x14ac:dyDescent="0.3">
      <c r="AN10363">
        <v>10359</v>
      </c>
      <c r="AO10363" s="11">
        <v>20761.04</v>
      </c>
      <c r="AP10363" s="9">
        <v>3.6362608066249988</v>
      </c>
    </row>
    <row r="10364" spans="40:42" x14ac:dyDescent="0.3">
      <c r="AN10364">
        <v>10360</v>
      </c>
      <c r="AO10364" s="11">
        <v>25750.7</v>
      </c>
      <c r="AP10364" s="9">
        <v>3.4682118398000803</v>
      </c>
    </row>
    <row r="10365" spans="40:42" x14ac:dyDescent="0.3">
      <c r="AN10365">
        <v>10361</v>
      </c>
      <c r="AO10365" s="11">
        <v>29811.93</v>
      </c>
      <c r="AP10365" s="9">
        <v>3.4475277140842451</v>
      </c>
    </row>
    <row r="10366" spans="40:42" x14ac:dyDescent="0.3">
      <c r="AN10366">
        <v>10362</v>
      </c>
      <c r="AO10366" s="11">
        <v>32231.49</v>
      </c>
      <c r="AP10366" s="9">
        <v>3.8518988790367361</v>
      </c>
    </row>
    <row r="10367" spans="40:42" x14ac:dyDescent="0.3">
      <c r="AN10367">
        <v>10363</v>
      </c>
      <c r="AO10367" s="11">
        <v>34020.94</v>
      </c>
      <c r="AP10367" s="9">
        <v>4.612880648487077</v>
      </c>
    </row>
    <row r="10368" spans="40:42" x14ac:dyDescent="0.3">
      <c r="AN10368">
        <v>10364</v>
      </c>
      <c r="AO10368" s="11">
        <v>28731.79</v>
      </c>
      <c r="AP10368" s="9">
        <v>3.251036268165548</v>
      </c>
    </row>
    <row r="10369" spans="40:42" x14ac:dyDescent="0.3">
      <c r="AN10369">
        <v>10365</v>
      </c>
      <c r="AO10369" s="11">
        <v>20936.349999999999</v>
      </c>
      <c r="AP10369" s="9">
        <v>3.4363041788989208</v>
      </c>
    </row>
    <row r="10370" spans="40:42" x14ac:dyDescent="0.3">
      <c r="AN10370">
        <v>10366</v>
      </c>
      <c r="AO10370" s="11">
        <v>27488.55</v>
      </c>
      <c r="AP10370" s="9">
        <v>3.7694962668995027</v>
      </c>
    </row>
    <row r="10371" spans="40:42" x14ac:dyDescent="0.3">
      <c r="AN10371">
        <v>10367</v>
      </c>
      <c r="AO10371" s="11">
        <v>19628.93</v>
      </c>
      <c r="AP10371" s="9">
        <v>3.2715849257407807</v>
      </c>
    </row>
    <row r="10372" spans="40:42" x14ac:dyDescent="0.3">
      <c r="AN10372">
        <v>10368</v>
      </c>
      <c r="AO10372" s="11">
        <v>48248.32</v>
      </c>
      <c r="AP10372" s="9">
        <v>3.8547272897548441</v>
      </c>
    </row>
    <row r="10373" spans="40:42" x14ac:dyDescent="0.3">
      <c r="AN10373">
        <v>10369</v>
      </c>
      <c r="AO10373" s="11">
        <v>33430.019999999997</v>
      </c>
      <c r="AP10373" s="9">
        <v>3.7131162444153194</v>
      </c>
    </row>
    <row r="10374" spans="40:42" x14ac:dyDescent="0.3">
      <c r="AN10374">
        <v>10370</v>
      </c>
      <c r="AO10374" s="11">
        <v>36945.08</v>
      </c>
      <c r="AP10374" s="9">
        <v>4.3411332037701227</v>
      </c>
    </row>
    <row r="10375" spans="40:42" x14ac:dyDescent="0.3">
      <c r="AN10375">
        <v>10371</v>
      </c>
      <c r="AO10375" s="11">
        <v>25088.43</v>
      </c>
      <c r="AP10375" s="9">
        <v>3.3809955280930581</v>
      </c>
    </row>
    <row r="10376" spans="40:42" x14ac:dyDescent="0.3">
      <c r="AN10376">
        <v>10372</v>
      </c>
      <c r="AO10376" s="11">
        <v>22041.19</v>
      </c>
      <c r="AP10376" s="9">
        <v>2.3434646669421384</v>
      </c>
    </row>
    <row r="10377" spans="40:42" x14ac:dyDescent="0.3">
      <c r="AN10377">
        <v>10373</v>
      </c>
      <c r="AO10377" s="11">
        <v>32376.25</v>
      </c>
      <c r="AP10377" s="9">
        <v>3.6525611469815269</v>
      </c>
    </row>
    <row r="10378" spans="40:42" x14ac:dyDescent="0.3">
      <c r="AN10378">
        <v>10374</v>
      </c>
      <c r="AO10378" s="11">
        <v>25772.57</v>
      </c>
      <c r="AP10378" s="9">
        <v>2.6691743767704565</v>
      </c>
    </row>
    <row r="10379" spans="40:42" x14ac:dyDescent="0.3">
      <c r="AN10379">
        <v>10375</v>
      </c>
      <c r="AO10379" s="11">
        <v>18031.23</v>
      </c>
      <c r="AP10379" s="9">
        <v>3.1083240342555221</v>
      </c>
    </row>
    <row r="10380" spans="40:42" x14ac:dyDescent="0.3">
      <c r="AN10380">
        <v>10376</v>
      </c>
      <c r="AO10380" s="11">
        <v>27086.880000000001</v>
      </c>
      <c r="AP10380" s="9">
        <v>3.4099371032121697</v>
      </c>
    </row>
    <row r="10381" spans="40:42" x14ac:dyDescent="0.3">
      <c r="AN10381">
        <v>10377</v>
      </c>
      <c r="AO10381" s="11">
        <v>28995.78</v>
      </c>
      <c r="AP10381" s="9">
        <v>3.4669155127127365</v>
      </c>
    </row>
    <row r="10382" spans="40:42" x14ac:dyDescent="0.3">
      <c r="AN10382">
        <v>10378</v>
      </c>
      <c r="AO10382" s="11">
        <v>26151.88</v>
      </c>
      <c r="AP10382" s="9">
        <v>3.3992603978760463</v>
      </c>
    </row>
    <row r="10383" spans="40:42" x14ac:dyDescent="0.3">
      <c r="AN10383">
        <v>10379</v>
      </c>
      <c r="AO10383" s="11">
        <v>30065.02</v>
      </c>
      <c r="AP10383" s="9">
        <v>3.1755409643356951</v>
      </c>
    </row>
    <row r="10384" spans="40:42" x14ac:dyDescent="0.3">
      <c r="AN10384">
        <v>10380</v>
      </c>
      <c r="AO10384" s="11">
        <v>25054.32</v>
      </c>
      <c r="AP10384" s="9">
        <v>3.1218897323889325</v>
      </c>
    </row>
    <row r="10385" spans="40:42" x14ac:dyDescent="0.3">
      <c r="AN10385">
        <v>10381</v>
      </c>
      <c r="AO10385" s="11">
        <v>29720.55</v>
      </c>
      <c r="AP10385" s="9">
        <v>3.0416928795227678</v>
      </c>
    </row>
    <row r="10386" spans="40:42" x14ac:dyDescent="0.3">
      <c r="AN10386">
        <v>10382</v>
      </c>
      <c r="AO10386" s="11">
        <v>23841.18</v>
      </c>
      <c r="AP10386" s="9">
        <v>3.2682360278580904</v>
      </c>
    </row>
    <row r="10387" spans="40:42" x14ac:dyDescent="0.3">
      <c r="AN10387">
        <v>10383</v>
      </c>
      <c r="AO10387" s="11">
        <v>35470.17</v>
      </c>
      <c r="AP10387" s="9">
        <v>3.5363265988657551</v>
      </c>
    </row>
    <row r="10388" spans="40:42" x14ac:dyDescent="0.3">
      <c r="AN10388">
        <v>10384</v>
      </c>
      <c r="AO10388" s="11">
        <v>27904.639999999999</v>
      </c>
      <c r="AP10388" s="9">
        <v>2.9283685338608438</v>
      </c>
    </row>
    <row r="10389" spans="40:42" x14ac:dyDescent="0.3">
      <c r="AN10389">
        <v>10385</v>
      </c>
      <c r="AO10389" s="11">
        <v>24576.38</v>
      </c>
      <c r="AP10389" s="9">
        <v>3.1553450291341765</v>
      </c>
    </row>
    <row r="10390" spans="40:42" x14ac:dyDescent="0.3">
      <c r="AN10390">
        <v>10386</v>
      </c>
      <c r="AO10390" s="11">
        <v>24505.71</v>
      </c>
      <c r="AP10390" s="9">
        <v>4.1182767643741309</v>
      </c>
    </row>
    <row r="10391" spans="40:42" x14ac:dyDescent="0.3">
      <c r="AN10391">
        <v>10387</v>
      </c>
      <c r="AO10391" s="11">
        <v>33961.99</v>
      </c>
      <c r="AP10391" s="9">
        <v>3.7444999184323295</v>
      </c>
    </row>
    <row r="10392" spans="40:42" x14ac:dyDescent="0.3">
      <c r="AN10392">
        <v>10388</v>
      </c>
      <c r="AO10392" s="11">
        <v>28422.2</v>
      </c>
      <c r="AP10392" s="9">
        <v>3.7405432388996558</v>
      </c>
    </row>
    <row r="10393" spans="40:42" x14ac:dyDescent="0.3">
      <c r="AN10393">
        <v>10389</v>
      </c>
      <c r="AO10393" s="11">
        <v>19709.16</v>
      </c>
      <c r="AP10393" s="9">
        <v>3.1950736793652821</v>
      </c>
    </row>
    <row r="10394" spans="40:42" x14ac:dyDescent="0.3">
      <c r="AN10394">
        <v>10390</v>
      </c>
      <c r="AO10394" s="11">
        <v>29675.48</v>
      </c>
      <c r="AP10394" s="9">
        <v>3.6571039333146782</v>
      </c>
    </row>
    <row r="10395" spans="40:42" x14ac:dyDescent="0.3">
      <c r="AN10395">
        <v>10391</v>
      </c>
      <c r="AO10395" s="11">
        <v>34441.660000000003</v>
      </c>
      <c r="AP10395" s="9">
        <v>3.4840967602988213</v>
      </c>
    </row>
    <row r="10396" spans="40:42" x14ac:dyDescent="0.3">
      <c r="AN10396">
        <v>10392</v>
      </c>
      <c r="AO10396" s="11">
        <v>21943.39</v>
      </c>
      <c r="AP10396" s="9">
        <v>3.7711173076926547</v>
      </c>
    </row>
    <row r="10397" spans="40:42" x14ac:dyDescent="0.3">
      <c r="AN10397">
        <v>10393</v>
      </c>
      <c r="AO10397" s="11">
        <v>28921.119999999999</v>
      </c>
      <c r="AP10397" s="9">
        <v>3.93132507549198</v>
      </c>
    </row>
    <row r="10398" spans="40:42" x14ac:dyDescent="0.3">
      <c r="AN10398">
        <v>10394</v>
      </c>
      <c r="AO10398" s="11">
        <v>20599.18</v>
      </c>
      <c r="AP10398" s="9">
        <v>3.3115838016344936</v>
      </c>
    </row>
    <row r="10399" spans="40:42" x14ac:dyDescent="0.3">
      <c r="AN10399">
        <v>10395</v>
      </c>
      <c r="AO10399" s="11">
        <v>17303.21</v>
      </c>
      <c r="AP10399" s="9">
        <v>2.5942300934978162</v>
      </c>
    </row>
    <row r="10400" spans="40:42" x14ac:dyDescent="0.3">
      <c r="AN10400">
        <v>10396</v>
      </c>
      <c r="AO10400" s="11">
        <v>24384.16</v>
      </c>
      <c r="AP10400" s="9">
        <v>3.5463582246980021</v>
      </c>
    </row>
    <row r="10401" spans="40:42" x14ac:dyDescent="0.3">
      <c r="AN10401">
        <v>10397</v>
      </c>
      <c r="AO10401" s="11">
        <v>51216.87</v>
      </c>
      <c r="AP10401" s="9">
        <v>4.0836278639208734</v>
      </c>
    </row>
    <row r="10402" spans="40:42" x14ac:dyDescent="0.3">
      <c r="AN10402">
        <v>10398</v>
      </c>
      <c r="AO10402" s="11">
        <v>25361.98</v>
      </c>
      <c r="AP10402" s="9">
        <v>2.9741412499248012</v>
      </c>
    </row>
    <row r="10403" spans="40:42" x14ac:dyDescent="0.3">
      <c r="AN10403">
        <v>10399</v>
      </c>
      <c r="AO10403" s="11">
        <v>34117.47</v>
      </c>
      <c r="AP10403" s="9">
        <v>3.5348338178718723</v>
      </c>
    </row>
    <row r="10404" spans="40:42" x14ac:dyDescent="0.3">
      <c r="AN10404">
        <v>10400</v>
      </c>
      <c r="AO10404" s="11">
        <v>36431.07</v>
      </c>
      <c r="AP10404" s="9">
        <v>3.8194035241812765</v>
      </c>
    </row>
    <row r="10405" spans="40:42" x14ac:dyDescent="0.3">
      <c r="AN10405">
        <v>10401</v>
      </c>
      <c r="AO10405" s="11">
        <v>30370.51</v>
      </c>
      <c r="AP10405" s="9">
        <v>4.0568842591981626</v>
      </c>
    </row>
    <row r="10406" spans="40:42" x14ac:dyDescent="0.3">
      <c r="AN10406">
        <v>10402</v>
      </c>
      <c r="AO10406" s="11">
        <v>37208.879999999997</v>
      </c>
      <c r="AP10406" s="9">
        <v>3.5236110060161665</v>
      </c>
    </row>
    <row r="10407" spans="40:42" x14ac:dyDescent="0.3">
      <c r="AN10407">
        <v>10403</v>
      </c>
      <c r="AO10407" s="11">
        <v>24346.95</v>
      </c>
      <c r="AP10407" s="9">
        <v>3.5693992065341571</v>
      </c>
    </row>
    <row r="10408" spans="40:42" x14ac:dyDescent="0.3">
      <c r="AN10408">
        <v>10404</v>
      </c>
      <c r="AO10408" s="11">
        <v>26626.7</v>
      </c>
      <c r="AP10408" s="9">
        <v>3.3103934085819748</v>
      </c>
    </row>
    <row r="10409" spans="40:42" x14ac:dyDescent="0.3">
      <c r="AN10409">
        <v>10405</v>
      </c>
      <c r="AO10409" s="11">
        <v>29345.16</v>
      </c>
      <c r="AP10409" s="9">
        <v>3.6281419271564417</v>
      </c>
    </row>
    <row r="10410" spans="40:42" x14ac:dyDescent="0.3">
      <c r="AN10410">
        <v>10406</v>
      </c>
      <c r="AO10410" s="11">
        <v>35869.589999999997</v>
      </c>
      <c r="AP10410" s="9">
        <v>3.7137992745277346</v>
      </c>
    </row>
    <row r="10411" spans="40:42" x14ac:dyDescent="0.3">
      <c r="AN10411">
        <v>10407</v>
      </c>
      <c r="AO10411" s="11">
        <v>28416.45</v>
      </c>
      <c r="AP10411" s="9">
        <v>3.0502500437486062</v>
      </c>
    </row>
    <row r="10412" spans="40:42" x14ac:dyDescent="0.3">
      <c r="AN10412">
        <v>10408</v>
      </c>
      <c r="AO10412" s="11">
        <v>40911.519999999997</v>
      </c>
      <c r="AP10412" s="9">
        <v>4.1286628483493297</v>
      </c>
    </row>
    <row r="10413" spans="40:42" x14ac:dyDescent="0.3">
      <c r="AN10413">
        <v>10409</v>
      </c>
      <c r="AO10413" s="11">
        <v>22535.5</v>
      </c>
      <c r="AP10413" s="9">
        <v>3.2072147027245244</v>
      </c>
    </row>
    <row r="10414" spans="40:42" x14ac:dyDescent="0.3">
      <c r="AN10414">
        <v>10410</v>
      </c>
      <c r="AO10414" s="11">
        <v>14573.46</v>
      </c>
      <c r="AP10414" s="9">
        <v>2.9824616497994842</v>
      </c>
    </row>
    <row r="10415" spans="40:42" x14ac:dyDescent="0.3">
      <c r="AN10415">
        <v>10411</v>
      </c>
      <c r="AO10415" s="11">
        <v>24133.91</v>
      </c>
      <c r="AP10415" s="9">
        <v>3.6420522516205538</v>
      </c>
    </row>
    <row r="10416" spans="40:42" x14ac:dyDescent="0.3">
      <c r="AN10416">
        <v>10412</v>
      </c>
      <c r="AO10416" s="11">
        <v>27889.83</v>
      </c>
      <c r="AP10416" s="9">
        <v>3.9969667878101389</v>
      </c>
    </row>
    <row r="10417" spans="40:42" x14ac:dyDescent="0.3">
      <c r="AN10417">
        <v>10413</v>
      </c>
      <c r="AO10417" s="11">
        <v>26589.46</v>
      </c>
      <c r="AP10417" s="9">
        <v>3.0940067796644719</v>
      </c>
    </row>
    <row r="10418" spans="40:42" x14ac:dyDescent="0.3">
      <c r="AN10418">
        <v>10414</v>
      </c>
      <c r="AO10418" s="11">
        <v>50226.66</v>
      </c>
      <c r="AP10418" s="9">
        <v>4.1974635069928468</v>
      </c>
    </row>
    <row r="10419" spans="40:42" x14ac:dyDescent="0.3">
      <c r="AN10419">
        <v>10415</v>
      </c>
      <c r="AO10419" s="11">
        <v>26092.57</v>
      </c>
      <c r="AP10419" s="9">
        <v>3.3690917080535865</v>
      </c>
    </row>
    <row r="10420" spans="40:42" x14ac:dyDescent="0.3">
      <c r="AN10420">
        <v>10416</v>
      </c>
      <c r="AO10420" s="11">
        <v>25373.51</v>
      </c>
      <c r="AP10420" s="9">
        <v>3.2956543799122779</v>
      </c>
    </row>
    <row r="10421" spans="40:42" x14ac:dyDescent="0.3">
      <c r="AN10421">
        <v>10417</v>
      </c>
      <c r="AO10421" s="11">
        <v>20480.349999999999</v>
      </c>
      <c r="AP10421" s="9">
        <v>2.9747716423952006</v>
      </c>
    </row>
    <row r="10422" spans="40:42" x14ac:dyDescent="0.3">
      <c r="AN10422">
        <v>10418</v>
      </c>
      <c r="AO10422" s="11">
        <v>25755.29</v>
      </c>
      <c r="AP10422" s="9">
        <v>2.9950034175671632</v>
      </c>
    </row>
    <row r="10423" spans="40:42" x14ac:dyDescent="0.3">
      <c r="AN10423">
        <v>10419</v>
      </c>
      <c r="AO10423" s="11">
        <v>29531.79</v>
      </c>
      <c r="AP10423" s="9">
        <v>3.6568747512297723</v>
      </c>
    </row>
    <row r="10424" spans="40:42" x14ac:dyDescent="0.3">
      <c r="AN10424">
        <v>10420</v>
      </c>
      <c r="AO10424" s="11">
        <v>19069.47</v>
      </c>
      <c r="AP10424" s="9">
        <v>3.2744789324597297</v>
      </c>
    </row>
    <row r="10425" spans="40:42" x14ac:dyDescent="0.3">
      <c r="AN10425">
        <v>10421</v>
      </c>
      <c r="AO10425" s="11">
        <v>33829.21</v>
      </c>
      <c r="AP10425" s="9">
        <v>3.6769930933680568</v>
      </c>
    </row>
    <row r="10426" spans="40:42" x14ac:dyDescent="0.3">
      <c r="AN10426">
        <v>10422</v>
      </c>
      <c r="AO10426" s="11">
        <v>36873.760000000002</v>
      </c>
      <c r="AP10426" s="9">
        <v>3.3106953438736979</v>
      </c>
    </row>
    <row r="10427" spans="40:42" x14ac:dyDescent="0.3">
      <c r="AN10427">
        <v>10423</v>
      </c>
      <c r="AO10427" s="11">
        <v>20703.61</v>
      </c>
      <c r="AP10427" s="9">
        <v>3.2659631343545676</v>
      </c>
    </row>
    <row r="10428" spans="40:42" x14ac:dyDescent="0.3">
      <c r="AN10428">
        <v>10424</v>
      </c>
      <c r="AO10428" s="11">
        <v>20407.689999999999</v>
      </c>
      <c r="AP10428" s="9">
        <v>3.6419447879617093</v>
      </c>
    </row>
    <row r="10429" spans="40:42" x14ac:dyDescent="0.3">
      <c r="AN10429">
        <v>10425</v>
      </c>
      <c r="AO10429" s="11">
        <v>28444.97</v>
      </c>
      <c r="AP10429" s="9">
        <v>3.1962611592517023</v>
      </c>
    </row>
    <row r="10430" spans="40:42" x14ac:dyDescent="0.3">
      <c r="AN10430">
        <v>10426</v>
      </c>
      <c r="AO10430" s="11">
        <v>25328.68</v>
      </c>
      <c r="AP10430" s="9">
        <v>3.122663381944851</v>
      </c>
    </row>
    <row r="10431" spans="40:42" x14ac:dyDescent="0.3">
      <c r="AN10431">
        <v>10427</v>
      </c>
      <c r="AO10431" s="11">
        <v>16134.45</v>
      </c>
      <c r="AP10431" s="9">
        <v>3.4516249094134261</v>
      </c>
    </row>
    <row r="10432" spans="40:42" x14ac:dyDescent="0.3">
      <c r="AN10432">
        <v>10428</v>
      </c>
      <c r="AO10432" s="11">
        <v>32091.13</v>
      </c>
      <c r="AP10432" s="9">
        <v>3.0612112727672627</v>
      </c>
    </row>
    <row r="10433" spans="40:42" x14ac:dyDescent="0.3">
      <c r="AN10433">
        <v>10429</v>
      </c>
      <c r="AO10433" s="11">
        <v>36052.22</v>
      </c>
      <c r="AP10433" s="9">
        <v>3.528650586214285</v>
      </c>
    </row>
    <row r="10434" spans="40:42" x14ac:dyDescent="0.3">
      <c r="AN10434">
        <v>10430</v>
      </c>
      <c r="AO10434" s="11">
        <v>32816.51</v>
      </c>
      <c r="AP10434" s="9">
        <v>3.8002294282872504</v>
      </c>
    </row>
    <row r="10435" spans="40:42" x14ac:dyDescent="0.3">
      <c r="AN10435">
        <v>10431</v>
      </c>
      <c r="AO10435" s="11">
        <v>29216.27</v>
      </c>
      <c r="AP10435" s="9">
        <v>3.8718947428158637</v>
      </c>
    </row>
    <row r="10436" spans="40:42" x14ac:dyDescent="0.3">
      <c r="AN10436">
        <v>10432</v>
      </c>
      <c r="AO10436" s="11">
        <v>29115.37</v>
      </c>
      <c r="AP10436" s="9">
        <v>3.0848361585071249</v>
      </c>
    </row>
    <row r="10437" spans="40:42" x14ac:dyDescent="0.3">
      <c r="AN10437">
        <v>10433</v>
      </c>
      <c r="AO10437" s="11">
        <v>30749.37</v>
      </c>
      <c r="AP10437" s="9">
        <v>3.2275187314302385</v>
      </c>
    </row>
    <row r="10438" spans="40:42" x14ac:dyDescent="0.3">
      <c r="AN10438">
        <v>10434</v>
      </c>
      <c r="AO10438" s="11">
        <v>20721.5</v>
      </c>
      <c r="AP10438" s="9">
        <v>3.4290529064673843</v>
      </c>
    </row>
    <row r="10439" spans="40:42" x14ac:dyDescent="0.3">
      <c r="AN10439">
        <v>10435</v>
      </c>
      <c r="AO10439" s="11">
        <v>14764.53</v>
      </c>
      <c r="AP10439" s="9">
        <v>3.0796182622015191</v>
      </c>
    </row>
    <row r="10440" spans="40:42" x14ac:dyDescent="0.3">
      <c r="AN10440">
        <v>10436</v>
      </c>
      <c r="AO10440" s="11">
        <v>33008.65</v>
      </c>
      <c r="AP10440" s="9">
        <v>3.280232963913031</v>
      </c>
    </row>
    <row r="10441" spans="40:42" x14ac:dyDescent="0.3">
      <c r="AN10441">
        <v>10437</v>
      </c>
      <c r="AO10441" s="11">
        <v>36677.19</v>
      </c>
      <c r="AP10441" s="9">
        <v>3.4088200513831213</v>
      </c>
    </row>
    <row r="10442" spans="40:42" x14ac:dyDescent="0.3">
      <c r="AN10442">
        <v>10438</v>
      </c>
      <c r="AO10442" s="11">
        <v>20788.810000000001</v>
      </c>
      <c r="AP10442" s="9">
        <v>3.4558774452132432</v>
      </c>
    </row>
    <row r="10443" spans="40:42" x14ac:dyDescent="0.3">
      <c r="AN10443">
        <v>10439</v>
      </c>
      <c r="AO10443" s="11">
        <v>27885.1</v>
      </c>
      <c r="AP10443" s="9">
        <v>3.6591268419445671</v>
      </c>
    </row>
    <row r="10444" spans="40:42" x14ac:dyDescent="0.3">
      <c r="AN10444">
        <v>10440</v>
      </c>
      <c r="AO10444" s="11">
        <v>20096.73</v>
      </c>
      <c r="AP10444" s="9">
        <v>2.9356923129451173</v>
      </c>
    </row>
    <row r="10445" spans="40:42" x14ac:dyDescent="0.3">
      <c r="AN10445">
        <v>10441</v>
      </c>
      <c r="AO10445" s="11">
        <v>27439.759999999998</v>
      </c>
      <c r="AP10445" s="9">
        <v>3.7451247857636396</v>
      </c>
    </row>
    <row r="10446" spans="40:42" x14ac:dyDescent="0.3">
      <c r="AN10446">
        <v>10442</v>
      </c>
      <c r="AO10446" s="11">
        <v>48197.440000000002</v>
      </c>
      <c r="AP10446" s="9">
        <v>4.5656305030868847</v>
      </c>
    </row>
    <row r="10447" spans="40:42" x14ac:dyDescent="0.3">
      <c r="AN10447">
        <v>10443</v>
      </c>
      <c r="AO10447" s="11">
        <v>20381.05</v>
      </c>
      <c r="AP10447" s="9">
        <v>2.9536541116527149</v>
      </c>
    </row>
    <row r="10448" spans="40:42" x14ac:dyDescent="0.3">
      <c r="AN10448">
        <v>10444</v>
      </c>
      <c r="AO10448" s="11">
        <v>29526.11</v>
      </c>
      <c r="AP10448" s="9">
        <v>3.725837003746713</v>
      </c>
    </row>
    <row r="10449" spans="40:42" x14ac:dyDescent="0.3">
      <c r="AN10449">
        <v>10445</v>
      </c>
      <c r="AO10449" s="11">
        <v>30026.94</v>
      </c>
      <c r="AP10449" s="9">
        <v>3.4899454272949644</v>
      </c>
    </row>
    <row r="10450" spans="40:42" x14ac:dyDescent="0.3">
      <c r="AN10450">
        <v>10446</v>
      </c>
      <c r="AO10450" s="11">
        <v>29177.5</v>
      </c>
      <c r="AP10450" s="9">
        <v>3.4655259147494104</v>
      </c>
    </row>
    <row r="10451" spans="40:42" x14ac:dyDescent="0.3">
      <c r="AN10451">
        <v>10447</v>
      </c>
      <c r="AO10451" s="11">
        <v>38068.410000000003</v>
      </c>
      <c r="AP10451" s="9">
        <v>3.9504874900431974</v>
      </c>
    </row>
    <row r="10452" spans="40:42" x14ac:dyDescent="0.3">
      <c r="AN10452">
        <v>10448</v>
      </c>
      <c r="AO10452" s="11">
        <v>29788.76</v>
      </c>
      <c r="AP10452" s="9">
        <v>3.4808409251404049</v>
      </c>
    </row>
    <row r="10453" spans="40:42" x14ac:dyDescent="0.3">
      <c r="AN10453">
        <v>10449</v>
      </c>
      <c r="AO10453" s="11">
        <v>18953.080000000002</v>
      </c>
      <c r="AP10453" s="9">
        <v>3.8714905992293613</v>
      </c>
    </row>
    <row r="10454" spans="40:42" x14ac:dyDescent="0.3">
      <c r="AN10454">
        <v>10450</v>
      </c>
      <c r="AO10454" s="11">
        <v>43592.36</v>
      </c>
      <c r="AP10454" s="9">
        <v>3.6408437895979198</v>
      </c>
    </row>
    <row r="10455" spans="40:42" x14ac:dyDescent="0.3">
      <c r="AN10455">
        <v>10451</v>
      </c>
      <c r="AO10455" s="11">
        <v>26249.13</v>
      </c>
      <c r="AP10455" s="9">
        <v>3.4646634674587231</v>
      </c>
    </row>
    <row r="10456" spans="40:42" x14ac:dyDescent="0.3">
      <c r="AN10456">
        <v>10452</v>
      </c>
      <c r="AO10456" s="11">
        <v>21592.75</v>
      </c>
      <c r="AP10456" s="9">
        <v>3.5473259564554578</v>
      </c>
    </row>
    <row r="10457" spans="40:42" x14ac:dyDescent="0.3">
      <c r="AN10457">
        <v>10453</v>
      </c>
      <c r="AO10457" s="11">
        <v>28234.02</v>
      </c>
      <c r="AP10457" s="9">
        <v>3.4458097288250551</v>
      </c>
    </row>
    <row r="10458" spans="40:42" x14ac:dyDescent="0.3">
      <c r="AN10458">
        <v>10454</v>
      </c>
      <c r="AO10458" s="11">
        <v>26387.74</v>
      </c>
      <c r="AP10458" s="9">
        <v>3.2269001425610635</v>
      </c>
    </row>
    <row r="10459" spans="40:42" x14ac:dyDescent="0.3">
      <c r="AN10459">
        <v>10455</v>
      </c>
      <c r="AO10459" s="11">
        <v>28351.08</v>
      </c>
      <c r="AP10459" s="9">
        <v>2.6995428376706014</v>
      </c>
    </row>
    <row r="10460" spans="40:42" x14ac:dyDescent="0.3">
      <c r="AN10460">
        <v>10456</v>
      </c>
      <c r="AO10460" s="11">
        <v>18733.41</v>
      </c>
      <c r="AP10460" s="9">
        <v>2.81228959772799</v>
      </c>
    </row>
    <row r="10461" spans="40:42" x14ac:dyDescent="0.3">
      <c r="AN10461">
        <v>10457</v>
      </c>
      <c r="AO10461" s="11">
        <v>34610.17</v>
      </c>
      <c r="AP10461" s="9">
        <v>3.6495171991324824</v>
      </c>
    </row>
    <row r="10462" spans="40:42" x14ac:dyDescent="0.3">
      <c r="AN10462">
        <v>10458</v>
      </c>
      <c r="AO10462" s="11">
        <v>33387.85</v>
      </c>
      <c r="AP10462" s="9">
        <v>3.7435690280622675</v>
      </c>
    </row>
    <row r="10463" spans="40:42" x14ac:dyDescent="0.3">
      <c r="AN10463">
        <v>10459</v>
      </c>
      <c r="AO10463" s="11">
        <v>44449.23</v>
      </c>
      <c r="AP10463" s="9">
        <v>3.6889215842570917</v>
      </c>
    </row>
    <row r="10464" spans="40:42" x14ac:dyDescent="0.3">
      <c r="AN10464">
        <v>10460</v>
      </c>
      <c r="AO10464" s="11">
        <v>30502.959999999999</v>
      </c>
      <c r="AP10464" s="9">
        <v>3.4314148274994789</v>
      </c>
    </row>
    <row r="10465" spans="40:42" x14ac:dyDescent="0.3">
      <c r="AN10465">
        <v>10461</v>
      </c>
      <c r="AO10465" s="11">
        <v>21964.13</v>
      </c>
      <c r="AP10465" s="9">
        <v>3.5273305529176775</v>
      </c>
    </row>
    <row r="10466" spans="40:42" x14ac:dyDescent="0.3">
      <c r="AN10466">
        <v>10462</v>
      </c>
      <c r="AO10466" s="11">
        <v>28972.62</v>
      </c>
      <c r="AP10466" s="9">
        <v>3.1722049271098975</v>
      </c>
    </row>
    <row r="10467" spans="40:42" x14ac:dyDescent="0.3">
      <c r="AN10467">
        <v>10463</v>
      </c>
      <c r="AO10467" s="11">
        <v>43619.63</v>
      </c>
      <c r="AP10467" s="9">
        <v>4.4118267836677072</v>
      </c>
    </row>
    <row r="10468" spans="40:42" x14ac:dyDescent="0.3">
      <c r="AN10468">
        <v>10464</v>
      </c>
      <c r="AO10468" s="11">
        <v>24973.119999999999</v>
      </c>
      <c r="AP10468" s="9">
        <v>3.2160999732567377</v>
      </c>
    </row>
    <row r="10469" spans="40:42" x14ac:dyDescent="0.3">
      <c r="AN10469">
        <v>10465</v>
      </c>
      <c r="AO10469" s="11">
        <v>20859.48</v>
      </c>
      <c r="AP10469" s="9">
        <v>2.8167326461224502</v>
      </c>
    </row>
    <row r="10470" spans="40:42" x14ac:dyDescent="0.3">
      <c r="AN10470">
        <v>10466</v>
      </c>
      <c r="AO10470" s="11">
        <v>30063.34</v>
      </c>
      <c r="AP10470" s="9">
        <v>3.4707921490683677</v>
      </c>
    </row>
    <row r="10471" spans="40:42" x14ac:dyDescent="0.3">
      <c r="AN10471">
        <v>10467</v>
      </c>
      <c r="AO10471" s="11">
        <v>26791.05</v>
      </c>
      <c r="AP10471" s="9">
        <v>3.8516105829398448</v>
      </c>
    </row>
    <row r="10472" spans="40:42" x14ac:dyDescent="0.3">
      <c r="AN10472">
        <v>10468</v>
      </c>
      <c r="AO10472" s="11">
        <v>23390.22</v>
      </c>
      <c r="AP10472" s="9">
        <v>3.2935877033098402</v>
      </c>
    </row>
    <row r="10473" spans="40:42" x14ac:dyDescent="0.3">
      <c r="AN10473">
        <v>10469</v>
      </c>
      <c r="AO10473" s="11">
        <v>47160.05</v>
      </c>
      <c r="AP10473" s="9">
        <v>3.994984420281392</v>
      </c>
    </row>
    <row r="10474" spans="40:42" x14ac:dyDescent="0.3">
      <c r="AN10474">
        <v>10470</v>
      </c>
      <c r="AO10474" s="11">
        <v>23647.94</v>
      </c>
      <c r="AP10474" s="9">
        <v>3.1230820298749826</v>
      </c>
    </row>
    <row r="10475" spans="40:42" x14ac:dyDescent="0.3">
      <c r="AN10475">
        <v>10471</v>
      </c>
      <c r="AO10475" s="11">
        <v>36437.35</v>
      </c>
      <c r="AP10475" s="9">
        <v>3.4832830350682178</v>
      </c>
    </row>
    <row r="10476" spans="40:42" x14ac:dyDescent="0.3">
      <c r="AN10476">
        <v>10472</v>
      </c>
      <c r="AO10476" s="11">
        <v>27766.38</v>
      </c>
      <c r="AP10476" s="9">
        <v>3.2743014776080899</v>
      </c>
    </row>
    <row r="10477" spans="40:42" x14ac:dyDescent="0.3">
      <c r="AN10477">
        <v>10473</v>
      </c>
      <c r="AO10477" s="11">
        <v>29713.13</v>
      </c>
      <c r="AP10477" s="9">
        <v>4.0146051550484207</v>
      </c>
    </row>
    <row r="10478" spans="40:42" x14ac:dyDescent="0.3">
      <c r="AN10478">
        <v>10474</v>
      </c>
      <c r="AO10478" s="11">
        <v>32219.52</v>
      </c>
      <c r="AP10478" s="9">
        <v>3.426814772206261</v>
      </c>
    </row>
    <row r="10479" spans="40:42" x14ac:dyDescent="0.3">
      <c r="AN10479">
        <v>10475</v>
      </c>
      <c r="AO10479" s="11">
        <v>32669.82</v>
      </c>
      <c r="AP10479" s="9">
        <v>3.3855393335849522</v>
      </c>
    </row>
    <row r="10480" spans="40:42" x14ac:dyDescent="0.3">
      <c r="AN10480">
        <v>10476</v>
      </c>
      <c r="AO10480" s="11">
        <v>22180.52</v>
      </c>
      <c r="AP10480" s="9">
        <v>3.6439996091918321</v>
      </c>
    </row>
    <row r="10481" spans="40:42" x14ac:dyDescent="0.3">
      <c r="AN10481">
        <v>10477</v>
      </c>
      <c r="AO10481" s="11">
        <v>30699.34</v>
      </c>
      <c r="AP10481" s="9">
        <v>3.3041049179246986</v>
      </c>
    </row>
    <row r="10482" spans="40:42" x14ac:dyDescent="0.3">
      <c r="AN10482">
        <v>10478</v>
      </c>
      <c r="AO10482" s="11">
        <v>28061.48</v>
      </c>
      <c r="AP10482" s="9">
        <v>3.2078802845827958</v>
      </c>
    </row>
    <row r="10483" spans="40:42" x14ac:dyDescent="0.3">
      <c r="AN10483">
        <v>10479</v>
      </c>
      <c r="AO10483" s="11">
        <v>20181.560000000001</v>
      </c>
      <c r="AP10483" s="9">
        <v>3.198478335677065</v>
      </c>
    </row>
    <row r="10484" spans="40:42" x14ac:dyDescent="0.3">
      <c r="AN10484">
        <v>10480</v>
      </c>
      <c r="AO10484" s="11">
        <v>29164.720000000001</v>
      </c>
      <c r="AP10484" s="9">
        <v>3.0026784493850669</v>
      </c>
    </row>
    <row r="10485" spans="40:42" x14ac:dyDescent="0.3">
      <c r="AN10485">
        <v>10481</v>
      </c>
      <c r="AO10485" s="11">
        <v>17229.900000000001</v>
      </c>
      <c r="AP10485" s="9">
        <v>3.1393871721262285</v>
      </c>
    </row>
    <row r="10486" spans="40:42" x14ac:dyDescent="0.3">
      <c r="AN10486">
        <v>10482</v>
      </c>
      <c r="AO10486" s="11">
        <v>27955.040000000001</v>
      </c>
      <c r="AP10486" s="9">
        <v>3.6281529313306979</v>
      </c>
    </row>
    <row r="10487" spans="40:42" x14ac:dyDescent="0.3">
      <c r="AN10487">
        <v>10483</v>
      </c>
      <c r="AO10487" s="11">
        <v>19575.669999999998</v>
      </c>
      <c r="AP10487" s="9">
        <v>2.867656312307227</v>
      </c>
    </row>
    <row r="10488" spans="40:42" x14ac:dyDescent="0.3">
      <c r="AN10488">
        <v>10484</v>
      </c>
      <c r="AO10488" s="11">
        <v>33092.089999999997</v>
      </c>
      <c r="AP10488" s="9">
        <v>3.2691635882868786</v>
      </c>
    </row>
    <row r="10489" spans="40:42" x14ac:dyDescent="0.3">
      <c r="AN10489">
        <v>10485</v>
      </c>
      <c r="AO10489" s="11">
        <v>23486.58</v>
      </c>
      <c r="AP10489" s="9">
        <v>3.5233749621860944</v>
      </c>
    </row>
    <row r="10490" spans="40:42" x14ac:dyDescent="0.3">
      <c r="AN10490">
        <v>10486</v>
      </c>
      <c r="AO10490" s="11">
        <v>26284.13</v>
      </c>
      <c r="AP10490" s="9">
        <v>4.0890650040250138</v>
      </c>
    </row>
    <row r="10491" spans="40:42" x14ac:dyDescent="0.3">
      <c r="AN10491">
        <v>10487</v>
      </c>
      <c r="AO10491" s="11">
        <v>22065.06</v>
      </c>
      <c r="AP10491" s="9">
        <v>3.43131734805787</v>
      </c>
    </row>
    <row r="10492" spans="40:42" x14ac:dyDescent="0.3">
      <c r="AN10492">
        <v>10488</v>
      </c>
      <c r="AO10492" s="11">
        <v>27509.85</v>
      </c>
      <c r="AP10492" s="9">
        <v>3.5771444870337215</v>
      </c>
    </row>
    <row r="10493" spans="40:42" x14ac:dyDescent="0.3">
      <c r="AN10493">
        <v>10489</v>
      </c>
      <c r="AO10493" s="11">
        <v>39262.86</v>
      </c>
      <c r="AP10493" s="9">
        <v>3.7670941761657617</v>
      </c>
    </row>
    <row r="10494" spans="40:42" x14ac:dyDescent="0.3">
      <c r="AN10494">
        <v>10490</v>
      </c>
      <c r="AO10494" s="11">
        <v>25701.17</v>
      </c>
      <c r="AP10494" s="9">
        <v>3.3167922580505764</v>
      </c>
    </row>
    <row r="10495" spans="40:42" x14ac:dyDescent="0.3">
      <c r="AN10495">
        <v>10491</v>
      </c>
      <c r="AO10495" s="11">
        <v>27731.89</v>
      </c>
      <c r="AP10495" s="9">
        <v>3.0005672234538654</v>
      </c>
    </row>
    <row r="10496" spans="40:42" x14ac:dyDescent="0.3">
      <c r="AN10496">
        <v>10492</v>
      </c>
      <c r="AO10496" s="11">
        <v>28534.400000000001</v>
      </c>
      <c r="AP10496" s="9">
        <v>3.5915033334858331</v>
      </c>
    </row>
    <row r="10497" spans="40:42" x14ac:dyDescent="0.3">
      <c r="AN10497">
        <v>10493</v>
      </c>
      <c r="AO10497" s="11">
        <v>27708.39</v>
      </c>
      <c r="AP10497" s="9">
        <v>2.836117314231648</v>
      </c>
    </row>
    <row r="10498" spans="40:42" x14ac:dyDescent="0.3">
      <c r="AN10498">
        <v>10494</v>
      </c>
      <c r="AO10498" s="11">
        <v>18088.259999999998</v>
      </c>
      <c r="AP10498" s="9">
        <v>2.9377768581520396</v>
      </c>
    </row>
    <row r="10499" spans="40:42" x14ac:dyDescent="0.3">
      <c r="AN10499">
        <v>10495</v>
      </c>
      <c r="AO10499" s="11">
        <v>26558.44</v>
      </c>
      <c r="AP10499" s="9">
        <v>3.8082221270038241</v>
      </c>
    </row>
    <row r="10500" spans="40:42" x14ac:dyDescent="0.3">
      <c r="AN10500">
        <v>10496</v>
      </c>
      <c r="AO10500" s="11">
        <v>21755.9</v>
      </c>
      <c r="AP10500" s="9">
        <v>4.1965838673877425</v>
      </c>
    </row>
    <row r="10501" spans="40:42" x14ac:dyDescent="0.3">
      <c r="AN10501">
        <v>10497</v>
      </c>
      <c r="AO10501" s="11">
        <v>37572.519999999997</v>
      </c>
      <c r="AP10501" s="9">
        <v>3.8336845610580386</v>
      </c>
    </row>
    <row r="10502" spans="40:42" x14ac:dyDescent="0.3">
      <c r="AN10502">
        <v>10498</v>
      </c>
      <c r="AO10502" s="11">
        <v>24690.91</v>
      </c>
      <c r="AP10502" s="9">
        <v>3.9087096444251288</v>
      </c>
    </row>
    <row r="10503" spans="40:42" x14ac:dyDescent="0.3">
      <c r="AN10503">
        <v>10499</v>
      </c>
      <c r="AO10503" s="11">
        <v>28334.09</v>
      </c>
      <c r="AP10503" s="9">
        <v>2.9025587850114718</v>
      </c>
    </row>
    <row r="10504" spans="40:42" x14ac:dyDescent="0.3">
      <c r="AN10504">
        <v>10500</v>
      </c>
      <c r="AO10504" s="11">
        <v>23248.49</v>
      </c>
      <c r="AP10504" s="9">
        <v>2.6536635538687223</v>
      </c>
    </row>
    <row r="10505" spans="40:42" x14ac:dyDescent="0.3">
      <c r="AN10505">
        <v>10501</v>
      </c>
      <c r="AO10505" s="11">
        <v>27774.66</v>
      </c>
      <c r="AP10505" s="9">
        <v>4.019539331277298</v>
      </c>
    </row>
    <row r="10506" spans="40:42" x14ac:dyDescent="0.3">
      <c r="AN10506">
        <v>10502</v>
      </c>
      <c r="AO10506" s="11">
        <v>27271.73</v>
      </c>
      <c r="AP10506" s="9">
        <v>3.1783615829353247</v>
      </c>
    </row>
    <row r="10507" spans="40:42" x14ac:dyDescent="0.3">
      <c r="AN10507">
        <v>10503</v>
      </c>
      <c r="AO10507" s="11">
        <v>26435.51</v>
      </c>
      <c r="AP10507" s="9">
        <v>3.2587759417469835</v>
      </c>
    </row>
    <row r="10508" spans="40:42" x14ac:dyDescent="0.3">
      <c r="AN10508">
        <v>10504</v>
      </c>
      <c r="AO10508" s="11">
        <v>35095</v>
      </c>
      <c r="AP10508" s="9">
        <v>3.6021802613049427</v>
      </c>
    </row>
    <row r="10509" spans="40:42" x14ac:dyDescent="0.3">
      <c r="AN10509">
        <v>10505</v>
      </c>
      <c r="AO10509" s="11">
        <v>22213.66</v>
      </c>
      <c r="AP10509" s="9">
        <v>3.0196350083715147</v>
      </c>
    </row>
    <row r="10510" spans="40:42" x14ac:dyDescent="0.3">
      <c r="AN10510">
        <v>10506</v>
      </c>
      <c r="AO10510" s="11">
        <v>24475.56</v>
      </c>
      <c r="AP10510" s="9">
        <v>3.3606105718722072</v>
      </c>
    </row>
    <row r="10511" spans="40:42" x14ac:dyDescent="0.3">
      <c r="AN10511">
        <v>10507</v>
      </c>
      <c r="AO10511" s="11">
        <v>31008.97</v>
      </c>
      <c r="AP10511" s="9">
        <v>2.8505396029008541</v>
      </c>
    </row>
    <row r="10512" spans="40:42" x14ac:dyDescent="0.3">
      <c r="AN10512">
        <v>10508</v>
      </c>
      <c r="AO10512" s="11">
        <v>24365.97</v>
      </c>
      <c r="AP10512" s="9">
        <v>2.9908095244775241</v>
      </c>
    </row>
    <row r="10513" spans="40:42" x14ac:dyDescent="0.3">
      <c r="AN10513">
        <v>10509</v>
      </c>
      <c r="AO10513" s="11">
        <v>38326.94</v>
      </c>
      <c r="AP10513" s="9">
        <v>4.3250928083966285</v>
      </c>
    </row>
    <row r="10514" spans="40:42" x14ac:dyDescent="0.3">
      <c r="AN10514">
        <v>10510</v>
      </c>
      <c r="AO10514" s="11">
        <v>15660.39</v>
      </c>
      <c r="AP10514" s="9">
        <v>2.5250300561206189</v>
      </c>
    </row>
    <row r="10515" spans="40:42" x14ac:dyDescent="0.3">
      <c r="AN10515">
        <v>10511</v>
      </c>
      <c r="AO10515" s="11">
        <v>24351.66</v>
      </c>
      <c r="AP10515" s="9">
        <v>3.4413107972599204</v>
      </c>
    </row>
    <row r="10516" spans="40:42" x14ac:dyDescent="0.3">
      <c r="AN10516">
        <v>10512</v>
      </c>
      <c r="AO10516" s="11">
        <v>21830.15</v>
      </c>
      <c r="AP10516" s="9">
        <v>3.3755747100184559</v>
      </c>
    </row>
    <row r="10517" spans="40:42" x14ac:dyDescent="0.3">
      <c r="AN10517">
        <v>10513</v>
      </c>
      <c r="AO10517" s="11">
        <v>34419.68</v>
      </c>
      <c r="AP10517" s="9">
        <v>3.5370225611888695</v>
      </c>
    </row>
    <row r="10518" spans="40:42" x14ac:dyDescent="0.3">
      <c r="AN10518">
        <v>10514</v>
      </c>
      <c r="AO10518" s="11">
        <v>24216.54</v>
      </c>
      <c r="AP10518" s="9">
        <v>2.9810652428614786</v>
      </c>
    </row>
    <row r="10519" spans="40:42" x14ac:dyDescent="0.3">
      <c r="AN10519">
        <v>10515</v>
      </c>
      <c r="AO10519" s="11">
        <v>29247.71</v>
      </c>
      <c r="AP10519" s="9">
        <v>3.7054292049994482</v>
      </c>
    </row>
    <row r="10520" spans="40:42" x14ac:dyDescent="0.3">
      <c r="AN10520">
        <v>10516</v>
      </c>
      <c r="AO10520" s="11">
        <v>26689.64</v>
      </c>
      <c r="AP10520" s="9">
        <v>3.2078087040446879</v>
      </c>
    </row>
    <row r="10521" spans="40:42" x14ac:dyDescent="0.3">
      <c r="AN10521">
        <v>10517</v>
      </c>
      <c r="AO10521" s="11">
        <v>29502.400000000001</v>
      </c>
      <c r="AP10521" s="9">
        <v>2.9848511360269616</v>
      </c>
    </row>
    <row r="10522" spans="40:42" x14ac:dyDescent="0.3">
      <c r="AN10522">
        <v>10518</v>
      </c>
      <c r="AO10522" s="11">
        <v>27612.799999999999</v>
      </c>
      <c r="AP10522" s="9">
        <v>3.8163498696215385</v>
      </c>
    </row>
    <row r="10523" spans="40:42" x14ac:dyDescent="0.3">
      <c r="AN10523">
        <v>10519</v>
      </c>
      <c r="AO10523" s="11">
        <v>16804.13</v>
      </c>
      <c r="AP10523" s="9">
        <v>3.9698563904339736</v>
      </c>
    </row>
    <row r="10524" spans="40:42" x14ac:dyDescent="0.3">
      <c r="AN10524">
        <v>10520</v>
      </c>
      <c r="AO10524" s="11">
        <v>23492.41</v>
      </c>
      <c r="AP10524" s="9">
        <v>3.6128601545003871</v>
      </c>
    </row>
    <row r="10525" spans="40:42" x14ac:dyDescent="0.3">
      <c r="AN10525">
        <v>10521</v>
      </c>
      <c r="AO10525" s="11">
        <v>33811.589999999997</v>
      </c>
      <c r="AP10525" s="9">
        <v>3.131033060232904</v>
      </c>
    </row>
    <row r="10526" spans="40:42" x14ac:dyDescent="0.3">
      <c r="AN10526">
        <v>10522</v>
      </c>
      <c r="AO10526" s="11">
        <v>37273.83</v>
      </c>
      <c r="AP10526" s="9">
        <v>4.8754682886628862</v>
      </c>
    </row>
    <row r="10527" spans="40:42" x14ac:dyDescent="0.3">
      <c r="AN10527">
        <v>10523</v>
      </c>
      <c r="AO10527" s="11">
        <v>28840.98</v>
      </c>
      <c r="AP10527" s="9">
        <v>3.3434312565132376</v>
      </c>
    </row>
    <row r="10528" spans="40:42" x14ac:dyDescent="0.3">
      <c r="AN10528">
        <v>10524</v>
      </c>
      <c r="AO10528" s="11">
        <v>26391.439999999999</v>
      </c>
      <c r="AP10528" s="9">
        <v>2.9923306894858754</v>
      </c>
    </row>
    <row r="10529" spans="40:42" x14ac:dyDescent="0.3">
      <c r="AN10529">
        <v>10525</v>
      </c>
      <c r="AO10529" s="11">
        <v>25088.99</v>
      </c>
      <c r="AP10529" s="9">
        <v>4.1631435571555961</v>
      </c>
    </row>
    <row r="10530" spans="40:42" x14ac:dyDescent="0.3">
      <c r="AN10530">
        <v>10526</v>
      </c>
      <c r="AO10530" s="11">
        <v>36968.46</v>
      </c>
      <c r="AP10530" s="9">
        <v>3.3852353253523622</v>
      </c>
    </row>
    <row r="10531" spans="40:42" x14ac:dyDescent="0.3">
      <c r="AN10531">
        <v>10527</v>
      </c>
      <c r="AO10531" s="11">
        <v>26552.76</v>
      </c>
      <c r="AP10531" s="9">
        <v>3.80318226426765</v>
      </c>
    </row>
    <row r="10532" spans="40:42" x14ac:dyDescent="0.3">
      <c r="AN10532">
        <v>10528</v>
      </c>
      <c r="AO10532" s="11">
        <v>24881.68</v>
      </c>
      <c r="AP10532" s="9">
        <v>2.7922556308773112</v>
      </c>
    </row>
    <row r="10533" spans="40:42" x14ac:dyDescent="0.3">
      <c r="AN10533">
        <v>10529</v>
      </c>
      <c r="AO10533" s="11">
        <v>15221.24</v>
      </c>
      <c r="AP10533" s="9">
        <v>3.3267522276776833</v>
      </c>
    </row>
    <row r="10534" spans="40:42" x14ac:dyDescent="0.3">
      <c r="AN10534">
        <v>10530</v>
      </c>
      <c r="AO10534" s="11">
        <v>28372.42</v>
      </c>
      <c r="AP10534" s="9">
        <v>4.0089114066661882</v>
      </c>
    </row>
    <row r="10535" spans="40:42" x14ac:dyDescent="0.3">
      <c r="AN10535">
        <v>10531</v>
      </c>
      <c r="AO10535" s="11">
        <v>37876.78</v>
      </c>
      <c r="AP10535" s="9">
        <v>3.3105064578583319</v>
      </c>
    </row>
    <row r="10536" spans="40:42" x14ac:dyDescent="0.3">
      <c r="AN10536">
        <v>10532</v>
      </c>
      <c r="AO10536" s="11">
        <v>27336.39</v>
      </c>
      <c r="AP10536" s="9">
        <v>3.5761617396669667</v>
      </c>
    </row>
    <row r="10537" spans="40:42" x14ac:dyDescent="0.3">
      <c r="AN10537">
        <v>10533</v>
      </c>
      <c r="AO10537" s="11">
        <v>24146.92</v>
      </c>
      <c r="AP10537" s="9">
        <v>3.171742619639033</v>
      </c>
    </row>
    <row r="10538" spans="40:42" x14ac:dyDescent="0.3">
      <c r="AN10538">
        <v>10534</v>
      </c>
      <c r="AO10538" s="11">
        <v>21798.9</v>
      </c>
      <c r="AP10538" s="9">
        <v>4.0383615999357385</v>
      </c>
    </row>
    <row r="10539" spans="40:42" x14ac:dyDescent="0.3">
      <c r="AN10539">
        <v>10535</v>
      </c>
      <c r="AO10539" s="11">
        <v>42428.87</v>
      </c>
      <c r="AP10539" s="9">
        <v>3.5649592509959942</v>
      </c>
    </row>
    <row r="10540" spans="40:42" x14ac:dyDescent="0.3">
      <c r="AN10540">
        <v>10536</v>
      </c>
      <c r="AO10540" s="11">
        <v>29644.03</v>
      </c>
      <c r="AP10540" s="9">
        <v>3.2521105090400861</v>
      </c>
    </row>
    <row r="10541" spans="40:42" x14ac:dyDescent="0.3">
      <c r="AN10541">
        <v>10537</v>
      </c>
      <c r="AO10541" s="11">
        <v>38941.75</v>
      </c>
      <c r="AP10541" s="9">
        <v>4.4332173614923462</v>
      </c>
    </row>
    <row r="10542" spans="40:42" x14ac:dyDescent="0.3">
      <c r="AN10542">
        <v>10538</v>
      </c>
      <c r="AO10542" s="11">
        <v>28209.3</v>
      </c>
      <c r="AP10542" s="9">
        <v>2.9127756018660285</v>
      </c>
    </row>
    <row r="10543" spans="40:42" x14ac:dyDescent="0.3">
      <c r="AN10543">
        <v>10539</v>
      </c>
      <c r="AO10543" s="11">
        <v>14747.73</v>
      </c>
      <c r="AP10543" s="9">
        <v>3.3889221934797531</v>
      </c>
    </row>
    <row r="10544" spans="40:42" x14ac:dyDescent="0.3">
      <c r="AN10544">
        <v>10540</v>
      </c>
      <c r="AO10544" s="11">
        <v>18745.72</v>
      </c>
      <c r="AP10544" s="9">
        <v>3.1041980236785842</v>
      </c>
    </row>
    <row r="10545" spans="40:42" x14ac:dyDescent="0.3">
      <c r="AN10545">
        <v>10541</v>
      </c>
      <c r="AO10545" s="11">
        <v>25685.65</v>
      </c>
      <c r="AP10545" s="9">
        <v>2.6407144155562507</v>
      </c>
    </row>
    <row r="10546" spans="40:42" x14ac:dyDescent="0.3">
      <c r="AN10546">
        <v>10542</v>
      </c>
      <c r="AO10546" s="11">
        <v>36129.65</v>
      </c>
      <c r="AP10546" s="9">
        <v>3.4395899436088233</v>
      </c>
    </row>
    <row r="10547" spans="40:42" x14ac:dyDescent="0.3">
      <c r="AN10547">
        <v>10543</v>
      </c>
      <c r="AO10547" s="11">
        <v>28872.55</v>
      </c>
      <c r="AP10547" s="9">
        <v>3.240713794579416</v>
      </c>
    </row>
    <row r="10548" spans="40:42" x14ac:dyDescent="0.3">
      <c r="AN10548">
        <v>10544</v>
      </c>
      <c r="AO10548" s="11">
        <v>20638.669999999998</v>
      </c>
      <c r="AP10548" s="9">
        <v>2.7796638182252265</v>
      </c>
    </row>
    <row r="10549" spans="40:42" x14ac:dyDescent="0.3">
      <c r="AN10549">
        <v>10545</v>
      </c>
      <c r="AO10549" s="11">
        <v>26213.94</v>
      </c>
      <c r="AP10549" s="9">
        <v>3.5573313021381305</v>
      </c>
    </row>
    <row r="10550" spans="40:42" x14ac:dyDescent="0.3">
      <c r="AN10550">
        <v>10546</v>
      </c>
      <c r="AO10550" s="11">
        <v>25862.97</v>
      </c>
      <c r="AP10550" s="9">
        <v>3.2079311389407903</v>
      </c>
    </row>
    <row r="10551" spans="40:42" x14ac:dyDescent="0.3">
      <c r="AN10551">
        <v>10547</v>
      </c>
      <c r="AO10551" s="11">
        <v>40840.050000000003</v>
      </c>
      <c r="AP10551" s="9">
        <v>3.5950155383169458</v>
      </c>
    </row>
    <row r="10552" spans="40:42" x14ac:dyDescent="0.3">
      <c r="AN10552">
        <v>10548</v>
      </c>
      <c r="AO10552" s="11">
        <v>29885.18</v>
      </c>
      <c r="AP10552" s="9">
        <v>3.5480371198555085</v>
      </c>
    </row>
    <row r="10553" spans="40:42" x14ac:dyDescent="0.3">
      <c r="AN10553">
        <v>10549</v>
      </c>
      <c r="AO10553" s="11">
        <v>27392.95</v>
      </c>
      <c r="AP10553" s="9">
        <v>3.1504962675359982</v>
      </c>
    </row>
    <row r="10554" spans="40:42" x14ac:dyDescent="0.3">
      <c r="AN10554">
        <v>10550</v>
      </c>
      <c r="AO10554" s="11">
        <v>32186.57</v>
      </c>
      <c r="AP10554" s="9">
        <v>3.5539516497616321</v>
      </c>
    </row>
    <row r="10555" spans="40:42" x14ac:dyDescent="0.3">
      <c r="AN10555">
        <v>10551</v>
      </c>
      <c r="AO10555" s="11">
        <v>18807.52</v>
      </c>
      <c r="AP10555" s="9">
        <v>2.9665643838444113</v>
      </c>
    </row>
    <row r="10556" spans="40:42" x14ac:dyDescent="0.3">
      <c r="AN10556">
        <v>10552</v>
      </c>
      <c r="AO10556" s="11">
        <v>24076.79</v>
      </c>
      <c r="AP10556" s="9">
        <v>3.876146955290813</v>
      </c>
    </row>
    <row r="10557" spans="40:42" x14ac:dyDescent="0.3">
      <c r="AN10557">
        <v>10553</v>
      </c>
      <c r="AO10557" s="11">
        <v>29765.439999999999</v>
      </c>
      <c r="AP10557" s="9">
        <v>3.7126748187705871</v>
      </c>
    </row>
    <row r="10558" spans="40:42" x14ac:dyDescent="0.3">
      <c r="AN10558">
        <v>10554</v>
      </c>
      <c r="AO10558" s="11">
        <v>24031.66</v>
      </c>
      <c r="AP10558" s="9">
        <v>3.7178779661316033</v>
      </c>
    </row>
    <row r="10559" spans="40:42" x14ac:dyDescent="0.3">
      <c r="AN10559">
        <v>10555</v>
      </c>
      <c r="AO10559" s="11">
        <v>27041.01</v>
      </c>
      <c r="AP10559" s="9">
        <v>3.7527000609768679</v>
      </c>
    </row>
    <row r="10560" spans="40:42" x14ac:dyDescent="0.3">
      <c r="AN10560">
        <v>10556</v>
      </c>
      <c r="AO10560" s="11">
        <v>24055.66</v>
      </c>
      <c r="AP10560" s="9">
        <v>3.0081665176057415</v>
      </c>
    </row>
    <row r="10561" spans="40:42" x14ac:dyDescent="0.3">
      <c r="AN10561">
        <v>10557</v>
      </c>
      <c r="AO10561" s="11">
        <v>31281.05</v>
      </c>
      <c r="AP10561" s="9">
        <v>3.7726168510601577</v>
      </c>
    </row>
    <row r="10562" spans="40:42" x14ac:dyDescent="0.3">
      <c r="AN10562">
        <v>10558</v>
      </c>
      <c r="AO10562" s="11">
        <v>29897.48</v>
      </c>
      <c r="AP10562" s="9">
        <v>3.7036127869606084</v>
      </c>
    </row>
    <row r="10563" spans="40:42" x14ac:dyDescent="0.3">
      <c r="AN10563">
        <v>10559</v>
      </c>
      <c r="AO10563" s="11">
        <v>31269.040000000001</v>
      </c>
      <c r="AP10563" s="9">
        <v>3.8265832411439922</v>
      </c>
    </row>
    <row r="10564" spans="40:42" x14ac:dyDescent="0.3">
      <c r="AN10564">
        <v>10560</v>
      </c>
      <c r="AO10564" s="11">
        <v>28589.14</v>
      </c>
      <c r="AP10564" s="9">
        <v>3.1861205839930453</v>
      </c>
    </row>
    <row r="10565" spans="40:42" x14ac:dyDescent="0.3">
      <c r="AN10565">
        <v>10561</v>
      </c>
      <c r="AO10565" s="11">
        <v>34723.14</v>
      </c>
      <c r="AP10565" s="9">
        <v>3.1076658153838737</v>
      </c>
    </row>
    <row r="10566" spans="40:42" x14ac:dyDescent="0.3">
      <c r="AN10566">
        <v>10562</v>
      </c>
      <c r="AO10566" s="11">
        <v>43351.46</v>
      </c>
      <c r="AP10566" s="9">
        <v>3.74807470012479</v>
      </c>
    </row>
    <row r="10567" spans="40:42" x14ac:dyDescent="0.3">
      <c r="AN10567">
        <v>10563</v>
      </c>
      <c r="AO10567" s="11">
        <v>25199.89</v>
      </c>
      <c r="AP10567" s="9">
        <v>3.1727442593912141</v>
      </c>
    </row>
    <row r="10568" spans="40:42" x14ac:dyDescent="0.3">
      <c r="AN10568">
        <v>10564</v>
      </c>
      <c r="AO10568" s="11">
        <v>30035.62</v>
      </c>
      <c r="AP10568" s="9">
        <v>3.4740665610577315</v>
      </c>
    </row>
    <row r="10569" spans="40:42" x14ac:dyDescent="0.3">
      <c r="AN10569">
        <v>10565</v>
      </c>
      <c r="AO10569" s="11">
        <v>35736.32</v>
      </c>
      <c r="AP10569" s="9">
        <v>3.3084159889006353</v>
      </c>
    </row>
    <row r="10570" spans="40:42" x14ac:dyDescent="0.3">
      <c r="AN10570">
        <v>10566</v>
      </c>
      <c r="AO10570" s="11">
        <v>20286.48</v>
      </c>
      <c r="AP10570" s="9">
        <v>3.1872001102675944</v>
      </c>
    </row>
    <row r="10571" spans="40:42" x14ac:dyDescent="0.3">
      <c r="AN10571">
        <v>10567</v>
      </c>
      <c r="AO10571" s="11">
        <v>23320.73</v>
      </c>
      <c r="AP10571" s="9">
        <v>3.0853692371149419</v>
      </c>
    </row>
    <row r="10572" spans="40:42" x14ac:dyDescent="0.3">
      <c r="AN10572">
        <v>10568</v>
      </c>
      <c r="AO10572" s="11">
        <v>17157.61</v>
      </c>
      <c r="AP10572" s="9">
        <v>3.3182106365806687</v>
      </c>
    </row>
    <row r="10573" spans="40:42" x14ac:dyDescent="0.3">
      <c r="AN10573">
        <v>10569</v>
      </c>
      <c r="AO10573" s="11">
        <v>13191.72</v>
      </c>
      <c r="AP10573" s="9">
        <v>3.0678777767867484</v>
      </c>
    </row>
    <row r="10574" spans="40:42" x14ac:dyDescent="0.3">
      <c r="AN10574">
        <v>10570</v>
      </c>
      <c r="AO10574" s="11">
        <v>31996.94</v>
      </c>
      <c r="AP10574" s="9">
        <v>4.3228540764837371</v>
      </c>
    </row>
    <row r="10575" spans="40:42" x14ac:dyDescent="0.3">
      <c r="AN10575">
        <v>10571</v>
      </c>
      <c r="AO10575" s="11">
        <v>31287.119999999999</v>
      </c>
      <c r="AP10575" s="9">
        <v>3.2768642027630039</v>
      </c>
    </row>
    <row r="10576" spans="40:42" x14ac:dyDescent="0.3">
      <c r="AN10576">
        <v>10572</v>
      </c>
      <c r="AO10576" s="11">
        <v>16295.39</v>
      </c>
      <c r="AP10576" s="9">
        <v>2.8327431619104235</v>
      </c>
    </row>
    <row r="10577" spans="40:42" x14ac:dyDescent="0.3">
      <c r="AN10577">
        <v>10573</v>
      </c>
      <c r="AO10577" s="11">
        <v>26335.57</v>
      </c>
      <c r="AP10577" s="9">
        <v>3.3316154349622953</v>
      </c>
    </row>
    <row r="10578" spans="40:42" x14ac:dyDescent="0.3">
      <c r="AN10578">
        <v>10574</v>
      </c>
      <c r="AO10578" s="11">
        <v>24955.48</v>
      </c>
      <c r="AP10578" s="9">
        <v>2.9756330655584398</v>
      </c>
    </row>
    <row r="10579" spans="40:42" x14ac:dyDescent="0.3">
      <c r="AN10579">
        <v>10575</v>
      </c>
      <c r="AO10579" s="11">
        <v>18959.7</v>
      </c>
      <c r="AP10579" s="9">
        <v>2.9905399432761026</v>
      </c>
    </row>
    <row r="10580" spans="40:42" x14ac:dyDescent="0.3">
      <c r="AN10580">
        <v>10576</v>
      </c>
      <c r="AO10580" s="11">
        <v>23826.17</v>
      </c>
      <c r="AP10580" s="9">
        <v>3.1688385690545733</v>
      </c>
    </row>
    <row r="10581" spans="40:42" x14ac:dyDescent="0.3">
      <c r="AN10581">
        <v>10577</v>
      </c>
      <c r="AO10581" s="11">
        <v>20641.849999999999</v>
      </c>
      <c r="AP10581" s="9">
        <v>3.1210264854478962</v>
      </c>
    </row>
    <row r="10582" spans="40:42" x14ac:dyDescent="0.3">
      <c r="AN10582">
        <v>10578</v>
      </c>
      <c r="AO10582" s="11">
        <v>32772.46</v>
      </c>
      <c r="AP10582" s="9">
        <v>3.6467208473984951</v>
      </c>
    </row>
    <row r="10583" spans="40:42" x14ac:dyDescent="0.3">
      <c r="AN10583">
        <v>10579</v>
      </c>
      <c r="AO10583" s="11">
        <v>16609.03</v>
      </c>
      <c r="AP10583" s="9">
        <v>2.8111002902601383</v>
      </c>
    </row>
    <row r="10584" spans="40:42" x14ac:dyDescent="0.3">
      <c r="AN10584">
        <v>10580</v>
      </c>
      <c r="AO10584" s="11">
        <v>28733.43</v>
      </c>
      <c r="AP10584" s="9">
        <v>3.1731951869815989</v>
      </c>
    </row>
    <row r="10585" spans="40:42" x14ac:dyDescent="0.3">
      <c r="AN10585">
        <v>10581</v>
      </c>
      <c r="AO10585" s="11">
        <v>16916.63</v>
      </c>
      <c r="AP10585" s="9">
        <v>2.6189292520700884</v>
      </c>
    </row>
    <row r="10586" spans="40:42" x14ac:dyDescent="0.3">
      <c r="AN10586">
        <v>10582</v>
      </c>
      <c r="AO10586" s="11">
        <v>31820.07</v>
      </c>
      <c r="AP10586" s="9">
        <v>3.4626206824558663</v>
      </c>
    </row>
    <row r="10587" spans="40:42" x14ac:dyDescent="0.3">
      <c r="AN10587">
        <v>10583</v>
      </c>
      <c r="AO10587" s="11">
        <v>24215.200000000001</v>
      </c>
      <c r="AP10587" s="9">
        <v>3.8957244924351819</v>
      </c>
    </row>
    <row r="10588" spans="40:42" x14ac:dyDescent="0.3">
      <c r="AN10588">
        <v>10584</v>
      </c>
      <c r="AO10588" s="11">
        <v>23151.42</v>
      </c>
      <c r="AP10588" s="9">
        <v>2.8163351047431018</v>
      </c>
    </row>
    <row r="10589" spans="40:42" x14ac:dyDescent="0.3">
      <c r="AN10589">
        <v>10585</v>
      </c>
      <c r="AO10589" s="11">
        <v>21817.48</v>
      </c>
      <c r="AP10589" s="9">
        <v>2.7389670036725975</v>
      </c>
    </row>
    <row r="10590" spans="40:42" x14ac:dyDescent="0.3">
      <c r="AN10590">
        <v>10586</v>
      </c>
      <c r="AO10590" s="11">
        <v>16533.98</v>
      </c>
      <c r="AP10590" s="9">
        <v>2.9976393575008267</v>
      </c>
    </row>
    <row r="10591" spans="40:42" x14ac:dyDescent="0.3">
      <c r="AN10591">
        <v>10587</v>
      </c>
      <c r="AO10591" s="11">
        <v>15165.05</v>
      </c>
      <c r="AP10591" s="9">
        <v>2.7573496100617563</v>
      </c>
    </row>
    <row r="10592" spans="40:42" x14ac:dyDescent="0.3">
      <c r="AN10592">
        <v>10588</v>
      </c>
      <c r="AO10592" s="11">
        <v>18169.72</v>
      </c>
      <c r="AP10592" s="9">
        <v>3.9362794974006738</v>
      </c>
    </row>
    <row r="10593" spans="40:42" x14ac:dyDescent="0.3">
      <c r="AN10593">
        <v>10589</v>
      </c>
      <c r="AO10593" s="11">
        <v>27817.1</v>
      </c>
      <c r="AP10593" s="9">
        <v>3.989359081556997</v>
      </c>
    </row>
    <row r="10594" spans="40:42" x14ac:dyDescent="0.3">
      <c r="AN10594">
        <v>10590</v>
      </c>
      <c r="AO10594" s="11">
        <v>35647.58</v>
      </c>
      <c r="AP10594" s="9">
        <v>2.9348014278706818</v>
      </c>
    </row>
    <row r="10595" spans="40:42" x14ac:dyDescent="0.3">
      <c r="AN10595">
        <v>10591</v>
      </c>
      <c r="AO10595" s="11">
        <v>35731.78</v>
      </c>
      <c r="AP10595" s="9">
        <v>3.4288384808649037</v>
      </c>
    </row>
    <row r="10596" spans="40:42" x14ac:dyDescent="0.3">
      <c r="AN10596">
        <v>10592</v>
      </c>
      <c r="AO10596" s="11">
        <v>24787.439999999999</v>
      </c>
      <c r="AP10596" s="9">
        <v>3.775140339578301</v>
      </c>
    </row>
    <row r="10597" spans="40:42" x14ac:dyDescent="0.3">
      <c r="AN10597">
        <v>10593</v>
      </c>
      <c r="AO10597" s="11">
        <v>39539.269999999997</v>
      </c>
      <c r="AP10597" s="9">
        <v>3.219055851293537</v>
      </c>
    </row>
    <row r="10598" spans="40:42" x14ac:dyDescent="0.3">
      <c r="AN10598">
        <v>10594</v>
      </c>
      <c r="AO10598" s="11">
        <v>37483.730000000003</v>
      </c>
      <c r="AP10598" s="9">
        <v>3.1656744886901826</v>
      </c>
    </row>
    <row r="10599" spans="40:42" x14ac:dyDescent="0.3">
      <c r="AN10599">
        <v>10595</v>
      </c>
      <c r="AO10599" s="11">
        <v>28673.3</v>
      </c>
      <c r="AP10599" s="9">
        <v>3.8581839029209264</v>
      </c>
    </row>
    <row r="10600" spans="40:42" x14ac:dyDescent="0.3">
      <c r="AN10600">
        <v>10596</v>
      </c>
      <c r="AO10600" s="11">
        <v>28557.73</v>
      </c>
      <c r="AP10600" s="9">
        <v>3.7772710429014804</v>
      </c>
    </row>
    <row r="10601" spans="40:42" x14ac:dyDescent="0.3">
      <c r="AN10601">
        <v>10597</v>
      </c>
      <c r="AO10601" s="11">
        <v>21642.3</v>
      </c>
      <c r="AP10601" s="9">
        <v>3.1147965026109516</v>
      </c>
    </row>
    <row r="10602" spans="40:42" x14ac:dyDescent="0.3">
      <c r="AN10602">
        <v>10598</v>
      </c>
      <c r="AO10602" s="11">
        <v>28102.27</v>
      </c>
      <c r="AP10602" s="9">
        <v>2.9703210359748868</v>
      </c>
    </row>
    <row r="10603" spans="40:42" x14ac:dyDescent="0.3">
      <c r="AN10603">
        <v>10599</v>
      </c>
      <c r="AO10603" s="11">
        <v>22278.27</v>
      </c>
      <c r="AP10603" s="9">
        <v>2.9564784648400875</v>
      </c>
    </row>
    <row r="10604" spans="40:42" x14ac:dyDescent="0.3">
      <c r="AN10604">
        <v>10600</v>
      </c>
      <c r="AO10604" s="11">
        <v>21831.91</v>
      </c>
      <c r="AP10604" s="9">
        <v>3.0788264846338964</v>
      </c>
    </row>
    <row r="10605" spans="40:42" x14ac:dyDescent="0.3">
      <c r="AN10605">
        <v>10601</v>
      </c>
      <c r="AO10605" s="11">
        <v>37439.129999999997</v>
      </c>
      <c r="AP10605" s="9">
        <v>3.3414131121090755</v>
      </c>
    </row>
    <row r="10606" spans="40:42" x14ac:dyDescent="0.3">
      <c r="AN10606">
        <v>10602</v>
      </c>
      <c r="AO10606" s="11">
        <v>17539.78</v>
      </c>
      <c r="AP10606" s="9">
        <v>3.216489483830439</v>
      </c>
    </row>
    <row r="10607" spans="40:42" x14ac:dyDescent="0.3">
      <c r="AN10607">
        <v>10603</v>
      </c>
      <c r="AO10607" s="11">
        <v>28550.89</v>
      </c>
      <c r="AP10607" s="9">
        <v>2.7536424358524405</v>
      </c>
    </row>
    <row r="10608" spans="40:42" x14ac:dyDescent="0.3">
      <c r="AN10608">
        <v>10604</v>
      </c>
      <c r="AO10608" s="11">
        <v>25561.33</v>
      </c>
      <c r="AP10608" s="9">
        <v>3.0870323751611628</v>
      </c>
    </row>
    <row r="10609" spans="40:42" x14ac:dyDescent="0.3">
      <c r="AN10609">
        <v>10605</v>
      </c>
      <c r="AO10609" s="11">
        <v>20580.47</v>
      </c>
      <c r="AP10609" s="9">
        <v>3.9261921059783789</v>
      </c>
    </row>
    <row r="10610" spans="40:42" x14ac:dyDescent="0.3">
      <c r="AN10610">
        <v>10606</v>
      </c>
      <c r="AO10610" s="11">
        <v>23748.639999999999</v>
      </c>
      <c r="AP10610" s="9">
        <v>3.1379920191173842</v>
      </c>
    </row>
    <row r="10611" spans="40:42" x14ac:dyDescent="0.3">
      <c r="AN10611">
        <v>10607</v>
      </c>
      <c r="AO10611" s="11">
        <v>20731.650000000001</v>
      </c>
      <c r="AP10611" s="9">
        <v>3.2871996772384353</v>
      </c>
    </row>
    <row r="10612" spans="40:42" x14ac:dyDescent="0.3">
      <c r="AN10612">
        <v>10608</v>
      </c>
      <c r="AO10612" s="11">
        <v>39037.56</v>
      </c>
      <c r="AP10612" s="9">
        <v>3.9554684003368568</v>
      </c>
    </row>
    <row r="10613" spans="40:42" x14ac:dyDescent="0.3">
      <c r="AN10613">
        <v>10609</v>
      </c>
      <c r="AO10613" s="11">
        <v>37128.870000000003</v>
      </c>
      <c r="AP10613" s="9">
        <v>5.1529735254557911</v>
      </c>
    </row>
    <row r="10614" spans="40:42" x14ac:dyDescent="0.3">
      <c r="AN10614">
        <v>10610</v>
      </c>
      <c r="AO10614" s="11">
        <v>31406.21</v>
      </c>
      <c r="AP10614" s="9">
        <v>3.5815138078272466</v>
      </c>
    </row>
    <row r="10615" spans="40:42" x14ac:dyDescent="0.3">
      <c r="AN10615">
        <v>10611</v>
      </c>
      <c r="AO10615" s="11">
        <v>25478.84</v>
      </c>
      <c r="AP10615" s="9">
        <v>2.983832121104506</v>
      </c>
    </row>
    <row r="10616" spans="40:42" x14ac:dyDescent="0.3">
      <c r="AN10616">
        <v>10612</v>
      </c>
      <c r="AO10616" s="11">
        <v>26087.24</v>
      </c>
      <c r="AP10616" s="9">
        <v>3.86263975534037</v>
      </c>
    </row>
    <row r="10617" spans="40:42" x14ac:dyDescent="0.3">
      <c r="AN10617">
        <v>10613</v>
      </c>
      <c r="AO10617" s="11">
        <v>23489.439999999999</v>
      </c>
      <c r="AP10617" s="9">
        <v>3.3431885958843961</v>
      </c>
    </row>
    <row r="10618" spans="40:42" x14ac:dyDescent="0.3">
      <c r="AN10618">
        <v>10614</v>
      </c>
      <c r="AO10618" s="11">
        <v>18912.240000000002</v>
      </c>
      <c r="AP10618" s="9">
        <v>3.5382340592039729</v>
      </c>
    </row>
    <row r="10619" spans="40:42" x14ac:dyDescent="0.3">
      <c r="AN10619">
        <v>10615</v>
      </c>
      <c r="AO10619" s="11">
        <v>36993.300000000003</v>
      </c>
      <c r="AP10619" s="9">
        <v>3.2007723996128088</v>
      </c>
    </row>
    <row r="10620" spans="40:42" x14ac:dyDescent="0.3">
      <c r="AN10620">
        <v>10616</v>
      </c>
      <c r="AO10620" s="11">
        <v>25062.959999999999</v>
      </c>
      <c r="AP10620" s="9">
        <v>2.8871431645347467</v>
      </c>
    </row>
    <row r="10621" spans="40:42" x14ac:dyDescent="0.3">
      <c r="AN10621">
        <v>10617</v>
      </c>
      <c r="AO10621" s="11">
        <v>26771</v>
      </c>
      <c r="AP10621" s="9">
        <v>3.1127419006487154</v>
      </c>
    </row>
    <row r="10622" spans="40:42" x14ac:dyDescent="0.3">
      <c r="AN10622">
        <v>10618</v>
      </c>
      <c r="AO10622" s="11">
        <v>34285.660000000003</v>
      </c>
      <c r="AP10622" s="9">
        <v>3.5350660704342074</v>
      </c>
    </row>
    <row r="10623" spans="40:42" x14ac:dyDescent="0.3">
      <c r="AN10623">
        <v>10619</v>
      </c>
      <c r="AO10623" s="11">
        <v>35252.25</v>
      </c>
      <c r="AP10623" s="9">
        <v>3.5587294026049676</v>
      </c>
    </row>
    <row r="10624" spans="40:42" x14ac:dyDescent="0.3">
      <c r="AN10624">
        <v>10620</v>
      </c>
      <c r="AO10624" s="11">
        <v>24291.91</v>
      </c>
      <c r="AP10624" s="9">
        <v>2.8376180426124469</v>
      </c>
    </row>
    <row r="10625" spans="40:42" x14ac:dyDescent="0.3">
      <c r="AN10625">
        <v>10621</v>
      </c>
      <c r="AO10625" s="11">
        <v>43398.79</v>
      </c>
      <c r="AP10625" s="9">
        <v>4.4077753894205838</v>
      </c>
    </row>
    <row r="10626" spans="40:42" x14ac:dyDescent="0.3">
      <c r="AN10626">
        <v>10622</v>
      </c>
      <c r="AO10626" s="11">
        <v>24659.22</v>
      </c>
      <c r="AP10626" s="9">
        <v>3.088684649457925</v>
      </c>
    </row>
    <row r="10627" spans="40:42" x14ac:dyDescent="0.3">
      <c r="AN10627">
        <v>10623</v>
      </c>
      <c r="AO10627" s="11">
        <v>50840.94</v>
      </c>
      <c r="AP10627" s="9">
        <v>4.2785094376936241</v>
      </c>
    </row>
    <row r="10628" spans="40:42" x14ac:dyDescent="0.3">
      <c r="AN10628">
        <v>10624</v>
      </c>
      <c r="AO10628" s="11">
        <v>25468.98</v>
      </c>
      <c r="AP10628" s="9">
        <v>4.0380895272698067</v>
      </c>
    </row>
    <row r="10629" spans="40:42" x14ac:dyDescent="0.3">
      <c r="AN10629">
        <v>10625</v>
      </c>
      <c r="AO10629" s="11">
        <v>26753.51</v>
      </c>
      <c r="AP10629" s="9">
        <v>2.8462079258313402</v>
      </c>
    </row>
    <row r="10630" spans="40:42" x14ac:dyDescent="0.3">
      <c r="AN10630">
        <v>10626</v>
      </c>
      <c r="AO10630" s="11">
        <v>33151.72</v>
      </c>
      <c r="AP10630" s="9">
        <v>3.5595073423078003</v>
      </c>
    </row>
    <row r="10631" spans="40:42" x14ac:dyDescent="0.3">
      <c r="AN10631">
        <v>10627</v>
      </c>
      <c r="AO10631" s="11">
        <v>31526.23</v>
      </c>
      <c r="AP10631" s="9">
        <v>3.5960667524030709</v>
      </c>
    </row>
    <row r="10632" spans="40:42" x14ac:dyDescent="0.3">
      <c r="AN10632">
        <v>10628</v>
      </c>
      <c r="AO10632" s="11">
        <v>25693.64</v>
      </c>
      <c r="AP10632" s="9">
        <v>3.2834173545084568</v>
      </c>
    </row>
    <row r="10633" spans="40:42" x14ac:dyDescent="0.3">
      <c r="AN10633">
        <v>10629</v>
      </c>
      <c r="AO10633" s="11">
        <v>17412.38</v>
      </c>
      <c r="AP10633" s="9">
        <v>3.4548942334393811</v>
      </c>
    </row>
    <row r="10634" spans="40:42" x14ac:dyDescent="0.3">
      <c r="AN10634">
        <v>10630</v>
      </c>
      <c r="AO10634" s="11">
        <v>28780.97</v>
      </c>
      <c r="AP10634" s="9">
        <v>3.5183925798427635</v>
      </c>
    </row>
    <row r="10635" spans="40:42" x14ac:dyDescent="0.3">
      <c r="AN10635">
        <v>10631</v>
      </c>
      <c r="AO10635" s="11">
        <v>22105.93</v>
      </c>
      <c r="AP10635" s="9">
        <v>3.8746653919092182</v>
      </c>
    </row>
    <row r="10636" spans="40:42" x14ac:dyDescent="0.3">
      <c r="AN10636">
        <v>10632</v>
      </c>
      <c r="AO10636" s="11">
        <v>26334.37</v>
      </c>
      <c r="AP10636" s="9">
        <v>3.7543596244036155</v>
      </c>
    </row>
    <row r="10637" spans="40:42" x14ac:dyDescent="0.3">
      <c r="AN10637">
        <v>10633</v>
      </c>
      <c r="AO10637" s="11">
        <v>22152.75</v>
      </c>
      <c r="AP10637" s="9">
        <v>3.3486501403010003</v>
      </c>
    </row>
    <row r="10638" spans="40:42" x14ac:dyDescent="0.3">
      <c r="AN10638">
        <v>10634</v>
      </c>
      <c r="AO10638" s="11">
        <v>19714.82</v>
      </c>
      <c r="AP10638" s="9">
        <v>3.2376974978036075</v>
      </c>
    </row>
    <row r="10639" spans="40:42" x14ac:dyDescent="0.3">
      <c r="AN10639">
        <v>10635</v>
      </c>
      <c r="AO10639" s="11">
        <v>42591.45</v>
      </c>
      <c r="AP10639" s="9">
        <v>3.7012935279307433</v>
      </c>
    </row>
    <row r="10640" spans="40:42" x14ac:dyDescent="0.3">
      <c r="AN10640">
        <v>10636</v>
      </c>
      <c r="AO10640" s="11">
        <v>14719.94</v>
      </c>
      <c r="AP10640" s="9">
        <v>3.2395293746490141</v>
      </c>
    </row>
    <row r="10641" spans="40:42" x14ac:dyDescent="0.3">
      <c r="AN10641">
        <v>10637</v>
      </c>
      <c r="AO10641" s="11">
        <v>22109.07</v>
      </c>
      <c r="AP10641" s="9">
        <v>3.4544607684352258</v>
      </c>
    </row>
    <row r="10642" spans="40:42" x14ac:dyDescent="0.3">
      <c r="AN10642">
        <v>10638</v>
      </c>
      <c r="AO10642" s="11">
        <v>22154.3</v>
      </c>
      <c r="AP10642" s="9">
        <v>3.1417224070443739</v>
      </c>
    </row>
    <row r="10643" spans="40:42" x14ac:dyDescent="0.3">
      <c r="AN10643">
        <v>10639</v>
      </c>
      <c r="AO10643" s="11">
        <v>30171.59</v>
      </c>
      <c r="AP10643" s="9">
        <v>3.2068729529294338</v>
      </c>
    </row>
    <row r="10644" spans="40:42" x14ac:dyDescent="0.3">
      <c r="AN10644">
        <v>10640</v>
      </c>
      <c r="AO10644" s="11">
        <v>33655.339999999997</v>
      </c>
      <c r="AP10644" s="9">
        <v>3.4327574366332088</v>
      </c>
    </row>
    <row r="10645" spans="40:42" x14ac:dyDescent="0.3">
      <c r="AN10645">
        <v>10641</v>
      </c>
      <c r="AO10645" s="11">
        <v>37617.86</v>
      </c>
      <c r="AP10645" s="9">
        <v>3.7007948153897301</v>
      </c>
    </row>
    <row r="10646" spans="40:42" x14ac:dyDescent="0.3">
      <c r="AN10646">
        <v>10642</v>
      </c>
      <c r="AO10646" s="11">
        <v>20892.560000000001</v>
      </c>
      <c r="AP10646" s="9">
        <v>3.133910974632439</v>
      </c>
    </row>
    <row r="10647" spans="40:42" x14ac:dyDescent="0.3">
      <c r="AN10647">
        <v>10643</v>
      </c>
      <c r="AO10647" s="11">
        <v>27334.91</v>
      </c>
      <c r="AP10647" s="9">
        <v>3.2741308965442593</v>
      </c>
    </row>
    <row r="10648" spans="40:42" x14ac:dyDescent="0.3">
      <c r="AN10648">
        <v>10644</v>
      </c>
      <c r="AO10648" s="11">
        <v>33521.599999999999</v>
      </c>
      <c r="AP10648" s="9">
        <v>3.4105135224553713</v>
      </c>
    </row>
    <row r="10649" spans="40:42" x14ac:dyDescent="0.3">
      <c r="AN10649">
        <v>10645</v>
      </c>
      <c r="AO10649" s="11">
        <v>21726.880000000001</v>
      </c>
      <c r="AP10649" s="9">
        <v>3.327642049267248</v>
      </c>
    </row>
    <row r="10650" spans="40:42" x14ac:dyDescent="0.3">
      <c r="AN10650">
        <v>10646</v>
      </c>
      <c r="AO10650" s="11">
        <v>26478.86</v>
      </c>
      <c r="AP10650" s="9">
        <v>3.0825391484816245</v>
      </c>
    </row>
    <row r="10651" spans="40:42" x14ac:dyDescent="0.3">
      <c r="AN10651">
        <v>10647</v>
      </c>
      <c r="AO10651" s="11">
        <v>32558.68</v>
      </c>
      <c r="AP10651" s="9">
        <v>3.9989759210545599</v>
      </c>
    </row>
    <row r="10652" spans="40:42" x14ac:dyDescent="0.3">
      <c r="AN10652">
        <v>10648</v>
      </c>
      <c r="AO10652" s="11">
        <v>14977.55</v>
      </c>
      <c r="AP10652" s="9">
        <v>3.1088844012955446</v>
      </c>
    </row>
    <row r="10653" spans="40:42" x14ac:dyDescent="0.3">
      <c r="AN10653">
        <v>10649</v>
      </c>
      <c r="AO10653" s="11">
        <v>19486.07</v>
      </c>
      <c r="AP10653" s="9">
        <v>2.7364426598936382</v>
      </c>
    </row>
    <row r="10654" spans="40:42" x14ac:dyDescent="0.3">
      <c r="AN10654">
        <v>10650</v>
      </c>
      <c r="AO10654" s="11">
        <v>33032.379999999997</v>
      </c>
      <c r="AP10654" s="9">
        <v>4.0571559593430493</v>
      </c>
    </row>
    <row r="10655" spans="40:42" x14ac:dyDescent="0.3">
      <c r="AN10655">
        <v>10651</v>
      </c>
      <c r="AO10655" s="11">
        <v>29411.58</v>
      </c>
      <c r="AP10655" s="9">
        <v>4.0808155186400557</v>
      </c>
    </row>
    <row r="10656" spans="40:42" x14ac:dyDescent="0.3">
      <c r="AN10656">
        <v>10652</v>
      </c>
      <c r="AO10656" s="11">
        <v>24734.92</v>
      </c>
      <c r="AP10656" s="9">
        <v>3.2391942239426523</v>
      </c>
    </row>
    <row r="10657" spans="40:42" x14ac:dyDescent="0.3">
      <c r="AN10657">
        <v>10653</v>
      </c>
      <c r="AO10657" s="11">
        <v>24271.91</v>
      </c>
      <c r="AP10657" s="9">
        <v>4.1888956040419965</v>
      </c>
    </row>
    <row r="10658" spans="40:42" x14ac:dyDescent="0.3">
      <c r="AN10658">
        <v>10654</v>
      </c>
      <c r="AO10658" s="11">
        <v>29698.94</v>
      </c>
      <c r="AP10658" s="9">
        <v>3.4195309413591923</v>
      </c>
    </row>
    <row r="10659" spans="40:42" x14ac:dyDescent="0.3">
      <c r="AN10659">
        <v>10655</v>
      </c>
      <c r="AO10659" s="11">
        <v>24835.55</v>
      </c>
      <c r="AP10659" s="9">
        <v>3.458894572467913</v>
      </c>
    </row>
    <row r="10660" spans="40:42" x14ac:dyDescent="0.3">
      <c r="AN10660">
        <v>10656</v>
      </c>
      <c r="AO10660" s="11">
        <v>29931.31</v>
      </c>
      <c r="AP10660" s="9">
        <v>2.8134046985240033</v>
      </c>
    </row>
    <row r="10661" spans="40:42" x14ac:dyDescent="0.3">
      <c r="AN10661">
        <v>10657</v>
      </c>
      <c r="AO10661" s="11">
        <v>16949.43</v>
      </c>
      <c r="AP10661" s="9">
        <v>2.7214632244984971</v>
      </c>
    </row>
    <row r="10662" spans="40:42" x14ac:dyDescent="0.3">
      <c r="AN10662">
        <v>10658</v>
      </c>
      <c r="AO10662" s="11">
        <v>29750.92</v>
      </c>
      <c r="AP10662" s="9">
        <v>3.6480278781413991</v>
      </c>
    </row>
    <row r="10663" spans="40:42" x14ac:dyDescent="0.3">
      <c r="AN10663">
        <v>10659</v>
      </c>
      <c r="AO10663" s="11">
        <v>31521.1</v>
      </c>
      <c r="AP10663" s="9">
        <v>3.0404154536035826</v>
      </c>
    </row>
    <row r="10664" spans="40:42" x14ac:dyDescent="0.3">
      <c r="AN10664">
        <v>10660</v>
      </c>
      <c r="AO10664" s="11">
        <v>24863.25</v>
      </c>
      <c r="AP10664" s="9">
        <v>3.0982845872796685</v>
      </c>
    </row>
    <row r="10665" spans="40:42" x14ac:dyDescent="0.3">
      <c r="AN10665">
        <v>10661</v>
      </c>
      <c r="AO10665" s="11">
        <v>24269.39</v>
      </c>
      <c r="AP10665" s="9">
        <v>2.5650206969403797</v>
      </c>
    </row>
    <row r="10666" spans="40:42" x14ac:dyDescent="0.3">
      <c r="AN10666">
        <v>10662</v>
      </c>
      <c r="AO10666" s="11">
        <v>19722.46</v>
      </c>
      <c r="AP10666" s="9">
        <v>3.2822965116767135</v>
      </c>
    </row>
    <row r="10667" spans="40:42" x14ac:dyDescent="0.3">
      <c r="AN10667">
        <v>10663</v>
      </c>
      <c r="AO10667" s="11">
        <v>31870.61</v>
      </c>
      <c r="AP10667" s="9">
        <v>3.7661549190490091</v>
      </c>
    </row>
    <row r="10668" spans="40:42" x14ac:dyDescent="0.3">
      <c r="AN10668">
        <v>10664</v>
      </c>
      <c r="AO10668" s="11">
        <v>21838.18</v>
      </c>
      <c r="AP10668" s="9">
        <v>3.3125497124675194</v>
      </c>
    </row>
    <row r="10669" spans="40:42" x14ac:dyDescent="0.3">
      <c r="AN10669">
        <v>10665</v>
      </c>
      <c r="AO10669" s="11">
        <v>29917.09</v>
      </c>
      <c r="AP10669" s="9">
        <v>2.9920865143260729</v>
      </c>
    </row>
    <row r="10670" spans="40:42" x14ac:dyDescent="0.3">
      <c r="AN10670">
        <v>10666</v>
      </c>
      <c r="AO10670" s="11">
        <v>37000.92</v>
      </c>
      <c r="AP10670" s="9">
        <v>2.9734438289105687</v>
      </c>
    </row>
    <row r="10671" spans="40:42" x14ac:dyDescent="0.3">
      <c r="AN10671">
        <v>10667</v>
      </c>
      <c r="AO10671" s="11">
        <v>27600.73</v>
      </c>
      <c r="AP10671" s="9">
        <v>3.5876526788659331</v>
      </c>
    </row>
    <row r="10672" spans="40:42" x14ac:dyDescent="0.3">
      <c r="AN10672">
        <v>10668</v>
      </c>
      <c r="AO10672" s="11">
        <v>32751.74</v>
      </c>
      <c r="AP10672" s="9">
        <v>4.4408361153781168</v>
      </c>
    </row>
    <row r="10673" spans="40:42" x14ac:dyDescent="0.3">
      <c r="AN10673">
        <v>10669</v>
      </c>
      <c r="AO10673" s="11">
        <v>22318</v>
      </c>
      <c r="AP10673" s="9">
        <v>3.9652331693448928</v>
      </c>
    </row>
    <row r="10674" spans="40:42" x14ac:dyDescent="0.3">
      <c r="AN10674">
        <v>10670</v>
      </c>
      <c r="AO10674" s="11">
        <v>24786.21</v>
      </c>
      <c r="AP10674" s="9">
        <v>3.7807563081465689</v>
      </c>
    </row>
    <row r="10675" spans="40:42" x14ac:dyDescent="0.3">
      <c r="AN10675">
        <v>10671</v>
      </c>
      <c r="AO10675" s="11">
        <v>28787.72</v>
      </c>
      <c r="AP10675" s="9">
        <v>3.9702532252898246</v>
      </c>
    </row>
    <row r="10676" spans="40:42" x14ac:dyDescent="0.3">
      <c r="AN10676">
        <v>10672</v>
      </c>
      <c r="AO10676" s="11">
        <v>16241.11</v>
      </c>
      <c r="AP10676" s="9">
        <v>2.9211734728719279</v>
      </c>
    </row>
    <row r="10677" spans="40:42" x14ac:dyDescent="0.3">
      <c r="AN10677">
        <v>10673</v>
      </c>
      <c r="AO10677" s="11">
        <v>17870.23</v>
      </c>
      <c r="AP10677" s="9">
        <v>3.7994172614118615</v>
      </c>
    </row>
    <row r="10678" spans="40:42" x14ac:dyDescent="0.3">
      <c r="AN10678">
        <v>10674</v>
      </c>
      <c r="AO10678" s="11">
        <v>27717.49</v>
      </c>
      <c r="AP10678" s="9">
        <v>3.3245035945446122</v>
      </c>
    </row>
    <row r="10679" spans="40:42" x14ac:dyDescent="0.3">
      <c r="AN10679">
        <v>10675</v>
      </c>
      <c r="AO10679" s="11">
        <v>19508.919999999998</v>
      </c>
      <c r="AP10679" s="9">
        <v>3.1466259762194646</v>
      </c>
    </row>
    <row r="10680" spans="40:42" x14ac:dyDescent="0.3">
      <c r="AN10680">
        <v>10676</v>
      </c>
      <c r="AO10680" s="11">
        <v>16421.28</v>
      </c>
      <c r="AP10680" s="9">
        <v>2.7480029895894829</v>
      </c>
    </row>
    <row r="10681" spans="40:42" x14ac:dyDescent="0.3">
      <c r="AN10681">
        <v>10677</v>
      </c>
      <c r="AO10681" s="11">
        <v>23872.240000000002</v>
      </c>
      <c r="AP10681" s="9">
        <v>3.04013126977175</v>
      </c>
    </row>
    <row r="10682" spans="40:42" x14ac:dyDescent="0.3">
      <c r="AN10682">
        <v>10678</v>
      </c>
      <c r="AO10682" s="11">
        <v>20400.34</v>
      </c>
      <c r="AP10682" s="9">
        <v>3.1504586224090629</v>
      </c>
    </row>
    <row r="10683" spans="40:42" x14ac:dyDescent="0.3">
      <c r="AN10683">
        <v>10679</v>
      </c>
      <c r="AO10683" s="11">
        <v>23009.61</v>
      </c>
      <c r="AP10683" s="9">
        <v>3.5665359974348436</v>
      </c>
    </row>
    <row r="10684" spans="40:42" x14ac:dyDescent="0.3">
      <c r="AN10684">
        <v>10680</v>
      </c>
      <c r="AO10684" s="11">
        <v>30238.63</v>
      </c>
      <c r="AP10684" s="9">
        <v>3.1608242822054797</v>
      </c>
    </row>
    <row r="10685" spans="40:42" x14ac:dyDescent="0.3">
      <c r="AN10685">
        <v>10681</v>
      </c>
      <c r="AO10685" s="11">
        <v>39612.910000000003</v>
      </c>
      <c r="AP10685" s="9">
        <v>3.6588614337869476</v>
      </c>
    </row>
    <row r="10686" spans="40:42" x14ac:dyDescent="0.3">
      <c r="AN10686">
        <v>10682</v>
      </c>
      <c r="AO10686" s="11">
        <v>18158.04</v>
      </c>
      <c r="AP10686" s="9">
        <v>2.6678368033452347</v>
      </c>
    </row>
    <row r="10687" spans="40:42" x14ac:dyDescent="0.3">
      <c r="AN10687">
        <v>10683</v>
      </c>
      <c r="AO10687" s="11">
        <v>17113.740000000002</v>
      </c>
      <c r="AP10687" s="9">
        <v>3.6252811266809886</v>
      </c>
    </row>
    <row r="10688" spans="40:42" x14ac:dyDescent="0.3">
      <c r="AN10688">
        <v>10684</v>
      </c>
      <c r="AO10688" s="11">
        <v>25572.73</v>
      </c>
      <c r="AP10688" s="9">
        <v>3.1723746990563941</v>
      </c>
    </row>
    <row r="10689" spans="40:42" x14ac:dyDescent="0.3">
      <c r="AN10689">
        <v>10685</v>
      </c>
      <c r="AO10689" s="11">
        <v>30704.84</v>
      </c>
      <c r="AP10689" s="9">
        <v>4.1507218611439409</v>
      </c>
    </row>
    <row r="10690" spans="40:42" x14ac:dyDescent="0.3">
      <c r="AN10690">
        <v>10686</v>
      </c>
      <c r="AO10690" s="11">
        <v>31156.799999999999</v>
      </c>
      <c r="AP10690" s="9">
        <v>3.6075831164004937</v>
      </c>
    </row>
    <row r="10691" spans="40:42" x14ac:dyDescent="0.3">
      <c r="AN10691">
        <v>10687</v>
      </c>
      <c r="AO10691" s="11">
        <v>39191.81</v>
      </c>
      <c r="AP10691" s="9">
        <v>4.3580992513456787</v>
      </c>
    </row>
    <row r="10692" spans="40:42" x14ac:dyDescent="0.3">
      <c r="AN10692">
        <v>10688</v>
      </c>
      <c r="AO10692" s="11">
        <v>35059.410000000003</v>
      </c>
      <c r="AP10692" s="9">
        <v>3.9954346310984068</v>
      </c>
    </row>
    <row r="10693" spans="40:42" x14ac:dyDescent="0.3">
      <c r="AN10693">
        <v>10689</v>
      </c>
      <c r="AO10693" s="11">
        <v>32480.37</v>
      </c>
      <c r="AP10693" s="9">
        <v>3.5967533506987297</v>
      </c>
    </row>
    <row r="10694" spans="40:42" x14ac:dyDescent="0.3">
      <c r="AN10694">
        <v>10690</v>
      </c>
      <c r="AO10694" s="11">
        <v>13987.03</v>
      </c>
      <c r="AP10694" s="9">
        <v>3.1118376680103093</v>
      </c>
    </row>
    <row r="10695" spans="40:42" x14ac:dyDescent="0.3">
      <c r="AN10695">
        <v>10691</v>
      </c>
      <c r="AO10695" s="11">
        <v>22329.17</v>
      </c>
      <c r="AP10695" s="9">
        <v>2.7117683494751303</v>
      </c>
    </row>
    <row r="10696" spans="40:42" x14ac:dyDescent="0.3">
      <c r="AN10696">
        <v>10692</v>
      </c>
      <c r="AO10696" s="11">
        <v>18513.41</v>
      </c>
      <c r="AP10696" s="9">
        <v>3.3202709288579277</v>
      </c>
    </row>
    <row r="10697" spans="40:42" x14ac:dyDescent="0.3">
      <c r="AN10697">
        <v>10693</v>
      </c>
      <c r="AO10697" s="11">
        <v>21386.98</v>
      </c>
      <c r="AP10697" s="9">
        <v>3.0628022065168352</v>
      </c>
    </row>
    <row r="10698" spans="40:42" x14ac:dyDescent="0.3">
      <c r="AN10698">
        <v>10694</v>
      </c>
      <c r="AO10698" s="11">
        <v>27738</v>
      </c>
      <c r="AP10698" s="9">
        <v>4.3636321252043784</v>
      </c>
    </row>
    <row r="10699" spans="40:42" x14ac:dyDescent="0.3">
      <c r="AN10699">
        <v>10695</v>
      </c>
      <c r="AO10699" s="11">
        <v>24977.96</v>
      </c>
      <c r="AP10699" s="9">
        <v>3.183718250791824</v>
      </c>
    </row>
    <row r="10700" spans="40:42" x14ac:dyDescent="0.3">
      <c r="AN10700">
        <v>10696</v>
      </c>
      <c r="AO10700" s="11">
        <v>19281.46</v>
      </c>
      <c r="AP10700" s="9">
        <v>3.2956950355727734</v>
      </c>
    </row>
    <row r="10701" spans="40:42" x14ac:dyDescent="0.3">
      <c r="AN10701">
        <v>10697</v>
      </c>
      <c r="AO10701" s="11">
        <v>20936.650000000001</v>
      </c>
      <c r="AP10701" s="9">
        <v>3.2733519192937108</v>
      </c>
    </row>
    <row r="10702" spans="40:42" x14ac:dyDescent="0.3">
      <c r="AN10702">
        <v>10698</v>
      </c>
      <c r="AO10702" s="11">
        <v>32118.79</v>
      </c>
      <c r="AP10702" s="9">
        <v>3.8490004045342507</v>
      </c>
    </row>
    <row r="10703" spans="40:42" x14ac:dyDescent="0.3">
      <c r="AN10703">
        <v>10699</v>
      </c>
      <c r="AO10703" s="11">
        <v>20016.7</v>
      </c>
      <c r="AP10703" s="9">
        <v>2.8815712439869445</v>
      </c>
    </row>
    <row r="10704" spans="40:42" x14ac:dyDescent="0.3">
      <c r="AN10704">
        <v>10700</v>
      </c>
      <c r="AO10704" s="11">
        <v>21656.42</v>
      </c>
      <c r="AP10704" s="9">
        <v>2.9163622279378139</v>
      </c>
    </row>
    <row r="10705" spans="40:42" x14ac:dyDescent="0.3">
      <c r="AN10705">
        <v>10701</v>
      </c>
      <c r="AO10705" s="11">
        <v>15978.05</v>
      </c>
      <c r="AP10705" s="9">
        <v>2.9912333899450338</v>
      </c>
    </row>
    <row r="10706" spans="40:42" x14ac:dyDescent="0.3">
      <c r="AN10706">
        <v>10702</v>
      </c>
      <c r="AO10706" s="11">
        <v>27652.799999999999</v>
      </c>
      <c r="AP10706" s="9">
        <v>3.3767767127965236</v>
      </c>
    </row>
    <row r="10707" spans="40:42" x14ac:dyDescent="0.3">
      <c r="AN10707">
        <v>10703</v>
      </c>
      <c r="AO10707" s="11">
        <v>37642.65</v>
      </c>
      <c r="AP10707" s="9">
        <v>3.5654981282751343</v>
      </c>
    </row>
    <row r="10708" spans="40:42" x14ac:dyDescent="0.3">
      <c r="AN10708">
        <v>10704</v>
      </c>
      <c r="AO10708" s="11">
        <v>29307.39</v>
      </c>
      <c r="AP10708" s="9">
        <v>3.2274448091845498</v>
      </c>
    </row>
    <row r="10709" spans="40:42" x14ac:dyDescent="0.3">
      <c r="AN10709">
        <v>10705</v>
      </c>
      <c r="AO10709" s="11">
        <v>25041.17</v>
      </c>
      <c r="AP10709" s="9">
        <v>3.7688743667291598</v>
      </c>
    </row>
    <row r="10710" spans="40:42" x14ac:dyDescent="0.3">
      <c r="AN10710">
        <v>10706</v>
      </c>
      <c r="AO10710" s="11">
        <v>13272.98</v>
      </c>
      <c r="AP10710" s="9">
        <v>3.3377188085455098</v>
      </c>
    </row>
    <row r="10711" spans="40:42" x14ac:dyDescent="0.3">
      <c r="AN10711">
        <v>10707</v>
      </c>
      <c r="AO10711" s="11">
        <v>29380.48</v>
      </c>
      <c r="AP10711" s="9">
        <v>3.5616365783138497</v>
      </c>
    </row>
    <row r="10712" spans="40:42" x14ac:dyDescent="0.3">
      <c r="AN10712">
        <v>10708</v>
      </c>
      <c r="AO10712" s="11">
        <v>54049.43</v>
      </c>
      <c r="AP10712" s="9">
        <v>4.2566364970964132</v>
      </c>
    </row>
    <row r="10713" spans="40:42" x14ac:dyDescent="0.3">
      <c r="AN10713">
        <v>10709</v>
      </c>
      <c r="AO10713" s="11">
        <v>25974.5</v>
      </c>
      <c r="AP10713" s="9">
        <v>3.3390558543600042</v>
      </c>
    </row>
    <row r="10714" spans="40:42" x14ac:dyDescent="0.3">
      <c r="AN10714">
        <v>10710</v>
      </c>
      <c r="AO10714" s="11">
        <v>26916.799999999999</v>
      </c>
      <c r="AP10714" s="9">
        <v>3.3141644165037953</v>
      </c>
    </row>
    <row r="10715" spans="40:42" x14ac:dyDescent="0.3">
      <c r="AN10715">
        <v>10711</v>
      </c>
      <c r="AO10715" s="11">
        <v>25791.53</v>
      </c>
      <c r="AP10715" s="9">
        <v>3.5268562061595019</v>
      </c>
    </row>
    <row r="10716" spans="40:42" x14ac:dyDescent="0.3">
      <c r="AN10716">
        <v>10712</v>
      </c>
      <c r="AO10716" s="11">
        <v>19656.55</v>
      </c>
      <c r="AP10716" s="9">
        <v>3.4599505502678252</v>
      </c>
    </row>
    <row r="10717" spans="40:42" x14ac:dyDescent="0.3">
      <c r="AN10717">
        <v>10713</v>
      </c>
      <c r="AO10717" s="11">
        <v>19455.38</v>
      </c>
      <c r="AP10717" s="9">
        <v>3.2555124345182578</v>
      </c>
    </row>
    <row r="10718" spans="40:42" x14ac:dyDescent="0.3">
      <c r="AN10718">
        <v>10714</v>
      </c>
      <c r="AO10718" s="11">
        <v>29114.35</v>
      </c>
      <c r="AP10718" s="9">
        <v>2.8973460463966187</v>
      </c>
    </row>
    <row r="10719" spans="40:42" x14ac:dyDescent="0.3">
      <c r="AN10719">
        <v>10715</v>
      </c>
      <c r="AO10719" s="11">
        <v>19641.72</v>
      </c>
      <c r="AP10719" s="9">
        <v>3.4964178930963019</v>
      </c>
    </row>
    <row r="10720" spans="40:42" x14ac:dyDescent="0.3">
      <c r="AN10720">
        <v>10716</v>
      </c>
      <c r="AO10720" s="11">
        <v>26980.58</v>
      </c>
      <c r="AP10720" s="9">
        <v>2.8302143349293973</v>
      </c>
    </row>
    <row r="10721" spans="40:42" x14ac:dyDescent="0.3">
      <c r="AN10721">
        <v>10717</v>
      </c>
      <c r="AO10721" s="11">
        <v>27185.89</v>
      </c>
      <c r="AP10721" s="9">
        <v>4.1139208421158333</v>
      </c>
    </row>
    <row r="10722" spans="40:42" x14ac:dyDescent="0.3">
      <c r="AN10722">
        <v>10718</v>
      </c>
      <c r="AO10722" s="11">
        <v>25685.17</v>
      </c>
      <c r="AP10722" s="9">
        <v>3.0845247258131305</v>
      </c>
    </row>
    <row r="10723" spans="40:42" x14ac:dyDescent="0.3">
      <c r="AN10723">
        <v>10719</v>
      </c>
      <c r="AO10723" s="11">
        <v>24917.01</v>
      </c>
      <c r="AP10723" s="9">
        <v>3.4185968190040041</v>
      </c>
    </row>
    <row r="10724" spans="40:42" x14ac:dyDescent="0.3">
      <c r="AN10724">
        <v>10720</v>
      </c>
      <c r="AO10724" s="11">
        <v>31387.69</v>
      </c>
      <c r="AP10724" s="9">
        <v>3.1921803541016667</v>
      </c>
    </row>
    <row r="10725" spans="40:42" x14ac:dyDescent="0.3">
      <c r="AN10725">
        <v>10721</v>
      </c>
      <c r="AO10725" s="11">
        <v>16797.580000000002</v>
      </c>
      <c r="AP10725" s="9">
        <v>2.9909141169632028</v>
      </c>
    </row>
    <row r="10726" spans="40:42" x14ac:dyDescent="0.3">
      <c r="AN10726">
        <v>10722</v>
      </c>
      <c r="AO10726" s="11">
        <v>31370.55</v>
      </c>
      <c r="AP10726" s="9">
        <v>3.6144971455268338</v>
      </c>
    </row>
    <row r="10727" spans="40:42" x14ac:dyDescent="0.3">
      <c r="AN10727">
        <v>10723</v>
      </c>
      <c r="AO10727" s="11">
        <v>24401.79</v>
      </c>
      <c r="AP10727" s="9">
        <v>2.9338033731458593</v>
      </c>
    </row>
    <row r="10728" spans="40:42" x14ac:dyDescent="0.3">
      <c r="AN10728">
        <v>10724</v>
      </c>
      <c r="AO10728" s="11">
        <v>29294.7</v>
      </c>
      <c r="AP10728" s="9">
        <v>3.3355550855179223</v>
      </c>
    </row>
    <row r="10729" spans="40:42" x14ac:dyDescent="0.3">
      <c r="AN10729">
        <v>10725</v>
      </c>
      <c r="AO10729" s="11">
        <v>23888.91</v>
      </c>
      <c r="AP10729" s="9">
        <v>3.4663187039106762</v>
      </c>
    </row>
    <row r="10730" spans="40:42" x14ac:dyDescent="0.3">
      <c r="AN10730">
        <v>10726</v>
      </c>
      <c r="AO10730" s="11">
        <v>30940.5</v>
      </c>
      <c r="AP10730" s="9">
        <v>3.3625393037716349</v>
      </c>
    </row>
    <row r="10731" spans="40:42" x14ac:dyDescent="0.3">
      <c r="AN10731">
        <v>10727</v>
      </c>
      <c r="AO10731" s="11">
        <v>18716.95</v>
      </c>
      <c r="AP10731" s="9">
        <v>3.0877819838652663</v>
      </c>
    </row>
    <row r="10732" spans="40:42" x14ac:dyDescent="0.3">
      <c r="AN10732">
        <v>10728</v>
      </c>
      <c r="AO10732" s="11">
        <v>32683.1</v>
      </c>
      <c r="AP10732" s="9">
        <v>3.220093510635134</v>
      </c>
    </row>
    <row r="10733" spans="40:42" x14ac:dyDescent="0.3">
      <c r="AN10733">
        <v>10729</v>
      </c>
      <c r="AO10733" s="11">
        <v>24400.68</v>
      </c>
      <c r="AP10733" s="9">
        <v>2.6920606074986568</v>
      </c>
    </row>
    <row r="10734" spans="40:42" x14ac:dyDescent="0.3">
      <c r="AN10734">
        <v>10730</v>
      </c>
      <c r="AO10734" s="11">
        <v>23747.52</v>
      </c>
      <c r="AP10734" s="9">
        <v>3.6394925624686723</v>
      </c>
    </row>
    <row r="10735" spans="40:42" x14ac:dyDescent="0.3">
      <c r="AN10735">
        <v>10731</v>
      </c>
      <c r="AO10735" s="11">
        <v>24852.400000000001</v>
      </c>
      <c r="AP10735" s="9">
        <v>3.0753897654229525</v>
      </c>
    </row>
    <row r="10736" spans="40:42" x14ac:dyDescent="0.3">
      <c r="AN10736">
        <v>10732</v>
      </c>
      <c r="AO10736" s="11">
        <v>32994.839999999997</v>
      </c>
      <c r="AP10736" s="9">
        <v>3.609001976562964</v>
      </c>
    </row>
    <row r="10737" spans="40:42" x14ac:dyDescent="0.3">
      <c r="AN10737">
        <v>10733</v>
      </c>
      <c r="AO10737" s="11">
        <v>39260.769999999997</v>
      </c>
      <c r="AP10737" s="9">
        <v>3.474696548190038</v>
      </c>
    </row>
    <row r="10738" spans="40:42" x14ac:dyDescent="0.3">
      <c r="AN10738">
        <v>10734</v>
      </c>
      <c r="AO10738" s="11">
        <v>26352.19</v>
      </c>
      <c r="AP10738" s="9">
        <v>3.8042868725205548</v>
      </c>
    </row>
    <row r="10739" spans="40:42" x14ac:dyDescent="0.3">
      <c r="AN10739">
        <v>10735</v>
      </c>
      <c r="AO10739" s="11">
        <v>16923.759999999998</v>
      </c>
      <c r="AP10739" s="9">
        <v>2.9512351556941598</v>
      </c>
    </row>
    <row r="10740" spans="40:42" x14ac:dyDescent="0.3">
      <c r="AN10740">
        <v>10736</v>
      </c>
      <c r="AO10740" s="11">
        <v>20080.57</v>
      </c>
      <c r="AP10740" s="9">
        <v>2.9995298048305026</v>
      </c>
    </row>
    <row r="10741" spans="40:42" x14ac:dyDescent="0.3">
      <c r="AN10741">
        <v>10737</v>
      </c>
      <c r="AO10741" s="11">
        <v>34103.67</v>
      </c>
      <c r="AP10741" s="9">
        <v>3.2840942994014286</v>
      </c>
    </row>
    <row r="10742" spans="40:42" x14ac:dyDescent="0.3">
      <c r="AN10742">
        <v>10738</v>
      </c>
      <c r="AO10742" s="11">
        <v>18585.64</v>
      </c>
      <c r="AP10742" s="9">
        <v>2.554045395694347</v>
      </c>
    </row>
    <row r="10743" spans="40:42" x14ac:dyDescent="0.3">
      <c r="AN10743">
        <v>10739</v>
      </c>
      <c r="AO10743" s="11">
        <v>24386.12</v>
      </c>
      <c r="AP10743" s="9">
        <v>3.2433291863612781</v>
      </c>
    </row>
    <row r="10744" spans="40:42" x14ac:dyDescent="0.3">
      <c r="AN10744">
        <v>10740</v>
      </c>
      <c r="AO10744" s="11">
        <v>28004.62</v>
      </c>
      <c r="AP10744" s="9">
        <v>3.8298202516908186</v>
      </c>
    </row>
    <row r="10745" spans="40:42" x14ac:dyDescent="0.3">
      <c r="AN10745">
        <v>10741</v>
      </c>
      <c r="AO10745" s="11">
        <v>23468.73</v>
      </c>
      <c r="AP10745" s="9">
        <v>2.8542234598714038</v>
      </c>
    </row>
    <row r="10746" spans="40:42" x14ac:dyDescent="0.3">
      <c r="AN10746">
        <v>10742</v>
      </c>
      <c r="AO10746" s="11">
        <v>22442.52</v>
      </c>
      <c r="AP10746" s="9">
        <v>3.4500501131949335</v>
      </c>
    </row>
    <row r="10747" spans="40:42" x14ac:dyDescent="0.3">
      <c r="AN10747">
        <v>10743</v>
      </c>
      <c r="AO10747" s="11">
        <v>26244.49</v>
      </c>
      <c r="AP10747" s="9">
        <v>3.4670524250061407</v>
      </c>
    </row>
    <row r="10748" spans="40:42" x14ac:dyDescent="0.3">
      <c r="AN10748">
        <v>10744</v>
      </c>
      <c r="AO10748" s="11">
        <v>38088.81</v>
      </c>
      <c r="AP10748" s="9">
        <v>3.5574617731867852</v>
      </c>
    </row>
    <row r="10749" spans="40:42" x14ac:dyDescent="0.3">
      <c r="AN10749">
        <v>10745</v>
      </c>
      <c r="AO10749" s="11">
        <v>25218</v>
      </c>
      <c r="AP10749" s="9">
        <v>2.9446027817893659</v>
      </c>
    </row>
    <row r="10750" spans="40:42" x14ac:dyDescent="0.3">
      <c r="AN10750">
        <v>10746</v>
      </c>
      <c r="AO10750" s="11">
        <v>25361.54</v>
      </c>
      <c r="AP10750" s="9">
        <v>2.9926376190463126</v>
      </c>
    </row>
    <row r="10751" spans="40:42" x14ac:dyDescent="0.3">
      <c r="AN10751">
        <v>10747</v>
      </c>
      <c r="AO10751" s="11">
        <v>23317.73</v>
      </c>
      <c r="AP10751" s="9">
        <v>3.4021803067622045</v>
      </c>
    </row>
    <row r="10752" spans="40:42" x14ac:dyDescent="0.3">
      <c r="AN10752">
        <v>10748</v>
      </c>
      <c r="AO10752" s="11">
        <v>26281.64</v>
      </c>
      <c r="AP10752" s="9">
        <v>3.9374776511010112</v>
      </c>
    </row>
    <row r="10753" spans="40:42" x14ac:dyDescent="0.3">
      <c r="AN10753">
        <v>10749</v>
      </c>
      <c r="AO10753" s="11">
        <v>22145.56</v>
      </c>
      <c r="AP10753" s="9">
        <v>3.158965460511046</v>
      </c>
    </row>
    <row r="10754" spans="40:42" x14ac:dyDescent="0.3">
      <c r="AN10754">
        <v>10750</v>
      </c>
      <c r="AO10754" s="11">
        <v>25546.3</v>
      </c>
      <c r="AP10754" s="9">
        <v>3.1555838620473673</v>
      </c>
    </row>
    <row r="10755" spans="40:42" x14ac:dyDescent="0.3">
      <c r="AN10755">
        <v>10751</v>
      </c>
      <c r="AO10755" s="11">
        <v>24214.94</v>
      </c>
      <c r="AP10755" s="9">
        <v>2.9945911335084867</v>
      </c>
    </row>
    <row r="10756" spans="40:42" x14ac:dyDescent="0.3">
      <c r="AN10756">
        <v>10752</v>
      </c>
      <c r="AO10756" s="11">
        <v>24831.38</v>
      </c>
      <c r="AP10756" s="9">
        <v>3.3317511450693118</v>
      </c>
    </row>
    <row r="10757" spans="40:42" x14ac:dyDescent="0.3">
      <c r="AN10757">
        <v>10753</v>
      </c>
      <c r="AO10757" s="11">
        <v>20462.87</v>
      </c>
      <c r="AP10757" s="9">
        <v>4.4407343213411332</v>
      </c>
    </row>
    <row r="10758" spans="40:42" x14ac:dyDescent="0.3">
      <c r="AN10758">
        <v>10754</v>
      </c>
      <c r="AO10758" s="11">
        <v>27903.87</v>
      </c>
      <c r="AP10758" s="9">
        <v>3.9917011229519797</v>
      </c>
    </row>
    <row r="10759" spans="40:42" x14ac:dyDescent="0.3">
      <c r="AN10759">
        <v>10755</v>
      </c>
      <c r="AO10759" s="11">
        <v>51762.96</v>
      </c>
      <c r="AP10759" s="9">
        <v>3.66777673249271</v>
      </c>
    </row>
    <row r="10760" spans="40:42" x14ac:dyDescent="0.3">
      <c r="AN10760">
        <v>10756</v>
      </c>
      <c r="AO10760" s="11">
        <v>34545.519999999997</v>
      </c>
      <c r="AP10760" s="9">
        <v>4.2542608601686318</v>
      </c>
    </row>
    <row r="10761" spans="40:42" x14ac:dyDescent="0.3">
      <c r="AN10761">
        <v>10757</v>
      </c>
      <c r="AO10761" s="11">
        <v>21015.41</v>
      </c>
      <c r="AP10761" s="9">
        <v>2.8330207950872013</v>
      </c>
    </row>
    <row r="10762" spans="40:42" x14ac:dyDescent="0.3">
      <c r="AN10762">
        <v>10758</v>
      </c>
      <c r="AO10762" s="11">
        <v>19915.509999999998</v>
      </c>
      <c r="AP10762" s="9">
        <v>3.1675845779056124</v>
      </c>
    </row>
    <row r="10763" spans="40:42" x14ac:dyDescent="0.3">
      <c r="AN10763">
        <v>10759</v>
      </c>
      <c r="AO10763" s="11">
        <v>14231.33</v>
      </c>
      <c r="AP10763" s="9">
        <v>2.7285478203167295</v>
      </c>
    </row>
    <row r="10764" spans="40:42" x14ac:dyDescent="0.3">
      <c r="AN10764">
        <v>10760</v>
      </c>
      <c r="AO10764" s="11">
        <v>29289.58</v>
      </c>
      <c r="AP10764" s="9">
        <v>3.1735056721473258</v>
      </c>
    </row>
    <row r="10765" spans="40:42" x14ac:dyDescent="0.3">
      <c r="AN10765">
        <v>10761</v>
      </c>
      <c r="AO10765" s="11">
        <v>26229.94</v>
      </c>
      <c r="AP10765" s="9">
        <v>3.2907530196734518</v>
      </c>
    </row>
    <row r="10766" spans="40:42" x14ac:dyDescent="0.3">
      <c r="AN10766">
        <v>10762</v>
      </c>
      <c r="AO10766" s="11">
        <v>37817.96</v>
      </c>
      <c r="AP10766" s="9">
        <v>3.4354622016287344</v>
      </c>
    </row>
    <row r="10767" spans="40:42" x14ac:dyDescent="0.3">
      <c r="AN10767">
        <v>10763</v>
      </c>
      <c r="AO10767" s="11">
        <v>22708.83</v>
      </c>
      <c r="AP10767" s="9">
        <v>3.3801259774661059</v>
      </c>
    </row>
    <row r="10768" spans="40:42" x14ac:dyDescent="0.3">
      <c r="AN10768">
        <v>10764</v>
      </c>
      <c r="AO10768" s="11">
        <v>30042.080000000002</v>
      </c>
      <c r="AP10768" s="9">
        <v>3.9254828298710183</v>
      </c>
    </row>
    <row r="10769" spans="40:42" x14ac:dyDescent="0.3">
      <c r="AN10769">
        <v>10765</v>
      </c>
      <c r="AO10769" s="11">
        <v>31598.68</v>
      </c>
      <c r="AP10769" s="9">
        <v>3.433408681098721</v>
      </c>
    </row>
    <row r="10770" spans="40:42" x14ac:dyDescent="0.3">
      <c r="AN10770">
        <v>10766</v>
      </c>
      <c r="AO10770" s="11">
        <v>30572.31</v>
      </c>
      <c r="AP10770" s="9">
        <v>3.8691694544376212</v>
      </c>
    </row>
    <row r="10771" spans="40:42" x14ac:dyDescent="0.3">
      <c r="AN10771">
        <v>10767</v>
      </c>
      <c r="AO10771" s="11">
        <v>23924.720000000001</v>
      </c>
      <c r="AP10771" s="9">
        <v>3.1604689436195055</v>
      </c>
    </row>
    <row r="10772" spans="40:42" x14ac:dyDescent="0.3">
      <c r="AN10772">
        <v>10768</v>
      </c>
      <c r="AO10772" s="11">
        <v>30765.24</v>
      </c>
      <c r="AP10772" s="9">
        <v>3.6537997288894695</v>
      </c>
    </row>
    <row r="10773" spans="40:42" x14ac:dyDescent="0.3">
      <c r="AN10773">
        <v>10769</v>
      </c>
      <c r="AO10773" s="11">
        <v>23883.439999999999</v>
      </c>
      <c r="AP10773" s="9">
        <v>3.0638391291769067</v>
      </c>
    </row>
    <row r="10774" spans="40:42" x14ac:dyDescent="0.3">
      <c r="AN10774">
        <v>10770</v>
      </c>
      <c r="AO10774" s="11">
        <v>18204.169999999998</v>
      </c>
      <c r="AP10774" s="9">
        <v>2.6626767158576978</v>
      </c>
    </row>
    <row r="10775" spans="40:42" x14ac:dyDescent="0.3">
      <c r="AN10775">
        <v>10771</v>
      </c>
      <c r="AO10775" s="11">
        <v>14351.88</v>
      </c>
      <c r="AP10775" s="9">
        <v>3.5692425470765183</v>
      </c>
    </row>
    <row r="10776" spans="40:42" x14ac:dyDescent="0.3">
      <c r="AN10776">
        <v>10772</v>
      </c>
      <c r="AO10776" s="11">
        <v>33192.89</v>
      </c>
      <c r="AP10776" s="9">
        <v>4.0369059584342954</v>
      </c>
    </row>
    <row r="10777" spans="40:42" x14ac:dyDescent="0.3">
      <c r="AN10777">
        <v>10773</v>
      </c>
      <c r="AO10777" s="11">
        <v>25551.15</v>
      </c>
      <c r="AP10777" s="9">
        <v>3.4556350265898392</v>
      </c>
    </row>
    <row r="10778" spans="40:42" x14ac:dyDescent="0.3">
      <c r="AN10778">
        <v>10774</v>
      </c>
      <c r="AO10778" s="11">
        <v>19863.169999999998</v>
      </c>
      <c r="AP10778" s="9">
        <v>3.6093976766940123</v>
      </c>
    </row>
    <row r="10779" spans="40:42" x14ac:dyDescent="0.3">
      <c r="AN10779">
        <v>10775</v>
      </c>
      <c r="AO10779" s="11">
        <v>26696.95</v>
      </c>
      <c r="AP10779" s="9">
        <v>3.4482688730359992</v>
      </c>
    </row>
    <row r="10780" spans="40:42" x14ac:dyDescent="0.3">
      <c r="AN10780">
        <v>10776</v>
      </c>
      <c r="AO10780" s="11">
        <v>22628.89</v>
      </c>
      <c r="AP10780" s="9">
        <v>3.2151989173477387</v>
      </c>
    </row>
    <row r="10781" spans="40:42" x14ac:dyDescent="0.3">
      <c r="AN10781">
        <v>10777</v>
      </c>
      <c r="AO10781" s="11">
        <v>33666.199999999997</v>
      </c>
      <c r="AP10781" s="9">
        <v>3.147280840925629</v>
      </c>
    </row>
    <row r="10782" spans="40:42" x14ac:dyDescent="0.3">
      <c r="AN10782">
        <v>10778</v>
      </c>
      <c r="AO10782" s="11">
        <v>25526.44</v>
      </c>
      <c r="AP10782" s="9">
        <v>3.5939479209160674</v>
      </c>
    </row>
    <row r="10783" spans="40:42" x14ac:dyDescent="0.3">
      <c r="AN10783">
        <v>10779</v>
      </c>
      <c r="AO10783" s="11">
        <v>27768.639999999999</v>
      </c>
      <c r="AP10783" s="9">
        <v>3.5339423042969078</v>
      </c>
    </row>
    <row r="10784" spans="40:42" x14ac:dyDescent="0.3">
      <c r="AN10784">
        <v>10780</v>
      </c>
      <c r="AO10784" s="11">
        <v>29343.47</v>
      </c>
      <c r="AP10784" s="9">
        <v>3.4015896478963206</v>
      </c>
    </row>
    <row r="10785" spans="40:42" x14ac:dyDescent="0.3">
      <c r="AN10785">
        <v>10781</v>
      </c>
      <c r="AO10785" s="11">
        <v>39785.57</v>
      </c>
      <c r="AP10785" s="9">
        <v>3.4162972650493173</v>
      </c>
    </row>
    <row r="10786" spans="40:42" x14ac:dyDescent="0.3">
      <c r="AN10786">
        <v>10782</v>
      </c>
      <c r="AO10786" s="11">
        <v>32138.400000000001</v>
      </c>
      <c r="AP10786" s="9">
        <v>3.6735184131779643</v>
      </c>
    </row>
    <row r="10787" spans="40:42" x14ac:dyDescent="0.3">
      <c r="AN10787">
        <v>10783</v>
      </c>
      <c r="AO10787" s="11">
        <v>12694.46</v>
      </c>
      <c r="AP10787" s="9">
        <v>3.2224011795482297</v>
      </c>
    </row>
    <row r="10788" spans="40:42" x14ac:dyDescent="0.3">
      <c r="AN10788">
        <v>10784</v>
      </c>
      <c r="AO10788" s="11">
        <v>26076.55</v>
      </c>
      <c r="AP10788" s="9">
        <v>3.4332930199078122</v>
      </c>
    </row>
    <row r="10789" spans="40:42" x14ac:dyDescent="0.3">
      <c r="AN10789">
        <v>10785</v>
      </c>
      <c r="AO10789" s="11">
        <v>31083.38</v>
      </c>
      <c r="AP10789" s="9">
        <v>3.8680796432355522</v>
      </c>
    </row>
    <row r="10790" spans="40:42" x14ac:dyDescent="0.3">
      <c r="AN10790">
        <v>10786</v>
      </c>
      <c r="AO10790" s="11">
        <v>24752.34</v>
      </c>
      <c r="AP10790" s="9">
        <v>3.3306991589516564</v>
      </c>
    </row>
    <row r="10791" spans="40:42" x14ac:dyDescent="0.3">
      <c r="AN10791">
        <v>10787</v>
      </c>
      <c r="AO10791" s="11">
        <v>20945.91</v>
      </c>
      <c r="AP10791" s="9">
        <v>3.2545234478019056</v>
      </c>
    </row>
    <row r="10792" spans="40:42" x14ac:dyDescent="0.3">
      <c r="AN10792">
        <v>10788</v>
      </c>
      <c r="AO10792" s="11">
        <v>23503.62</v>
      </c>
      <c r="AP10792" s="9">
        <v>3.2830626758437211</v>
      </c>
    </row>
    <row r="10793" spans="40:42" x14ac:dyDescent="0.3">
      <c r="AN10793">
        <v>10789</v>
      </c>
      <c r="AO10793" s="11">
        <v>26815.58</v>
      </c>
      <c r="AP10793" s="9">
        <v>3.0513062793648329</v>
      </c>
    </row>
    <row r="10794" spans="40:42" x14ac:dyDescent="0.3">
      <c r="AN10794">
        <v>10790</v>
      </c>
      <c r="AO10794" s="11">
        <v>36207.18</v>
      </c>
      <c r="AP10794" s="9">
        <v>3.312043844144434</v>
      </c>
    </row>
    <row r="10795" spans="40:42" x14ac:dyDescent="0.3">
      <c r="AN10795">
        <v>10791</v>
      </c>
      <c r="AO10795" s="11">
        <v>29902.41</v>
      </c>
      <c r="AP10795" s="9">
        <v>3.2490025661853541</v>
      </c>
    </row>
    <row r="10796" spans="40:42" x14ac:dyDescent="0.3">
      <c r="AN10796">
        <v>10792</v>
      </c>
      <c r="AO10796" s="11">
        <v>33871.629999999997</v>
      </c>
      <c r="AP10796" s="9">
        <v>3.258460307880847</v>
      </c>
    </row>
    <row r="10797" spans="40:42" x14ac:dyDescent="0.3">
      <c r="AN10797">
        <v>10793</v>
      </c>
      <c r="AO10797" s="11">
        <v>50411.34</v>
      </c>
      <c r="AP10797" s="9">
        <v>4.1561864364975394</v>
      </c>
    </row>
    <row r="10798" spans="40:42" x14ac:dyDescent="0.3">
      <c r="AN10798">
        <v>10794</v>
      </c>
      <c r="AO10798" s="11">
        <v>29634.36</v>
      </c>
      <c r="AP10798" s="9">
        <v>3.3837470491235999</v>
      </c>
    </row>
    <row r="10799" spans="40:42" x14ac:dyDescent="0.3">
      <c r="AN10799">
        <v>10795</v>
      </c>
      <c r="AO10799" s="11">
        <v>27352.65</v>
      </c>
      <c r="AP10799" s="9">
        <v>3.3095047284804266</v>
      </c>
    </row>
    <row r="10800" spans="40:42" x14ac:dyDescent="0.3">
      <c r="AN10800">
        <v>10796</v>
      </c>
      <c r="AO10800" s="11">
        <v>41852.35</v>
      </c>
      <c r="AP10800" s="9">
        <v>3.3654552391876424</v>
      </c>
    </row>
    <row r="10801" spans="40:42" x14ac:dyDescent="0.3">
      <c r="AN10801">
        <v>10797</v>
      </c>
      <c r="AO10801" s="11">
        <v>22529.8</v>
      </c>
      <c r="AP10801" s="9">
        <v>3.7422594316317004</v>
      </c>
    </row>
    <row r="10802" spans="40:42" x14ac:dyDescent="0.3">
      <c r="AN10802">
        <v>10798</v>
      </c>
      <c r="AO10802" s="11">
        <v>38868.82</v>
      </c>
      <c r="AP10802" s="9">
        <v>3.2747293181097694</v>
      </c>
    </row>
    <row r="10803" spans="40:42" x14ac:dyDescent="0.3">
      <c r="AN10803">
        <v>10799</v>
      </c>
      <c r="AO10803" s="11">
        <v>18072.89</v>
      </c>
      <c r="AP10803" s="9">
        <v>3.1894897057868752</v>
      </c>
    </row>
    <row r="10804" spans="40:42" x14ac:dyDescent="0.3">
      <c r="AN10804">
        <v>10800</v>
      </c>
      <c r="AO10804" s="11">
        <v>23169.3</v>
      </c>
      <c r="AP10804" s="9">
        <v>2.8802139278647476</v>
      </c>
    </row>
    <row r="10805" spans="40:42" x14ac:dyDescent="0.3">
      <c r="AN10805">
        <v>10801</v>
      </c>
      <c r="AO10805" s="11">
        <v>18063.39</v>
      </c>
      <c r="AP10805" s="9">
        <v>3.2612328267113164</v>
      </c>
    </row>
    <row r="10806" spans="40:42" x14ac:dyDescent="0.3">
      <c r="AN10806">
        <v>10802</v>
      </c>
      <c r="AO10806" s="11">
        <v>18954.48</v>
      </c>
      <c r="AP10806" s="9">
        <v>3.1042908318271762</v>
      </c>
    </row>
    <row r="10807" spans="40:42" x14ac:dyDescent="0.3">
      <c r="AN10807">
        <v>10803</v>
      </c>
      <c r="AO10807" s="11">
        <v>33450.51</v>
      </c>
      <c r="AP10807" s="9">
        <v>3.4730847552478727</v>
      </c>
    </row>
    <row r="10808" spans="40:42" x14ac:dyDescent="0.3">
      <c r="AN10808">
        <v>10804</v>
      </c>
      <c r="AO10808" s="11">
        <v>33395.339999999997</v>
      </c>
      <c r="AP10808" s="9">
        <v>3.3393533591459774</v>
      </c>
    </row>
    <row r="10809" spans="40:42" x14ac:dyDescent="0.3">
      <c r="AN10809">
        <v>10805</v>
      </c>
      <c r="AO10809" s="11">
        <v>14118.42</v>
      </c>
      <c r="AP10809" s="9">
        <v>2.7526813241509669</v>
      </c>
    </row>
    <row r="10810" spans="40:42" x14ac:dyDescent="0.3">
      <c r="AN10810">
        <v>10806</v>
      </c>
      <c r="AO10810" s="11">
        <v>43612.97</v>
      </c>
      <c r="AP10810" s="9">
        <v>3.3682451705589815</v>
      </c>
    </row>
    <row r="10811" spans="40:42" x14ac:dyDescent="0.3">
      <c r="AN10811">
        <v>10807</v>
      </c>
      <c r="AO10811" s="11">
        <v>36603.85</v>
      </c>
      <c r="AP10811" s="9">
        <v>3.4537896079869177</v>
      </c>
    </row>
    <row r="10812" spans="40:42" x14ac:dyDescent="0.3">
      <c r="AN10812">
        <v>10808</v>
      </c>
      <c r="AO10812" s="11">
        <v>22077.73</v>
      </c>
      <c r="AP10812" s="9">
        <v>3.7082548409359122</v>
      </c>
    </row>
    <row r="10813" spans="40:42" x14ac:dyDescent="0.3">
      <c r="AN10813">
        <v>10809</v>
      </c>
      <c r="AO10813" s="11">
        <v>22009.14</v>
      </c>
      <c r="AP10813" s="9">
        <v>3.1401057314209586</v>
      </c>
    </row>
    <row r="10814" spans="40:42" x14ac:dyDescent="0.3">
      <c r="AN10814">
        <v>10810</v>
      </c>
      <c r="AO10814" s="11">
        <v>25832.81</v>
      </c>
      <c r="AP10814" s="9">
        <v>3.6257510452133239</v>
      </c>
    </row>
    <row r="10815" spans="40:42" x14ac:dyDescent="0.3">
      <c r="AN10815">
        <v>10811</v>
      </c>
      <c r="AO10815" s="11">
        <v>24159.95</v>
      </c>
      <c r="AP10815" s="9">
        <v>3.532653723861674</v>
      </c>
    </row>
    <row r="10816" spans="40:42" x14ac:dyDescent="0.3">
      <c r="AN10816">
        <v>10812</v>
      </c>
      <c r="AO10816" s="11">
        <v>32061.63</v>
      </c>
      <c r="AP10816" s="9">
        <v>3.3232659337882495</v>
      </c>
    </row>
    <row r="10817" spans="40:42" x14ac:dyDescent="0.3">
      <c r="AN10817">
        <v>10813</v>
      </c>
      <c r="AO10817" s="11">
        <v>23464.99</v>
      </c>
      <c r="AP10817" s="9">
        <v>2.9895717174311374</v>
      </c>
    </row>
    <row r="10818" spans="40:42" x14ac:dyDescent="0.3">
      <c r="AN10818">
        <v>10814</v>
      </c>
      <c r="AO10818" s="11">
        <v>38163.919999999998</v>
      </c>
      <c r="AP10818" s="9">
        <v>3.7067664986898543</v>
      </c>
    </row>
    <row r="10819" spans="40:42" x14ac:dyDescent="0.3">
      <c r="AN10819">
        <v>10815</v>
      </c>
      <c r="AO10819" s="11">
        <v>25211.81</v>
      </c>
      <c r="AP10819" s="9">
        <v>3.2379496904426062</v>
      </c>
    </row>
    <row r="10820" spans="40:42" x14ac:dyDescent="0.3">
      <c r="AN10820">
        <v>10816</v>
      </c>
      <c r="AO10820" s="11">
        <v>26602.66</v>
      </c>
      <c r="AP10820" s="9">
        <v>2.8782488283447645</v>
      </c>
    </row>
    <row r="10821" spans="40:42" x14ac:dyDescent="0.3">
      <c r="AN10821">
        <v>10817</v>
      </c>
      <c r="AO10821" s="11">
        <v>26152.78</v>
      </c>
      <c r="AP10821" s="9">
        <v>3.7247109730944845</v>
      </c>
    </row>
    <row r="10822" spans="40:42" x14ac:dyDescent="0.3">
      <c r="AN10822">
        <v>10818</v>
      </c>
      <c r="AO10822" s="11">
        <v>20974.22</v>
      </c>
      <c r="AP10822" s="9">
        <v>3.3297157732550411</v>
      </c>
    </row>
    <row r="10823" spans="40:42" x14ac:dyDescent="0.3">
      <c r="AN10823">
        <v>10819</v>
      </c>
      <c r="AO10823" s="11">
        <v>20895.919999999998</v>
      </c>
      <c r="AP10823" s="9">
        <v>3.461518096597918</v>
      </c>
    </row>
    <row r="10824" spans="40:42" x14ac:dyDescent="0.3">
      <c r="AN10824">
        <v>10820</v>
      </c>
      <c r="AO10824" s="11">
        <v>19217.330000000002</v>
      </c>
      <c r="AP10824" s="9">
        <v>3.1151766716440266</v>
      </c>
    </row>
    <row r="10825" spans="40:42" x14ac:dyDescent="0.3">
      <c r="AN10825">
        <v>10821</v>
      </c>
      <c r="AO10825" s="11">
        <v>24170.38</v>
      </c>
      <c r="AP10825" s="9">
        <v>3.6560774794675956</v>
      </c>
    </row>
    <row r="10826" spans="40:42" x14ac:dyDescent="0.3">
      <c r="AN10826">
        <v>10822</v>
      </c>
      <c r="AO10826" s="11">
        <v>36977.379999999997</v>
      </c>
      <c r="AP10826" s="9">
        <v>4.7071688161017402</v>
      </c>
    </row>
    <row r="10827" spans="40:42" x14ac:dyDescent="0.3">
      <c r="AN10827">
        <v>10823</v>
      </c>
      <c r="AO10827" s="11">
        <v>24795.63</v>
      </c>
      <c r="AP10827" s="9">
        <v>3.0389444692454899</v>
      </c>
    </row>
    <row r="10828" spans="40:42" x14ac:dyDescent="0.3">
      <c r="AN10828">
        <v>10824</v>
      </c>
      <c r="AO10828" s="11">
        <v>20711.73</v>
      </c>
      <c r="AP10828" s="9">
        <v>2.922907943623331</v>
      </c>
    </row>
    <row r="10829" spans="40:42" x14ac:dyDescent="0.3">
      <c r="AN10829">
        <v>10825</v>
      </c>
      <c r="AO10829" s="11">
        <v>20944.37</v>
      </c>
      <c r="AP10829" s="9">
        <v>3.428580591870281</v>
      </c>
    </row>
    <row r="10830" spans="40:42" x14ac:dyDescent="0.3">
      <c r="AN10830">
        <v>10826</v>
      </c>
      <c r="AO10830" s="11">
        <v>37647.879999999997</v>
      </c>
      <c r="AP10830" s="9">
        <v>4.2120476916514162</v>
      </c>
    </row>
    <row r="10831" spans="40:42" x14ac:dyDescent="0.3">
      <c r="AN10831">
        <v>10827</v>
      </c>
      <c r="AO10831" s="11">
        <v>40102.49</v>
      </c>
      <c r="AP10831" s="9">
        <v>3.0381054760503856</v>
      </c>
    </row>
    <row r="10832" spans="40:42" x14ac:dyDescent="0.3">
      <c r="AN10832">
        <v>10828</v>
      </c>
      <c r="AO10832" s="11">
        <v>26338.31</v>
      </c>
      <c r="AP10832" s="9">
        <v>3.3457027003279216</v>
      </c>
    </row>
    <row r="10833" spans="40:42" x14ac:dyDescent="0.3">
      <c r="AN10833">
        <v>10829</v>
      </c>
      <c r="AO10833" s="11">
        <v>33615.78</v>
      </c>
      <c r="AP10833" s="9">
        <v>4.0030407272354287</v>
      </c>
    </row>
    <row r="10834" spans="40:42" x14ac:dyDescent="0.3">
      <c r="AN10834">
        <v>10830</v>
      </c>
      <c r="AO10834" s="11">
        <v>17402.28</v>
      </c>
      <c r="AP10834" s="9">
        <v>3.6738042087292269</v>
      </c>
    </row>
    <row r="10835" spans="40:42" x14ac:dyDescent="0.3">
      <c r="AN10835">
        <v>10831</v>
      </c>
      <c r="AO10835" s="11">
        <v>16906.599999999999</v>
      </c>
      <c r="AP10835" s="9">
        <v>2.7372251217651238</v>
      </c>
    </row>
    <row r="10836" spans="40:42" x14ac:dyDescent="0.3">
      <c r="AN10836">
        <v>10832</v>
      </c>
      <c r="AO10836" s="11">
        <v>23960.03</v>
      </c>
      <c r="AP10836" s="9">
        <v>3.7195605947133514</v>
      </c>
    </row>
    <row r="10837" spans="40:42" x14ac:dyDescent="0.3">
      <c r="AN10837">
        <v>10833</v>
      </c>
      <c r="AO10837" s="11">
        <v>34900.42</v>
      </c>
      <c r="AP10837" s="9">
        <v>3.1831779892398528</v>
      </c>
    </row>
    <row r="10838" spans="40:42" x14ac:dyDescent="0.3">
      <c r="AN10838">
        <v>10834</v>
      </c>
      <c r="AO10838" s="11">
        <v>35143.19</v>
      </c>
      <c r="AP10838" s="9">
        <v>3.3023479273402203</v>
      </c>
    </row>
    <row r="10839" spans="40:42" x14ac:dyDescent="0.3">
      <c r="AN10839">
        <v>10835</v>
      </c>
      <c r="AO10839" s="11">
        <v>44658.95</v>
      </c>
      <c r="AP10839" s="9">
        <v>3.7771107156038073</v>
      </c>
    </row>
    <row r="10840" spans="40:42" x14ac:dyDescent="0.3">
      <c r="AN10840">
        <v>10836</v>
      </c>
      <c r="AO10840" s="11">
        <v>18145.21</v>
      </c>
      <c r="AP10840" s="9">
        <v>2.8199285870897244</v>
      </c>
    </row>
    <row r="10841" spans="40:42" x14ac:dyDescent="0.3">
      <c r="AN10841">
        <v>10837</v>
      </c>
      <c r="AO10841" s="11">
        <v>27519.95</v>
      </c>
      <c r="AP10841" s="9">
        <v>3.3866863406613534</v>
      </c>
    </row>
    <row r="10842" spans="40:42" x14ac:dyDescent="0.3">
      <c r="AN10842">
        <v>10838</v>
      </c>
      <c r="AO10842" s="11">
        <v>41151.370000000003</v>
      </c>
      <c r="AP10842" s="9">
        <v>3.815601025801389</v>
      </c>
    </row>
    <row r="10843" spans="40:42" x14ac:dyDescent="0.3">
      <c r="AN10843">
        <v>10839</v>
      </c>
      <c r="AO10843" s="11">
        <v>19845.21</v>
      </c>
      <c r="AP10843" s="9">
        <v>3.3011578700153872</v>
      </c>
    </row>
    <row r="10844" spans="40:42" x14ac:dyDescent="0.3">
      <c r="AN10844">
        <v>10840</v>
      </c>
      <c r="AO10844" s="11">
        <v>25520.07</v>
      </c>
      <c r="AP10844" s="9">
        <v>3.2602547194780209</v>
      </c>
    </row>
    <row r="10845" spans="40:42" x14ac:dyDescent="0.3">
      <c r="AN10845">
        <v>10841</v>
      </c>
      <c r="AO10845" s="11">
        <v>27559.94</v>
      </c>
      <c r="AP10845" s="9">
        <v>3.6941590179514492</v>
      </c>
    </row>
    <row r="10846" spans="40:42" x14ac:dyDescent="0.3">
      <c r="AN10846">
        <v>10842</v>
      </c>
      <c r="AO10846" s="11">
        <v>20616.16</v>
      </c>
      <c r="AP10846" s="9">
        <v>3.109620906469396</v>
      </c>
    </row>
    <row r="10847" spans="40:42" x14ac:dyDescent="0.3">
      <c r="AN10847">
        <v>10843</v>
      </c>
      <c r="AO10847" s="11">
        <v>34051.96</v>
      </c>
      <c r="AP10847" s="9">
        <v>3.1769656865538187</v>
      </c>
    </row>
    <row r="10848" spans="40:42" x14ac:dyDescent="0.3">
      <c r="AN10848">
        <v>10844</v>
      </c>
      <c r="AO10848" s="11">
        <v>29520</v>
      </c>
      <c r="AP10848" s="9">
        <v>3.5485687154341639</v>
      </c>
    </row>
    <row r="10849" spans="40:42" x14ac:dyDescent="0.3">
      <c r="AN10849">
        <v>10845</v>
      </c>
      <c r="AO10849" s="11">
        <v>19049.25</v>
      </c>
      <c r="AP10849" s="9">
        <v>3.5408531305727848</v>
      </c>
    </row>
    <row r="10850" spans="40:42" x14ac:dyDescent="0.3">
      <c r="AN10850">
        <v>10846</v>
      </c>
      <c r="AO10850" s="11">
        <v>30906.29</v>
      </c>
      <c r="AP10850" s="9">
        <v>3.5629752798748009</v>
      </c>
    </row>
    <row r="10851" spans="40:42" x14ac:dyDescent="0.3">
      <c r="AN10851">
        <v>10847</v>
      </c>
      <c r="AO10851" s="11">
        <v>16612.18</v>
      </c>
      <c r="AP10851" s="9">
        <v>3.1332451534359245</v>
      </c>
    </row>
    <row r="10852" spans="40:42" x14ac:dyDescent="0.3">
      <c r="AN10852">
        <v>10848</v>
      </c>
      <c r="AO10852" s="11">
        <v>23858.79</v>
      </c>
      <c r="AP10852" s="9">
        <v>3.287029438802072</v>
      </c>
    </row>
    <row r="10853" spans="40:42" x14ac:dyDescent="0.3">
      <c r="AN10853">
        <v>10849</v>
      </c>
      <c r="AO10853" s="11">
        <v>18384.349999999999</v>
      </c>
      <c r="AP10853" s="9">
        <v>2.8907754123840412</v>
      </c>
    </row>
    <row r="10854" spans="40:42" x14ac:dyDescent="0.3">
      <c r="AN10854">
        <v>10850</v>
      </c>
      <c r="AO10854" s="11">
        <v>22449.07</v>
      </c>
      <c r="AP10854" s="9">
        <v>2.7676133622656436</v>
      </c>
    </row>
    <row r="10855" spans="40:42" x14ac:dyDescent="0.3">
      <c r="AN10855">
        <v>10851</v>
      </c>
      <c r="AO10855" s="11">
        <v>32065.599999999999</v>
      </c>
      <c r="AP10855" s="9">
        <v>3.0112627300137698</v>
      </c>
    </row>
    <row r="10856" spans="40:42" x14ac:dyDescent="0.3">
      <c r="AN10856">
        <v>10852</v>
      </c>
      <c r="AO10856" s="11">
        <v>35085.550000000003</v>
      </c>
      <c r="AP10856" s="9">
        <v>3.7121392854602542</v>
      </c>
    </row>
    <row r="10857" spans="40:42" x14ac:dyDescent="0.3">
      <c r="AN10857">
        <v>10853</v>
      </c>
      <c r="AO10857" s="11">
        <v>40418.879999999997</v>
      </c>
      <c r="AP10857" s="9">
        <v>3.7041307792569218</v>
      </c>
    </row>
    <row r="10858" spans="40:42" x14ac:dyDescent="0.3">
      <c r="AN10858">
        <v>10854</v>
      </c>
      <c r="AO10858" s="11">
        <v>40419.300000000003</v>
      </c>
      <c r="AP10858" s="9">
        <v>3.4782920008785774</v>
      </c>
    </row>
    <row r="10859" spans="40:42" x14ac:dyDescent="0.3">
      <c r="AN10859">
        <v>10855</v>
      </c>
      <c r="AO10859" s="11">
        <v>12877.75</v>
      </c>
      <c r="AP10859" s="9">
        <v>2.4117170266774131</v>
      </c>
    </row>
    <row r="10860" spans="40:42" x14ac:dyDescent="0.3">
      <c r="AN10860">
        <v>10856</v>
      </c>
      <c r="AO10860" s="11">
        <v>30560.69</v>
      </c>
      <c r="AP10860" s="9">
        <v>3.428410054972149</v>
      </c>
    </row>
    <row r="10861" spans="40:42" x14ac:dyDescent="0.3">
      <c r="AN10861">
        <v>10857</v>
      </c>
      <c r="AO10861" s="11">
        <v>25967.07</v>
      </c>
      <c r="AP10861" s="9">
        <v>3.401549106398253</v>
      </c>
    </row>
    <row r="10862" spans="40:42" x14ac:dyDescent="0.3">
      <c r="AN10862">
        <v>10858</v>
      </c>
      <c r="AO10862" s="11">
        <v>23891.42</v>
      </c>
      <c r="AP10862" s="9">
        <v>3.0668335388417289</v>
      </c>
    </row>
    <row r="10863" spans="40:42" x14ac:dyDescent="0.3">
      <c r="AN10863">
        <v>10859</v>
      </c>
      <c r="AO10863" s="11">
        <v>19309.77</v>
      </c>
      <c r="AP10863" s="9">
        <v>3.1493366671657239</v>
      </c>
    </row>
    <row r="10864" spans="40:42" x14ac:dyDescent="0.3">
      <c r="AN10864">
        <v>10860</v>
      </c>
      <c r="AO10864" s="11">
        <v>30323.21</v>
      </c>
      <c r="AP10864" s="9">
        <v>3.6653475007155527</v>
      </c>
    </row>
    <row r="10865" spans="40:42" x14ac:dyDescent="0.3">
      <c r="AN10865">
        <v>10861</v>
      </c>
      <c r="AO10865" s="11">
        <v>31920.45</v>
      </c>
      <c r="AP10865" s="9">
        <v>3.0452733137985337</v>
      </c>
    </row>
    <row r="10866" spans="40:42" x14ac:dyDescent="0.3">
      <c r="AN10866">
        <v>10862</v>
      </c>
      <c r="AO10866" s="11">
        <v>17640.84</v>
      </c>
      <c r="AP10866" s="9">
        <v>2.8073342707142541</v>
      </c>
    </row>
    <row r="10867" spans="40:42" x14ac:dyDescent="0.3">
      <c r="AN10867">
        <v>10863</v>
      </c>
      <c r="AO10867" s="11">
        <v>27114.29</v>
      </c>
      <c r="AP10867" s="9">
        <v>3.1121835660163959</v>
      </c>
    </row>
    <row r="10868" spans="40:42" x14ac:dyDescent="0.3">
      <c r="AN10868">
        <v>10864</v>
      </c>
      <c r="AO10868" s="11">
        <v>33345.120000000003</v>
      </c>
      <c r="AP10868" s="9">
        <v>3.8101671043371299</v>
      </c>
    </row>
    <row r="10869" spans="40:42" x14ac:dyDescent="0.3">
      <c r="AN10869">
        <v>10865</v>
      </c>
      <c r="AO10869" s="11">
        <v>28152.97</v>
      </c>
      <c r="AP10869" s="9">
        <v>2.9947975608737063</v>
      </c>
    </row>
    <row r="10870" spans="40:42" x14ac:dyDescent="0.3">
      <c r="AN10870">
        <v>10866</v>
      </c>
      <c r="AO10870" s="11">
        <v>16857.48</v>
      </c>
      <c r="AP10870" s="9">
        <v>4.0766419454114047</v>
      </c>
    </row>
    <row r="10871" spans="40:42" x14ac:dyDescent="0.3">
      <c r="AN10871">
        <v>10867</v>
      </c>
      <c r="AO10871" s="11">
        <v>23237.11</v>
      </c>
      <c r="AP10871" s="9">
        <v>3.2713114645860375</v>
      </c>
    </row>
    <row r="10872" spans="40:42" x14ac:dyDescent="0.3">
      <c r="AN10872">
        <v>10868</v>
      </c>
      <c r="AO10872" s="11">
        <v>36534.699999999997</v>
      </c>
      <c r="AP10872" s="9">
        <v>3.4077236169151304</v>
      </c>
    </row>
    <row r="10873" spans="40:42" x14ac:dyDescent="0.3">
      <c r="AN10873">
        <v>10869</v>
      </c>
      <c r="AO10873" s="11">
        <v>37524</v>
      </c>
      <c r="AP10873" s="9">
        <v>3.9539843777891339</v>
      </c>
    </row>
    <row r="10874" spans="40:42" x14ac:dyDescent="0.3">
      <c r="AN10874">
        <v>10870</v>
      </c>
      <c r="AO10874" s="11">
        <v>12496.19</v>
      </c>
      <c r="AP10874" s="9">
        <v>2.5092630477445028</v>
      </c>
    </row>
    <row r="10875" spans="40:42" x14ac:dyDescent="0.3">
      <c r="AN10875">
        <v>10871</v>
      </c>
      <c r="AO10875" s="11">
        <v>31617.82</v>
      </c>
      <c r="AP10875" s="9">
        <v>2.8267966921786294</v>
      </c>
    </row>
    <row r="10876" spans="40:42" x14ac:dyDescent="0.3">
      <c r="AN10876">
        <v>10872</v>
      </c>
      <c r="AO10876" s="11">
        <v>25521.040000000001</v>
      </c>
      <c r="AP10876" s="9">
        <v>3.4013706634034238</v>
      </c>
    </row>
    <row r="10877" spans="40:42" x14ac:dyDescent="0.3">
      <c r="AN10877">
        <v>10873</v>
      </c>
      <c r="AO10877" s="11">
        <v>23838.97</v>
      </c>
      <c r="AP10877" s="9">
        <v>3.8030098225827098</v>
      </c>
    </row>
    <row r="10878" spans="40:42" x14ac:dyDescent="0.3">
      <c r="AN10878">
        <v>10874</v>
      </c>
      <c r="AO10878" s="11">
        <v>42821.3</v>
      </c>
      <c r="AP10878" s="9">
        <v>3.7007285221953463</v>
      </c>
    </row>
    <row r="10879" spans="40:42" x14ac:dyDescent="0.3">
      <c r="AN10879">
        <v>10875</v>
      </c>
      <c r="AO10879" s="11">
        <v>26907.97</v>
      </c>
      <c r="AP10879" s="9">
        <v>3.6640107787116474</v>
      </c>
    </row>
    <row r="10880" spans="40:42" x14ac:dyDescent="0.3">
      <c r="AN10880">
        <v>10876</v>
      </c>
      <c r="AO10880" s="11">
        <v>26063.73</v>
      </c>
      <c r="AP10880" s="9">
        <v>2.7714074756624569</v>
      </c>
    </row>
    <row r="10881" spans="40:42" x14ac:dyDescent="0.3">
      <c r="AN10881">
        <v>10877</v>
      </c>
      <c r="AO10881" s="11">
        <v>24854.7</v>
      </c>
      <c r="AP10881" s="9">
        <v>3.2292042050627643</v>
      </c>
    </row>
    <row r="10882" spans="40:42" x14ac:dyDescent="0.3">
      <c r="AN10882">
        <v>10878</v>
      </c>
      <c r="AO10882" s="11">
        <v>26532.38</v>
      </c>
      <c r="AP10882" s="9">
        <v>3.3966293199259918</v>
      </c>
    </row>
    <row r="10883" spans="40:42" x14ac:dyDescent="0.3">
      <c r="AN10883">
        <v>10879</v>
      </c>
      <c r="AO10883" s="11">
        <v>24340.23</v>
      </c>
      <c r="AP10883" s="9">
        <v>3.2737396893623423</v>
      </c>
    </row>
    <row r="10884" spans="40:42" x14ac:dyDescent="0.3">
      <c r="AN10884">
        <v>10880</v>
      </c>
      <c r="AO10884" s="11">
        <v>22746.74</v>
      </c>
      <c r="AP10884" s="9">
        <v>3.2684247564888986</v>
      </c>
    </row>
    <row r="10885" spans="40:42" x14ac:dyDescent="0.3">
      <c r="AN10885">
        <v>10881</v>
      </c>
      <c r="AO10885" s="11">
        <v>25086.52</v>
      </c>
      <c r="AP10885" s="9">
        <v>3.5959206177875052</v>
      </c>
    </row>
    <row r="10886" spans="40:42" x14ac:dyDescent="0.3">
      <c r="AN10886">
        <v>10882</v>
      </c>
      <c r="AO10886" s="11">
        <v>18177.14</v>
      </c>
      <c r="AP10886" s="9">
        <v>2.8944669795139335</v>
      </c>
    </row>
    <row r="10887" spans="40:42" x14ac:dyDescent="0.3">
      <c r="AN10887">
        <v>10883</v>
      </c>
      <c r="AO10887" s="11">
        <v>36832.639999999999</v>
      </c>
      <c r="AP10887" s="9">
        <v>2.924999753538899</v>
      </c>
    </row>
    <row r="10888" spans="40:42" x14ac:dyDescent="0.3">
      <c r="AN10888">
        <v>10884</v>
      </c>
      <c r="AO10888" s="11">
        <v>20975.11</v>
      </c>
      <c r="AP10888" s="9">
        <v>3.379270349420247</v>
      </c>
    </row>
    <row r="10889" spans="40:42" x14ac:dyDescent="0.3">
      <c r="AN10889">
        <v>10885</v>
      </c>
      <c r="AO10889" s="11">
        <v>40826.78</v>
      </c>
      <c r="AP10889" s="9">
        <v>3.6950529638498826</v>
      </c>
    </row>
    <row r="10890" spans="40:42" x14ac:dyDescent="0.3">
      <c r="AN10890">
        <v>10886</v>
      </c>
      <c r="AO10890" s="11">
        <v>19139.150000000001</v>
      </c>
      <c r="AP10890" s="9">
        <v>3.5573748339708868</v>
      </c>
    </row>
    <row r="10891" spans="40:42" x14ac:dyDescent="0.3">
      <c r="AN10891">
        <v>10887</v>
      </c>
      <c r="AO10891" s="11">
        <v>18376.400000000001</v>
      </c>
      <c r="AP10891" s="9">
        <v>3.5764843600768659</v>
      </c>
    </row>
    <row r="10892" spans="40:42" x14ac:dyDescent="0.3">
      <c r="AN10892">
        <v>10888</v>
      </c>
      <c r="AO10892" s="11">
        <v>30934.400000000001</v>
      </c>
      <c r="AP10892" s="9">
        <v>3.7625476345166318</v>
      </c>
    </row>
    <row r="10893" spans="40:42" x14ac:dyDescent="0.3">
      <c r="AN10893">
        <v>10889</v>
      </c>
      <c r="AO10893" s="11">
        <v>20685.48</v>
      </c>
      <c r="AP10893" s="9">
        <v>3.522264972634146</v>
      </c>
    </row>
    <row r="10894" spans="40:42" x14ac:dyDescent="0.3">
      <c r="AN10894">
        <v>10890</v>
      </c>
      <c r="AO10894" s="11">
        <v>33591.370000000003</v>
      </c>
      <c r="AP10894" s="9">
        <v>3.5488128309974249</v>
      </c>
    </row>
    <row r="10895" spans="40:42" x14ac:dyDescent="0.3">
      <c r="AN10895">
        <v>10891</v>
      </c>
      <c r="AO10895" s="11">
        <v>37318.26</v>
      </c>
      <c r="AP10895" s="9">
        <v>3.321695097665855</v>
      </c>
    </row>
    <row r="10896" spans="40:42" x14ac:dyDescent="0.3">
      <c r="AN10896">
        <v>10892</v>
      </c>
      <c r="AO10896" s="11">
        <v>23012.06</v>
      </c>
      <c r="AP10896" s="9">
        <v>3.2414947332198438</v>
      </c>
    </row>
    <row r="10897" spans="40:42" x14ac:dyDescent="0.3">
      <c r="AN10897">
        <v>10893</v>
      </c>
      <c r="AO10897" s="11">
        <v>37152.400000000001</v>
      </c>
      <c r="AP10897" s="9">
        <v>3.7969157470727479</v>
      </c>
    </row>
    <row r="10898" spans="40:42" x14ac:dyDescent="0.3">
      <c r="AN10898">
        <v>10894</v>
      </c>
      <c r="AO10898" s="11">
        <v>22915.45</v>
      </c>
      <c r="AP10898" s="9">
        <v>2.6564381268944484</v>
      </c>
    </row>
    <row r="10899" spans="40:42" x14ac:dyDescent="0.3">
      <c r="AN10899">
        <v>10895</v>
      </c>
      <c r="AO10899" s="11">
        <v>26558.51</v>
      </c>
      <c r="AP10899" s="9">
        <v>2.8817621059017045</v>
      </c>
    </row>
    <row r="10900" spans="40:42" x14ac:dyDescent="0.3">
      <c r="AN10900">
        <v>10896</v>
      </c>
      <c r="AO10900" s="11">
        <v>32671.69</v>
      </c>
      <c r="AP10900" s="9">
        <v>3.9519512128634249</v>
      </c>
    </row>
    <row r="10901" spans="40:42" x14ac:dyDescent="0.3">
      <c r="AN10901">
        <v>10897</v>
      </c>
      <c r="AO10901" s="11">
        <v>21730.75</v>
      </c>
      <c r="AP10901" s="9">
        <v>3.3358054665830639</v>
      </c>
    </row>
    <row r="10902" spans="40:42" x14ac:dyDescent="0.3">
      <c r="AN10902">
        <v>10898</v>
      </c>
      <c r="AO10902" s="11">
        <v>25896.560000000001</v>
      </c>
      <c r="AP10902" s="9">
        <v>2.9748852808051609</v>
      </c>
    </row>
    <row r="10903" spans="40:42" x14ac:dyDescent="0.3">
      <c r="AN10903">
        <v>10899</v>
      </c>
      <c r="AO10903" s="11">
        <v>19996.580000000002</v>
      </c>
      <c r="AP10903" s="9">
        <v>2.7265504113293959</v>
      </c>
    </row>
    <row r="10904" spans="40:42" x14ac:dyDescent="0.3">
      <c r="AN10904">
        <v>10900</v>
      </c>
      <c r="AO10904" s="11">
        <v>23277.67</v>
      </c>
      <c r="AP10904" s="9">
        <v>3.4324985811871986</v>
      </c>
    </row>
    <row r="10905" spans="40:42" x14ac:dyDescent="0.3">
      <c r="AN10905">
        <v>10901</v>
      </c>
      <c r="AO10905" s="11">
        <v>18892.02</v>
      </c>
      <c r="AP10905" s="9">
        <v>2.8603817443715949</v>
      </c>
    </row>
    <row r="10906" spans="40:42" x14ac:dyDescent="0.3">
      <c r="AN10906">
        <v>10902</v>
      </c>
      <c r="AO10906" s="11">
        <v>40049.31</v>
      </c>
      <c r="AP10906" s="9">
        <v>3.3503237869383824</v>
      </c>
    </row>
    <row r="10907" spans="40:42" x14ac:dyDescent="0.3">
      <c r="AN10907">
        <v>10903</v>
      </c>
      <c r="AO10907" s="11">
        <v>24850.17</v>
      </c>
      <c r="AP10907" s="9">
        <v>3.1811420765765273</v>
      </c>
    </row>
    <row r="10908" spans="40:42" x14ac:dyDescent="0.3">
      <c r="AN10908">
        <v>10904</v>
      </c>
      <c r="AO10908" s="11">
        <v>40239.879999999997</v>
      </c>
      <c r="AP10908" s="9">
        <v>3.6548538457410427</v>
      </c>
    </row>
    <row r="10909" spans="40:42" x14ac:dyDescent="0.3">
      <c r="AN10909">
        <v>10905</v>
      </c>
      <c r="AO10909" s="11">
        <v>26669.97</v>
      </c>
      <c r="AP10909" s="9">
        <v>3.2174614888681314</v>
      </c>
    </row>
    <row r="10910" spans="40:42" x14ac:dyDescent="0.3">
      <c r="AN10910">
        <v>10906</v>
      </c>
      <c r="AO10910" s="11">
        <v>39276.519999999997</v>
      </c>
      <c r="AP10910" s="9">
        <v>3.5055422346205649</v>
      </c>
    </row>
    <row r="10911" spans="40:42" x14ac:dyDescent="0.3">
      <c r="AN10911">
        <v>10907</v>
      </c>
      <c r="AO10911" s="11">
        <v>41126.160000000003</v>
      </c>
      <c r="AP10911" s="9">
        <v>3.516559508027568</v>
      </c>
    </row>
    <row r="10912" spans="40:42" x14ac:dyDescent="0.3">
      <c r="AN10912">
        <v>10908</v>
      </c>
      <c r="AO10912" s="11">
        <v>53494.94</v>
      </c>
      <c r="AP10912" s="9">
        <v>4.8515366468612244</v>
      </c>
    </row>
    <row r="10913" spans="40:42" x14ac:dyDescent="0.3">
      <c r="AN10913">
        <v>10909</v>
      </c>
      <c r="AO10913" s="11">
        <v>37523.5</v>
      </c>
      <c r="AP10913" s="9">
        <v>3.8574463788169853</v>
      </c>
    </row>
    <row r="10914" spans="40:42" x14ac:dyDescent="0.3">
      <c r="AN10914">
        <v>10910</v>
      </c>
      <c r="AO10914" s="11">
        <v>29499.56</v>
      </c>
      <c r="AP10914" s="9">
        <v>3.5578474498361383</v>
      </c>
    </row>
    <row r="10915" spans="40:42" x14ac:dyDescent="0.3">
      <c r="AN10915">
        <v>10911</v>
      </c>
      <c r="AO10915" s="11">
        <v>37556.39</v>
      </c>
      <c r="AP10915" s="9">
        <v>3.8870784876378819</v>
      </c>
    </row>
    <row r="10916" spans="40:42" x14ac:dyDescent="0.3">
      <c r="AN10916">
        <v>10912</v>
      </c>
      <c r="AO10916" s="11">
        <v>27527.63</v>
      </c>
      <c r="AP10916" s="9">
        <v>3.2741391815069401</v>
      </c>
    </row>
    <row r="10917" spans="40:42" x14ac:dyDescent="0.3">
      <c r="AN10917">
        <v>10913</v>
      </c>
      <c r="AO10917" s="11">
        <v>16575.39</v>
      </c>
      <c r="AP10917" s="9">
        <v>2.8904014118222827</v>
      </c>
    </row>
    <row r="10918" spans="40:42" x14ac:dyDescent="0.3">
      <c r="AN10918">
        <v>10914</v>
      </c>
      <c r="AO10918" s="11">
        <v>24268.03</v>
      </c>
      <c r="AP10918" s="9">
        <v>3.2998997825466287</v>
      </c>
    </row>
    <row r="10919" spans="40:42" x14ac:dyDescent="0.3">
      <c r="AN10919">
        <v>10915</v>
      </c>
      <c r="AO10919" s="11">
        <v>18773.28</v>
      </c>
      <c r="AP10919" s="9">
        <v>3.4848583522178718</v>
      </c>
    </row>
    <row r="10920" spans="40:42" x14ac:dyDescent="0.3">
      <c r="AN10920">
        <v>10916</v>
      </c>
      <c r="AO10920" s="11">
        <v>12345.14</v>
      </c>
      <c r="AP10920" s="9">
        <v>2.7119483543650826</v>
      </c>
    </row>
    <row r="10921" spans="40:42" x14ac:dyDescent="0.3">
      <c r="AN10921">
        <v>10917</v>
      </c>
      <c r="AO10921" s="11">
        <v>27761.15</v>
      </c>
      <c r="AP10921" s="9">
        <v>2.9901760109677484</v>
      </c>
    </row>
    <row r="10922" spans="40:42" x14ac:dyDescent="0.3">
      <c r="AN10922">
        <v>10918</v>
      </c>
      <c r="AO10922" s="11">
        <v>38098.410000000003</v>
      </c>
      <c r="AP10922" s="9">
        <v>3.8770142288294607</v>
      </c>
    </row>
    <row r="10923" spans="40:42" x14ac:dyDescent="0.3">
      <c r="AN10923">
        <v>10919</v>
      </c>
      <c r="AO10923" s="11">
        <v>25469.200000000001</v>
      </c>
      <c r="AP10923" s="9">
        <v>3.7075338012812158</v>
      </c>
    </row>
    <row r="10924" spans="40:42" x14ac:dyDescent="0.3">
      <c r="AN10924">
        <v>10920</v>
      </c>
      <c r="AO10924" s="11">
        <v>18843.21</v>
      </c>
      <c r="AP10924" s="9">
        <v>3.0841559988746203</v>
      </c>
    </row>
    <row r="10925" spans="40:42" x14ac:dyDescent="0.3">
      <c r="AN10925">
        <v>10921</v>
      </c>
      <c r="AO10925" s="11">
        <v>32530.9</v>
      </c>
      <c r="AP10925" s="9">
        <v>3.0767340308139071</v>
      </c>
    </row>
    <row r="10926" spans="40:42" x14ac:dyDescent="0.3">
      <c r="AN10926">
        <v>10922</v>
      </c>
      <c r="AO10926" s="11">
        <v>36414.71</v>
      </c>
      <c r="AP10926" s="9">
        <v>3.6774378349853287</v>
      </c>
    </row>
    <row r="10927" spans="40:42" x14ac:dyDescent="0.3">
      <c r="AN10927">
        <v>10923</v>
      </c>
      <c r="AO10927" s="11">
        <v>32833.449999999997</v>
      </c>
      <c r="AP10927" s="9">
        <v>3.1310861599338615</v>
      </c>
    </row>
    <row r="10928" spans="40:42" x14ac:dyDescent="0.3">
      <c r="AN10928">
        <v>10924</v>
      </c>
      <c r="AO10928" s="11">
        <v>16398.400000000001</v>
      </c>
      <c r="AP10928" s="9">
        <v>3.0091353733617088</v>
      </c>
    </row>
    <row r="10929" spans="40:42" x14ac:dyDescent="0.3">
      <c r="AN10929">
        <v>10925</v>
      </c>
      <c r="AO10929" s="11">
        <v>32472.880000000001</v>
      </c>
      <c r="AP10929" s="9">
        <v>2.9948499307882517</v>
      </c>
    </row>
    <row r="10930" spans="40:42" x14ac:dyDescent="0.3">
      <c r="AN10930">
        <v>10926</v>
      </c>
      <c r="AO10930" s="11">
        <v>16298.72</v>
      </c>
      <c r="AP10930" s="9">
        <v>3.0795963098629224</v>
      </c>
    </row>
    <row r="10931" spans="40:42" x14ac:dyDescent="0.3">
      <c r="AN10931">
        <v>10927</v>
      </c>
      <c r="AO10931" s="11">
        <v>18394.02</v>
      </c>
      <c r="AP10931" s="9">
        <v>3.3380054281576355</v>
      </c>
    </row>
    <row r="10932" spans="40:42" x14ac:dyDescent="0.3">
      <c r="AN10932">
        <v>10928</v>
      </c>
      <c r="AO10932" s="11">
        <v>33252.080000000002</v>
      </c>
      <c r="AP10932" s="9">
        <v>3.2524386272262609</v>
      </c>
    </row>
    <row r="10933" spans="40:42" x14ac:dyDescent="0.3">
      <c r="AN10933">
        <v>10929</v>
      </c>
      <c r="AO10933" s="11">
        <v>30573.82</v>
      </c>
      <c r="AP10933" s="9">
        <v>3.7674049948653132</v>
      </c>
    </row>
    <row r="10934" spans="40:42" x14ac:dyDescent="0.3">
      <c r="AN10934">
        <v>10930</v>
      </c>
      <c r="AO10934" s="11">
        <v>36406.239999999998</v>
      </c>
      <c r="AP10934" s="9">
        <v>3.8526001901680882</v>
      </c>
    </row>
    <row r="10935" spans="40:42" x14ac:dyDescent="0.3">
      <c r="AN10935">
        <v>10931</v>
      </c>
      <c r="AO10935" s="11">
        <v>33274.06</v>
      </c>
      <c r="AP10935" s="9">
        <v>3.7594741171216115</v>
      </c>
    </row>
    <row r="10936" spans="40:42" x14ac:dyDescent="0.3">
      <c r="AN10936">
        <v>10932</v>
      </c>
      <c r="AO10936" s="11">
        <v>31788.93</v>
      </c>
      <c r="AP10936" s="9">
        <v>3.3838123379782643</v>
      </c>
    </row>
    <row r="10937" spans="40:42" x14ac:dyDescent="0.3">
      <c r="AN10937">
        <v>10933</v>
      </c>
      <c r="AO10937" s="11">
        <v>17350.87</v>
      </c>
      <c r="AP10937" s="9">
        <v>4.0078979795573364</v>
      </c>
    </row>
    <row r="10938" spans="40:42" x14ac:dyDescent="0.3">
      <c r="AN10938">
        <v>10934</v>
      </c>
      <c r="AO10938" s="11">
        <v>32394</v>
      </c>
      <c r="AP10938" s="9">
        <v>3.6438462178350703</v>
      </c>
    </row>
    <row r="10939" spans="40:42" x14ac:dyDescent="0.3">
      <c r="AN10939">
        <v>10935</v>
      </c>
      <c r="AO10939" s="11">
        <v>32576.32</v>
      </c>
      <c r="AP10939" s="9">
        <v>3.0132963051092467</v>
      </c>
    </row>
    <row r="10940" spans="40:42" x14ac:dyDescent="0.3">
      <c r="AN10940">
        <v>10936</v>
      </c>
      <c r="AO10940" s="11">
        <v>18199.14</v>
      </c>
      <c r="AP10940" s="9">
        <v>3.1428055088937179</v>
      </c>
    </row>
    <row r="10941" spans="40:42" x14ac:dyDescent="0.3">
      <c r="AN10941">
        <v>10937</v>
      </c>
      <c r="AO10941" s="11">
        <v>28474.97</v>
      </c>
      <c r="AP10941" s="9">
        <v>3.711828380351029</v>
      </c>
    </row>
    <row r="10942" spans="40:42" x14ac:dyDescent="0.3">
      <c r="AN10942">
        <v>10938</v>
      </c>
      <c r="AO10942" s="11">
        <v>16510.29</v>
      </c>
      <c r="AP10942" s="9">
        <v>3.0717770712420838</v>
      </c>
    </row>
    <row r="10943" spans="40:42" x14ac:dyDescent="0.3">
      <c r="AN10943">
        <v>10939</v>
      </c>
      <c r="AO10943" s="11">
        <v>30701.01</v>
      </c>
      <c r="AP10943" s="9">
        <v>3.927072070450865</v>
      </c>
    </row>
    <row r="10944" spans="40:42" x14ac:dyDescent="0.3">
      <c r="AN10944">
        <v>10940</v>
      </c>
      <c r="AO10944" s="11">
        <v>27401.53</v>
      </c>
      <c r="AP10944" s="9">
        <v>3.0688405812945656</v>
      </c>
    </row>
    <row r="10945" spans="40:42" x14ac:dyDescent="0.3">
      <c r="AN10945">
        <v>10941</v>
      </c>
      <c r="AO10945" s="11">
        <v>22237</v>
      </c>
      <c r="AP10945" s="9">
        <v>3.7847347502158826</v>
      </c>
    </row>
    <row r="10946" spans="40:42" x14ac:dyDescent="0.3">
      <c r="AN10946">
        <v>10942</v>
      </c>
      <c r="AO10946" s="11">
        <v>29767.47</v>
      </c>
      <c r="AP10946" s="9">
        <v>3.7105006191774712</v>
      </c>
    </row>
    <row r="10947" spans="40:42" x14ac:dyDescent="0.3">
      <c r="AN10947">
        <v>10943</v>
      </c>
      <c r="AO10947" s="11">
        <v>22205.25</v>
      </c>
      <c r="AP10947" s="9">
        <v>3.6603398509401734</v>
      </c>
    </row>
    <row r="10948" spans="40:42" x14ac:dyDescent="0.3">
      <c r="AN10948">
        <v>10944</v>
      </c>
      <c r="AO10948" s="11">
        <v>32256.87</v>
      </c>
      <c r="AP10948" s="9">
        <v>2.6138647568575921</v>
      </c>
    </row>
    <row r="10949" spans="40:42" x14ac:dyDescent="0.3">
      <c r="AN10949">
        <v>10945</v>
      </c>
      <c r="AO10949" s="11">
        <v>22383.5</v>
      </c>
      <c r="AP10949" s="9">
        <v>3.9155150738634195</v>
      </c>
    </row>
    <row r="10950" spans="40:42" x14ac:dyDescent="0.3">
      <c r="AN10950">
        <v>10946</v>
      </c>
      <c r="AO10950" s="11">
        <v>21193.19</v>
      </c>
      <c r="AP10950" s="9">
        <v>3.3604872024051828</v>
      </c>
    </row>
    <row r="10951" spans="40:42" x14ac:dyDescent="0.3">
      <c r="AN10951">
        <v>10947</v>
      </c>
      <c r="AO10951" s="11">
        <v>25175.03</v>
      </c>
      <c r="AP10951" s="9">
        <v>3.3233182633805134</v>
      </c>
    </row>
    <row r="10952" spans="40:42" x14ac:dyDescent="0.3">
      <c r="AN10952">
        <v>10948</v>
      </c>
      <c r="AO10952" s="11">
        <v>19975.13</v>
      </c>
      <c r="AP10952" s="9">
        <v>3.8900155003483681</v>
      </c>
    </row>
    <row r="10953" spans="40:42" x14ac:dyDescent="0.3">
      <c r="AN10953">
        <v>10949</v>
      </c>
      <c r="AO10953" s="11">
        <v>21021.360000000001</v>
      </c>
      <c r="AP10953" s="9">
        <v>3.5656353833963341</v>
      </c>
    </row>
    <row r="10954" spans="40:42" x14ac:dyDescent="0.3">
      <c r="AN10954">
        <v>10950</v>
      </c>
      <c r="AO10954" s="11">
        <v>15390.97</v>
      </c>
      <c r="AP10954" s="9">
        <v>3.4113479421482396</v>
      </c>
    </row>
    <row r="10955" spans="40:42" x14ac:dyDescent="0.3">
      <c r="AN10955">
        <v>10951</v>
      </c>
      <c r="AO10955" s="11">
        <v>28054.25</v>
      </c>
      <c r="AP10955" s="9">
        <v>3.3919808806847374</v>
      </c>
    </row>
    <row r="10956" spans="40:42" x14ac:dyDescent="0.3">
      <c r="AN10956">
        <v>10952</v>
      </c>
      <c r="AO10956" s="11">
        <v>21170.38</v>
      </c>
      <c r="AP10956" s="9">
        <v>3.2444634483571648</v>
      </c>
    </row>
    <row r="10957" spans="40:42" x14ac:dyDescent="0.3">
      <c r="AN10957">
        <v>10953</v>
      </c>
      <c r="AO10957" s="11">
        <v>28328.36</v>
      </c>
      <c r="AP10957" s="9">
        <v>3.538879141372349</v>
      </c>
    </row>
    <row r="10958" spans="40:42" x14ac:dyDescent="0.3">
      <c r="AN10958">
        <v>10954</v>
      </c>
      <c r="AO10958" s="11">
        <v>30905.03</v>
      </c>
      <c r="AP10958" s="9">
        <v>4.462629662560663</v>
      </c>
    </row>
    <row r="10959" spans="40:42" x14ac:dyDescent="0.3">
      <c r="AN10959">
        <v>10955</v>
      </c>
      <c r="AO10959" s="11">
        <v>34817.050000000003</v>
      </c>
      <c r="AP10959" s="9">
        <v>4.1828814656903033</v>
      </c>
    </row>
    <row r="10960" spans="40:42" x14ac:dyDescent="0.3">
      <c r="AN10960">
        <v>10956</v>
      </c>
      <c r="AO10960" s="11">
        <v>18734.509999999998</v>
      </c>
      <c r="AP10960" s="9">
        <v>3.4272919576752492</v>
      </c>
    </row>
    <row r="10961" spans="40:42" x14ac:dyDescent="0.3">
      <c r="AN10961">
        <v>10957</v>
      </c>
      <c r="AO10961" s="11">
        <v>21816.78</v>
      </c>
      <c r="AP10961" s="9">
        <v>3.1630074796850249</v>
      </c>
    </row>
    <row r="10962" spans="40:42" x14ac:dyDescent="0.3">
      <c r="AN10962">
        <v>10958</v>
      </c>
      <c r="AO10962" s="11">
        <v>30947.31</v>
      </c>
      <c r="AP10962" s="9">
        <v>3.3203183782849415</v>
      </c>
    </row>
    <row r="10963" spans="40:42" x14ac:dyDescent="0.3">
      <c r="AN10963">
        <v>10959</v>
      </c>
      <c r="AO10963" s="11">
        <v>27000.25</v>
      </c>
      <c r="AP10963" s="9">
        <v>3.0488392150729511</v>
      </c>
    </row>
    <row r="10964" spans="40:42" x14ac:dyDescent="0.3">
      <c r="AN10964">
        <v>10960</v>
      </c>
      <c r="AO10964" s="11">
        <v>35179.57</v>
      </c>
      <c r="AP10964" s="9">
        <v>3.4110177411088554</v>
      </c>
    </row>
    <row r="10965" spans="40:42" x14ac:dyDescent="0.3">
      <c r="AN10965">
        <v>10961</v>
      </c>
      <c r="AO10965" s="11">
        <v>26856.5</v>
      </c>
      <c r="AP10965" s="9">
        <v>3.4798148726374269</v>
      </c>
    </row>
    <row r="10966" spans="40:42" x14ac:dyDescent="0.3">
      <c r="AN10966">
        <v>10962</v>
      </c>
      <c r="AO10966" s="11">
        <v>18145.419999999998</v>
      </c>
      <c r="AP10966" s="9">
        <v>3.5481933112340722</v>
      </c>
    </row>
    <row r="10967" spans="40:42" x14ac:dyDescent="0.3">
      <c r="AN10967">
        <v>10963</v>
      </c>
      <c r="AO10967" s="11">
        <v>33079.279999999999</v>
      </c>
      <c r="AP10967" s="9">
        <v>3.5592306663774744</v>
      </c>
    </row>
    <row r="10968" spans="40:42" x14ac:dyDescent="0.3">
      <c r="AN10968">
        <v>10964</v>
      </c>
      <c r="AO10968" s="11">
        <v>20107.96</v>
      </c>
      <c r="AP10968" s="9">
        <v>3.4882860448584947</v>
      </c>
    </row>
    <row r="10969" spans="40:42" x14ac:dyDescent="0.3">
      <c r="AN10969">
        <v>10965</v>
      </c>
      <c r="AO10969" s="11">
        <v>32367.57</v>
      </c>
      <c r="AP10969" s="9">
        <v>3.7912687542612349</v>
      </c>
    </row>
    <row r="10970" spans="40:42" x14ac:dyDescent="0.3">
      <c r="AN10970">
        <v>10966</v>
      </c>
      <c r="AO10970" s="11">
        <v>20889.72</v>
      </c>
      <c r="AP10970" s="9">
        <v>3.0398129072471782</v>
      </c>
    </row>
    <row r="10971" spans="40:42" x14ac:dyDescent="0.3">
      <c r="AN10971">
        <v>10967</v>
      </c>
      <c r="AO10971" s="11">
        <v>30504.05</v>
      </c>
      <c r="AP10971" s="9">
        <v>3.5037130051151237</v>
      </c>
    </row>
    <row r="10972" spans="40:42" x14ac:dyDescent="0.3">
      <c r="AN10972">
        <v>10968</v>
      </c>
      <c r="AO10972" s="11">
        <v>33780.519999999997</v>
      </c>
      <c r="AP10972" s="9">
        <v>3.7270419754971642</v>
      </c>
    </row>
    <row r="10973" spans="40:42" x14ac:dyDescent="0.3">
      <c r="AN10973">
        <v>10969</v>
      </c>
      <c r="AO10973" s="11">
        <v>23184.6</v>
      </c>
      <c r="AP10973" s="9">
        <v>3.8156485829372997</v>
      </c>
    </row>
    <row r="10974" spans="40:42" x14ac:dyDescent="0.3">
      <c r="AN10974">
        <v>10970</v>
      </c>
      <c r="AO10974" s="11">
        <v>29801.43</v>
      </c>
      <c r="AP10974" s="9">
        <v>3.0434528498482374</v>
      </c>
    </row>
    <row r="10975" spans="40:42" x14ac:dyDescent="0.3">
      <c r="AN10975">
        <v>10971</v>
      </c>
      <c r="AO10975" s="11">
        <v>28688.36</v>
      </c>
      <c r="AP10975" s="9">
        <v>3.892541643958447</v>
      </c>
    </row>
    <row r="10976" spans="40:42" x14ac:dyDescent="0.3">
      <c r="AN10976">
        <v>10972</v>
      </c>
      <c r="AO10976" s="11">
        <v>29414.78</v>
      </c>
      <c r="AP10976" s="9">
        <v>4.6533254790704177</v>
      </c>
    </row>
    <row r="10977" spans="40:42" x14ac:dyDescent="0.3">
      <c r="AN10977">
        <v>10973</v>
      </c>
      <c r="AO10977" s="11">
        <v>50449.18</v>
      </c>
      <c r="AP10977" s="9">
        <v>3.7676258000597502</v>
      </c>
    </row>
    <row r="10978" spans="40:42" x14ac:dyDescent="0.3">
      <c r="AN10978">
        <v>10974</v>
      </c>
      <c r="AO10978" s="11">
        <v>19140.52</v>
      </c>
      <c r="AP10978" s="9">
        <v>2.8179950185183507</v>
      </c>
    </row>
    <row r="10979" spans="40:42" x14ac:dyDescent="0.3">
      <c r="AN10979">
        <v>10975</v>
      </c>
      <c r="AO10979" s="11">
        <v>35408.720000000001</v>
      </c>
      <c r="AP10979" s="9">
        <v>3.6227978139059722</v>
      </c>
    </row>
    <row r="10980" spans="40:42" x14ac:dyDescent="0.3">
      <c r="AN10980">
        <v>10976</v>
      </c>
      <c r="AO10980" s="11">
        <v>20995.4</v>
      </c>
      <c r="AP10980" s="9">
        <v>3.350515710739018</v>
      </c>
    </row>
    <row r="10981" spans="40:42" x14ac:dyDescent="0.3">
      <c r="AN10981">
        <v>10977</v>
      </c>
      <c r="AO10981" s="11">
        <v>17059.16</v>
      </c>
      <c r="AP10981" s="9">
        <v>3.2988451147534303</v>
      </c>
    </row>
    <row r="10982" spans="40:42" x14ac:dyDescent="0.3">
      <c r="AN10982">
        <v>10978</v>
      </c>
      <c r="AO10982" s="11">
        <v>23857.81</v>
      </c>
      <c r="AP10982" s="9">
        <v>3.3637093643835687</v>
      </c>
    </row>
    <row r="10983" spans="40:42" x14ac:dyDescent="0.3">
      <c r="AN10983">
        <v>10979</v>
      </c>
      <c r="AO10983" s="11">
        <v>22136.34</v>
      </c>
      <c r="AP10983" s="9">
        <v>2.8301683439349241</v>
      </c>
    </row>
    <row r="10984" spans="40:42" x14ac:dyDescent="0.3">
      <c r="AN10984">
        <v>10980</v>
      </c>
      <c r="AO10984" s="11">
        <v>38559.56</v>
      </c>
      <c r="AP10984" s="9">
        <v>3.7458891831954344</v>
      </c>
    </row>
    <row r="10985" spans="40:42" x14ac:dyDescent="0.3">
      <c r="AN10985">
        <v>10981</v>
      </c>
      <c r="AO10985" s="11">
        <v>26055.87</v>
      </c>
      <c r="AP10985" s="9">
        <v>3.3182595450252492</v>
      </c>
    </row>
    <row r="10986" spans="40:42" x14ac:dyDescent="0.3">
      <c r="AN10986">
        <v>10982</v>
      </c>
      <c r="AO10986" s="11">
        <v>19578.25</v>
      </c>
      <c r="AP10986" s="9">
        <v>2.989415914524268</v>
      </c>
    </row>
    <row r="10987" spans="40:42" x14ac:dyDescent="0.3">
      <c r="AN10987">
        <v>10983</v>
      </c>
      <c r="AO10987" s="11">
        <v>28131.61</v>
      </c>
      <c r="AP10987" s="9">
        <v>4.3954309494163963</v>
      </c>
    </row>
    <row r="10988" spans="40:42" x14ac:dyDescent="0.3">
      <c r="AN10988">
        <v>10984</v>
      </c>
      <c r="AO10988" s="11">
        <v>40998.47</v>
      </c>
      <c r="AP10988" s="9">
        <v>3.6816708261033377</v>
      </c>
    </row>
    <row r="10989" spans="40:42" x14ac:dyDescent="0.3">
      <c r="AN10989">
        <v>10985</v>
      </c>
      <c r="AO10989" s="11">
        <v>23881.5</v>
      </c>
      <c r="AP10989" s="9">
        <v>4.0289845118396395</v>
      </c>
    </row>
    <row r="10990" spans="40:42" x14ac:dyDescent="0.3">
      <c r="AN10990">
        <v>10986</v>
      </c>
      <c r="AO10990" s="11">
        <v>32042.86</v>
      </c>
      <c r="AP10990" s="9">
        <v>3.1512835964522101</v>
      </c>
    </row>
    <row r="10991" spans="40:42" x14ac:dyDescent="0.3">
      <c r="AN10991">
        <v>10987</v>
      </c>
      <c r="AO10991" s="11">
        <v>21844.17</v>
      </c>
      <c r="AP10991" s="9">
        <v>3.0779915687117554</v>
      </c>
    </row>
    <row r="10992" spans="40:42" x14ac:dyDescent="0.3">
      <c r="AN10992">
        <v>10988</v>
      </c>
      <c r="AO10992" s="11">
        <v>18698.259999999998</v>
      </c>
      <c r="AP10992" s="9">
        <v>4.0631695683992612</v>
      </c>
    </row>
    <row r="10993" spans="40:42" x14ac:dyDescent="0.3">
      <c r="AN10993">
        <v>10989</v>
      </c>
      <c r="AO10993" s="11">
        <v>38695.910000000003</v>
      </c>
      <c r="AP10993" s="9">
        <v>3.6083103094002</v>
      </c>
    </row>
    <row r="10994" spans="40:42" x14ac:dyDescent="0.3">
      <c r="AN10994">
        <v>10990</v>
      </c>
      <c r="AO10994" s="11">
        <v>45869.89</v>
      </c>
      <c r="AP10994" s="9">
        <v>3.8588372424157056</v>
      </c>
    </row>
    <row r="10995" spans="40:42" x14ac:dyDescent="0.3">
      <c r="AN10995">
        <v>10991</v>
      </c>
      <c r="AO10995" s="11">
        <v>32860.29</v>
      </c>
      <c r="AP10995" s="9">
        <v>3.0953490130183119</v>
      </c>
    </row>
    <row r="10996" spans="40:42" x14ac:dyDescent="0.3">
      <c r="AN10996">
        <v>10992</v>
      </c>
      <c r="AO10996" s="11">
        <v>30257.98</v>
      </c>
      <c r="AP10996" s="9">
        <v>3.1728183226265108</v>
      </c>
    </row>
    <row r="10997" spans="40:42" x14ac:dyDescent="0.3">
      <c r="AN10997">
        <v>10993</v>
      </c>
      <c r="AO10997" s="11">
        <v>27803.91</v>
      </c>
      <c r="AP10997" s="9">
        <v>3.3201686970237438</v>
      </c>
    </row>
    <row r="10998" spans="40:42" x14ac:dyDescent="0.3">
      <c r="AN10998">
        <v>10994</v>
      </c>
      <c r="AO10998" s="11">
        <v>26952.73</v>
      </c>
      <c r="AP10998" s="9">
        <v>3.5590349677345769</v>
      </c>
    </row>
    <row r="10999" spans="40:42" x14ac:dyDescent="0.3">
      <c r="AN10999">
        <v>10995</v>
      </c>
      <c r="AO10999" s="11">
        <v>28393.1</v>
      </c>
      <c r="AP10999" s="9">
        <v>3.1732768577327559</v>
      </c>
    </row>
    <row r="11000" spans="40:42" x14ac:dyDescent="0.3">
      <c r="AN11000">
        <v>10996</v>
      </c>
      <c r="AO11000" s="11">
        <v>37352.559999999998</v>
      </c>
      <c r="AP11000" s="9">
        <v>3.6583235182594041</v>
      </c>
    </row>
    <row r="11001" spans="40:42" x14ac:dyDescent="0.3">
      <c r="AN11001">
        <v>10997</v>
      </c>
      <c r="AO11001" s="11">
        <v>23774.37</v>
      </c>
      <c r="AP11001" s="9">
        <v>3.6631062199197282</v>
      </c>
    </row>
    <row r="11002" spans="40:42" x14ac:dyDescent="0.3">
      <c r="AN11002">
        <v>10998</v>
      </c>
      <c r="AO11002" s="11">
        <v>25185.22</v>
      </c>
      <c r="AP11002" s="9">
        <v>4.225440665123954</v>
      </c>
    </row>
    <row r="11003" spans="40:42" x14ac:dyDescent="0.3">
      <c r="AN11003">
        <v>10999</v>
      </c>
      <c r="AO11003" s="11">
        <v>27461.13</v>
      </c>
      <c r="AP11003" s="9">
        <v>3.7633570400549599</v>
      </c>
    </row>
    <row r="11004" spans="40:42" x14ac:dyDescent="0.3">
      <c r="AN11004">
        <v>11000</v>
      </c>
      <c r="AO11004" s="11">
        <v>30693.1</v>
      </c>
      <c r="AP11004" s="9">
        <v>3.4844877935736416</v>
      </c>
    </row>
    <row r="11005" spans="40:42" x14ac:dyDescent="0.3">
      <c r="AN11005">
        <v>11001</v>
      </c>
      <c r="AO11005" s="11">
        <v>21505.71</v>
      </c>
      <c r="AP11005" s="9">
        <v>3.3522921231937115</v>
      </c>
    </row>
    <row r="11006" spans="40:42" x14ac:dyDescent="0.3">
      <c r="AN11006">
        <v>11002</v>
      </c>
      <c r="AO11006" s="11">
        <v>28016.42</v>
      </c>
      <c r="AP11006" s="9">
        <v>3.1238132020364668</v>
      </c>
    </row>
    <row r="11007" spans="40:42" x14ac:dyDescent="0.3">
      <c r="AN11007">
        <v>11003</v>
      </c>
      <c r="AO11007" s="11">
        <v>34138.589999999997</v>
      </c>
      <c r="AP11007" s="9">
        <v>3.9369001376776653</v>
      </c>
    </row>
    <row r="11008" spans="40:42" x14ac:dyDescent="0.3">
      <c r="AN11008">
        <v>11004</v>
      </c>
      <c r="AO11008" s="11">
        <v>27861.81</v>
      </c>
      <c r="AP11008" s="9">
        <v>2.8069074090844608</v>
      </c>
    </row>
    <row r="11009" spans="40:42" x14ac:dyDescent="0.3">
      <c r="AN11009">
        <v>11005</v>
      </c>
      <c r="AO11009" s="11">
        <v>24770.04</v>
      </c>
      <c r="AP11009" s="9">
        <v>3.2931181279934441</v>
      </c>
    </row>
    <row r="11010" spans="40:42" x14ac:dyDescent="0.3">
      <c r="AN11010">
        <v>11006</v>
      </c>
      <c r="AO11010" s="11">
        <v>23019.82</v>
      </c>
      <c r="AP11010" s="9">
        <v>3.3345469789325715</v>
      </c>
    </row>
    <row r="11011" spans="40:42" x14ac:dyDescent="0.3">
      <c r="AN11011">
        <v>11007</v>
      </c>
      <c r="AO11011" s="11">
        <v>30278.66</v>
      </c>
      <c r="AP11011" s="9">
        <v>3.2981558901947317</v>
      </c>
    </row>
    <row r="11012" spans="40:42" x14ac:dyDescent="0.3">
      <c r="AN11012">
        <v>11008</v>
      </c>
      <c r="AO11012" s="11">
        <v>39906.080000000002</v>
      </c>
      <c r="AP11012" s="9">
        <v>4.0788391919418157</v>
      </c>
    </row>
    <row r="11013" spans="40:42" x14ac:dyDescent="0.3">
      <c r="AN11013">
        <v>11009</v>
      </c>
      <c r="AO11013" s="11">
        <v>37048.49</v>
      </c>
      <c r="AP11013" s="9">
        <v>3.8292494834092587</v>
      </c>
    </row>
    <row r="11014" spans="40:42" x14ac:dyDescent="0.3">
      <c r="AN11014">
        <v>11010</v>
      </c>
      <c r="AO11014" s="11">
        <v>18738.68</v>
      </c>
      <c r="AP11014" s="9">
        <v>3.2290607957868009</v>
      </c>
    </row>
    <row r="11015" spans="40:42" x14ac:dyDescent="0.3">
      <c r="AN11015">
        <v>11011</v>
      </c>
      <c r="AO11015" s="11">
        <v>34017.160000000003</v>
      </c>
      <c r="AP11015" s="9">
        <v>3.2408541796803143</v>
      </c>
    </row>
    <row r="11016" spans="40:42" x14ac:dyDescent="0.3">
      <c r="AN11016">
        <v>11012</v>
      </c>
      <c r="AO11016" s="11">
        <v>21018.32</v>
      </c>
      <c r="AP11016" s="9">
        <v>3.245863659278184</v>
      </c>
    </row>
    <row r="11017" spans="40:42" x14ac:dyDescent="0.3">
      <c r="AN11017">
        <v>11013</v>
      </c>
      <c r="AO11017" s="11">
        <v>26898.6</v>
      </c>
      <c r="AP11017" s="9">
        <v>3.4012745964624838</v>
      </c>
    </row>
    <row r="11018" spans="40:42" x14ac:dyDescent="0.3">
      <c r="AN11018">
        <v>11014</v>
      </c>
      <c r="AO11018" s="11">
        <v>25163.17</v>
      </c>
      <c r="AP11018" s="9">
        <v>4.0625021819335574</v>
      </c>
    </row>
    <row r="11019" spans="40:42" x14ac:dyDescent="0.3">
      <c r="AN11019">
        <v>11015</v>
      </c>
      <c r="AO11019" s="11">
        <v>17898.28</v>
      </c>
      <c r="AP11019" s="9">
        <v>2.9665054815421827</v>
      </c>
    </row>
    <row r="11020" spans="40:42" x14ac:dyDescent="0.3">
      <c r="AN11020">
        <v>11016</v>
      </c>
      <c r="AO11020" s="11">
        <v>30598.02</v>
      </c>
      <c r="AP11020" s="9">
        <v>2.893818391963852</v>
      </c>
    </row>
    <row r="11021" spans="40:42" x14ac:dyDescent="0.3">
      <c r="AN11021">
        <v>11017</v>
      </c>
      <c r="AO11021" s="11">
        <v>18154.82</v>
      </c>
      <c r="AP11021" s="9">
        <v>2.8121256097665523</v>
      </c>
    </row>
    <row r="11022" spans="40:42" x14ac:dyDescent="0.3">
      <c r="AN11022">
        <v>11018</v>
      </c>
      <c r="AO11022" s="11">
        <v>24341.69</v>
      </c>
      <c r="AP11022" s="9">
        <v>3.392493300269388</v>
      </c>
    </row>
    <row r="11023" spans="40:42" x14ac:dyDescent="0.3">
      <c r="AN11023">
        <v>11019</v>
      </c>
      <c r="AO11023" s="11">
        <v>24434.47</v>
      </c>
      <c r="AP11023" s="9">
        <v>3.5804824848147665</v>
      </c>
    </row>
    <row r="11024" spans="40:42" x14ac:dyDescent="0.3">
      <c r="AN11024">
        <v>11020</v>
      </c>
      <c r="AO11024" s="11">
        <v>14447.24</v>
      </c>
      <c r="AP11024" s="9">
        <v>2.8841209247977853</v>
      </c>
    </row>
    <row r="11025" spans="40:42" x14ac:dyDescent="0.3">
      <c r="AN11025">
        <v>11021</v>
      </c>
      <c r="AO11025" s="11">
        <v>24106.69</v>
      </c>
      <c r="AP11025" s="9">
        <v>2.7543434419221526</v>
      </c>
    </row>
    <row r="11026" spans="40:42" x14ac:dyDescent="0.3">
      <c r="AN11026">
        <v>11022</v>
      </c>
      <c r="AO11026" s="11">
        <v>24003.81</v>
      </c>
      <c r="AP11026" s="9">
        <v>3.1319506578150555</v>
      </c>
    </row>
    <row r="11027" spans="40:42" x14ac:dyDescent="0.3">
      <c r="AN11027">
        <v>11023</v>
      </c>
      <c r="AO11027" s="11">
        <v>29623.68</v>
      </c>
      <c r="AP11027" s="9">
        <v>3.1830555198883967</v>
      </c>
    </row>
    <row r="11028" spans="40:42" x14ac:dyDescent="0.3">
      <c r="AN11028">
        <v>11024</v>
      </c>
      <c r="AO11028" s="11">
        <v>25861.95</v>
      </c>
      <c r="AP11028" s="9">
        <v>4.1650887896559254</v>
      </c>
    </row>
    <row r="11029" spans="40:42" x14ac:dyDescent="0.3">
      <c r="AN11029">
        <v>11025</v>
      </c>
      <c r="AO11029" s="11">
        <v>36690.69</v>
      </c>
      <c r="AP11029" s="9">
        <v>3.5051356915206773</v>
      </c>
    </row>
    <row r="11030" spans="40:42" x14ac:dyDescent="0.3">
      <c r="AN11030">
        <v>11026</v>
      </c>
      <c r="AO11030" s="11">
        <v>20077.88</v>
      </c>
      <c r="AP11030" s="9">
        <v>3.4886457543706828</v>
      </c>
    </row>
    <row r="11031" spans="40:42" x14ac:dyDescent="0.3">
      <c r="AN11031">
        <v>11027</v>
      </c>
      <c r="AO11031" s="11">
        <v>20446.75</v>
      </c>
      <c r="AP11031" s="9">
        <v>3.2492504105031754</v>
      </c>
    </row>
    <row r="11032" spans="40:42" x14ac:dyDescent="0.3">
      <c r="AN11032">
        <v>11028</v>
      </c>
      <c r="AO11032" s="11">
        <v>24377.119999999999</v>
      </c>
      <c r="AP11032" s="9">
        <v>3.2388212606611284</v>
      </c>
    </row>
    <row r="11033" spans="40:42" x14ac:dyDescent="0.3">
      <c r="AN11033">
        <v>11029</v>
      </c>
      <c r="AO11033" s="11">
        <v>32923.519999999997</v>
      </c>
      <c r="AP11033" s="9">
        <v>3.3151662612666133</v>
      </c>
    </row>
    <row r="11034" spans="40:42" x14ac:dyDescent="0.3">
      <c r="AN11034">
        <v>11030</v>
      </c>
      <c r="AO11034" s="11">
        <v>30237.77</v>
      </c>
      <c r="AP11034" s="9">
        <v>3.6179577930928049</v>
      </c>
    </row>
    <row r="11035" spans="40:42" x14ac:dyDescent="0.3">
      <c r="AN11035">
        <v>11031</v>
      </c>
      <c r="AO11035" s="11">
        <v>24848.45</v>
      </c>
      <c r="AP11035" s="9">
        <v>3.1167961833046101</v>
      </c>
    </row>
    <row r="11036" spans="40:42" x14ac:dyDescent="0.3">
      <c r="AN11036">
        <v>11032</v>
      </c>
      <c r="AO11036" s="11">
        <v>28681.46</v>
      </c>
      <c r="AP11036" s="9">
        <v>3.1720231584261622</v>
      </c>
    </row>
    <row r="11037" spans="40:42" x14ac:dyDescent="0.3">
      <c r="AN11037">
        <v>11033</v>
      </c>
      <c r="AO11037" s="11">
        <v>19582.54</v>
      </c>
      <c r="AP11037" s="9">
        <v>3.2184111552616477</v>
      </c>
    </row>
    <row r="11038" spans="40:42" x14ac:dyDescent="0.3">
      <c r="AN11038">
        <v>11034</v>
      </c>
      <c r="AO11038" s="11">
        <v>37717.64</v>
      </c>
      <c r="AP11038" s="9">
        <v>3.7097902726327088</v>
      </c>
    </row>
    <row r="11039" spans="40:42" x14ac:dyDescent="0.3">
      <c r="AN11039">
        <v>11035</v>
      </c>
      <c r="AO11039" s="11">
        <v>33174.89</v>
      </c>
      <c r="AP11039" s="9">
        <v>3.5708436501765788</v>
      </c>
    </row>
    <row r="11040" spans="40:42" x14ac:dyDescent="0.3">
      <c r="AN11040">
        <v>11036</v>
      </c>
      <c r="AO11040" s="11">
        <v>31435.75</v>
      </c>
      <c r="AP11040" s="9">
        <v>3.938636975202114</v>
      </c>
    </row>
    <row r="11041" spans="40:42" x14ac:dyDescent="0.3">
      <c r="AN11041">
        <v>11037</v>
      </c>
      <c r="AO11041" s="11">
        <v>33768.49</v>
      </c>
      <c r="AP11041" s="9">
        <v>3.7171305858539148</v>
      </c>
    </row>
    <row r="11042" spans="40:42" x14ac:dyDescent="0.3">
      <c r="AN11042">
        <v>11038</v>
      </c>
      <c r="AO11042" s="11">
        <v>20989.58</v>
      </c>
      <c r="AP11042" s="9">
        <v>3.0316499333958906</v>
      </c>
    </row>
    <row r="11043" spans="40:42" x14ac:dyDescent="0.3">
      <c r="AN11043">
        <v>11039</v>
      </c>
      <c r="AO11043" s="11">
        <v>28307.07</v>
      </c>
      <c r="AP11043" s="9">
        <v>3.0177910307320568</v>
      </c>
    </row>
    <row r="11044" spans="40:42" x14ac:dyDescent="0.3">
      <c r="AN11044">
        <v>11040</v>
      </c>
      <c r="AO11044" s="11">
        <v>28427.82</v>
      </c>
      <c r="AP11044" s="9">
        <v>4.0942106626742403</v>
      </c>
    </row>
    <row r="11045" spans="40:42" x14ac:dyDescent="0.3">
      <c r="AN11045">
        <v>11041</v>
      </c>
      <c r="AO11045" s="11">
        <v>37461.410000000003</v>
      </c>
      <c r="AP11045" s="9">
        <v>3.9525994193346907</v>
      </c>
    </row>
    <row r="11046" spans="40:42" x14ac:dyDescent="0.3">
      <c r="AN11046">
        <v>11042</v>
      </c>
      <c r="AO11046" s="11">
        <v>17432.29</v>
      </c>
      <c r="AP11046" s="9">
        <v>3.6562580905078592</v>
      </c>
    </row>
    <row r="11047" spans="40:42" x14ac:dyDescent="0.3">
      <c r="AN11047">
        <v>11043</v>
      </c>
      <c r="AO11047" s="11">
        <v>41075.040000000001</v>
      </c>
      <c r="AP11047" s="9">
        <v>4.1238737625172481</v>
      </c>
    </row>
    <row r="11048" spans="40:42" x14ac:dyDescent="0.3">
      <c r="AN11048">
        <v>11044</v>
      </c>
      <c r="AO11048" s="11">
        <v>24368.94</v>
      </c>
      <c r="AP11048" s="9">
        <v>2.8851330495401837</v>
      </c>
    </row>
    <row r="11049" spans="40:42" x14ac:dyDescent="0.3">
      <c r="AN11049">
        <v>11045</v>
      </c>
      <c r="AO11049" s="11">
        <v>31507.35</v>
      </c>
      <c r="AP11049" s="9">
        <v>3.6471303040967213</v>
      </c>
    </row>
    <row r="11050" spans="40:42" x14ac:dyDescent="0.3">
      <c r="AN11050">
        <v>11046</v>
      </c>
      <c r="AO11050" s="11">
        <v>23975.82</v>
      </c>
      <c r="AP11050" s="9">
        <v>3.6931825112708552</v>
      </c>
    </row>
    <row r="11051" spans="40:42" x14ac:dyDescent="0.3">
      <c r="AN11051">
        <v>11047</v>
      </c>
      <c r="AO11051" s="11">
        <v>17646.21</v>
      </c>
      <c r="AP11051" s="9">
        <v>3.6788513295481979</v>
      </c>
    </row>
    <row r="11052" spans="40:42" x14ac:dyDescent="0.3">
      <c r="AN11052">
        <v>11048</v>
      </c>
      <c r="AO11052" s="11">
        <v>24635.81</v>
      </c>
      <c r="AP11052" s="9">
        <v>3.2394398651971303</v>
      </c>
    </row>
    <row r="11053" spans="40:42" x14ac:dyDescent="0.3">
      <c r="AN11053">
        <v>11049</v>
      </c>
      <c r="AO11053" s="11">
        <v>26395.91</v>
      </c>
      <c r="AP11053" s="9">
        <v>3.6614605328194956</v>
      </c>
    </row>
    <row r="11054" spans="40:42" x14ac:dyDescent="0.3">
      <c r="AN11054">
        <v>11050</v>
      </c>
      <c r="AO11054" s="11">
        <v>17858.75</v>
      </c>
      <c r="AP11054" s="9">
        <v>3.3457364692343834</v>
      </c>
    </row>
    <row r="11055" spans="40:42" x14ac:dyDescent="0.3">
      <c r="AN11055">
        <v>11051</v>
      </c>
      <c r="AO11055" s="11">
        <v>27944.77</v>
      </c>
      <c r="AP11055" s="9">
        <v>3.4430632758183659</v>
      </c>
    </row>
    <row r="11056" spans="40:42" x14ac:dyDescent="0.3">
      <c r="AN11056">
        <v>11052</v>
      </c>
      <c r="AO11056" s="11">
        <v>24660.33</v>
      </c>
      <c r="AP11056" s="9">
        <v>3.5400727415859197</v>
      </c>
    </row>
    <row r="11057" spans="40:42" x14ac:dyDescent="0.3">
      <c r="AN11057">
        <v>11053</v>
      </c>
      <c r="AO11057" s="11">
        <v>36691.480000000003</v>
      </c>
      <c r="AP11057" s="9">
        <v>3.2702382448850611</v>
      </c>
    </row>
    <row r="11058" spans="40:42" x14ac:dyDescent="0.3">
      <c r="AN11058">
        <v>11054</v>
      </c>
      <c r="AO11058" s="11">
        <v>29198.12</v>
      </c>
      <c r="AP11058" s="9">
        <v>3.5098377024367733</v>
      </c>
    </row>
    <row r="11059" spans="40:42" x14ac:dyDescent="0.3">
      <c r="AN11059">
        <v>11055</v>
      </c>
      <c r="AO11059" s="11">
        <v>29426.2</v>
      </c>
      <c r="AP11059" s="9">
        <v>2.9470719264287339</v>
      </c>
    </row>
    <row r="11060" spans="40:42" x14ac:dyDescent="0.3">
      <c r="AN11060">
        <v>11056</v>
      </c>
      <c r="AO11060" s="11">
        <v>32517.5</v>
      </c>
      <c r="AP11060" s="9">
        <v>3.3043294667931815</v>
      </c>
    </row>
    <row r="11061" spans="40:42" x14ac:dyDescent="0.3">
      <c r="AN11061">
        <v>11057</v>
      </c>
      <c r="AO11061" s="11">
        <v>21803.09</v>
      </c>
      <c r="AP11061" s="9">
        <v>3.2316844855092315</v>
      </c>
    </row>
    <row r="11062" spans="40:42" x14ac:dyDescent="0.3">
      <c r="AN11062">
        <v>11058</v>
      </c>
      <c r="AO11062" s="11">
        <v>49156.55</v>
      </c>
      <c r="AP11062" s="9">
        <v>3.5451592493316242</v>
      </c>
    </row>
    <row r="11063" spans="40:42" x14ac:dyDescent="0.3">
      <c r="AN11063">
        <v>11059</v>
      </c>
      <c r="AO11063" s="11">
        <v>37782.81</v>
      </c>
      <c r="AP11063" s="9">
        <v>3.0835647993242126</v>
      </c>
    </row>
    <row r="11064" spans="40:42" x14ac:dyDescent="0.3">
      <c r="AN11064">
        <v>11060</v>
      </c>
      <c r="AO11064" s="11">
        <v>18081.97</v>
      </c>
      <c r="AP11064" s="9">
        <v>3.161859166138659</v>
      </c>
    </row>
    <row r="11065" spans="40:42" x14ac:dyDescent="0.3">
      <c r="AN11065">
        <v>11061</v>
      </c>
      <c r="AO11065" s="11">
        <v>23122.82</v>
      </c>
      <c r="AP11065" s="9">
        <v>2.7317348514305162</v>
      </c>
    </row>
    <row r="11066" spans="40:42" x14ac:dyDescent="0.3">
      <c r="AN11066">
        <v>11062</v>
      </c>
      <c r="AO11066" s="11">
        <v>18335.59</v>
      </c>
      <c r="AP11066" s="9">
        <v>3.2213195703047739</v>
      </c>
    </row>
    <row r="11067" spans="40:42" x14ac:dyDescent="0.3">
      <c r="AN11067">
        <v>11063</v>
      </c>
      <c r="AO11067" s="11">
        <v>18333.52</v>
      </c>
      <c r="AP11067" s="9">
        <v>3.3449379149239542</v>
      </c>
    </row>
    <row r="11068" spans="40:42" x14ac:dyDescent="0.3">
      <c r="AN11068">
        <v>11064</v>
      </c>
      <c r="AO11068" s="11">
        <v>28283.29</v>
      </c>
      <c r="AP11068" s="9">
        <v>3.8345034853851989</v>
      </c>
    </row>
    <row r="11069" spans="40:42" x14ac:dyDescent="0.3">
      <c r="AN11069">
        <v>11065</v>
      </c>
      <c r="AO11069" s="11">
        <v>26645.85</v>
      </c>
      <c r="AP11069" s="9">
        <v>3.5643337558067461</v>
      </c>
    </row>
    <row r="11070" spans="40:42" x14ac:dyDescent="0.3">
      <c r="AN11070">
        <v>11066</v>
      </c>
      <c r="AO11070" s="11">
        <v>26006.2</v>
      </c>
      <c r="AP11070" s="9">
        <v>3.3655935381840782</v>
      </c>
    </row>
    <row r="11071" spans="40:42" x14ac:dyDescent="0.3">
      <c r="AN11071">
        <v>11067</v>
      </c>
      <c r="AO11071" s="11">
        <v>29436.9</v>
      </c>
      <c r="AP11071" s="9">
        <v>3.6093572718508611</v>
      </c>
    </row>
    <row r="11072" spans="40:42" x14ac:dyDescent="0.3">
      <c r="AN11072">
        <v>11068</v>
      </c>
      <c r="AO11072" s="11">
        <v>47952.21</v>
      </c>
      <c r="AP11072" s="9">
        <v>3.920695096740157</v>
      </c>
    </row>
    <row r="11073" spans="40:42" x14ac:dyDescent="0.3">
      <c r="AN11073">
        <v>11069</v>
      </c>
      <c r="AO11073" s="11">
        <v>27762.31</v>
      </c>
      <c r="AP11073" s="9">
        <v>2.7882862506966726</v>
      </c>
    </row>
    <row r="11074" spans="40:42" x14ac:dyDescent="0.3">
      <c r="AN11074">
        <v>11070</v>
      </c>
      <c r="AO11074" s="11">
        <v>16941.32</v>
      </c>
      <c r="AP11074" s="9">
        <v>3.3268766362833397</v>
      </c>
    </row>
    <row r="11075" spans="40:42" x14ac:dyDescent="0.3">
      <c r="AN11075">
        <v>11071</v>
      </c>
      <c r="AO11075" s="11">
        <v>22716.81</v>
      </c>
      <c r="AP11075" s="9">
        <v>3.5033937108237558</v>
      </c>
    </row>
    <row r="11076" spans="40:42" x14ac:dyDescent="0.3">
      <c r="AN11076">
        <v>11072</v>
      </c>
      <c r="AO11076" s="11">
        <v>24501.040000000001</v>
      </c>
      <c r="AP11076" s="9">
        <v>3.2529944416249665</v>
      </c>
    </row>
    <row r="11077" spans="40:42" x14ac:dyDescent="0.3">
      <c r="AN11077">
        <v>11073</v>
      </c>
      <c r="AO11077" s="11">
        <v>22164.1</v>
      </c>
      <c r="AP11077" s="9">
        <v>3.4379580335490272</v>
      </c>
    </row>
    <row r="11078" spans="40:42" x14ac:dyDescent="0.3">
      <c r="AN11078">
        <v>11074</v>
      </c>
      <c r="AO11078" s="11">
        <v>24369.48</v>
      </c>
      <c r="AP11078" s="9">
        <v>3.2803590120064716</v>
      </c>
    </row>
    <row r="11079" spans="40:42" x14ac:dyDescent="0.3">
      <c r="AN11079">
        <v>11075</v>
      </c>
      <c r="AO11079" s="11">
        <v>30182.83</v>
      </c>
      <c r="AP11079" s="9">
        <v>3.651546147407803</v>
      </c>
    </row>
    <row r="11080" spans="40:42" x14ac:dyDescent="0.3">
      <c r="AN11080">
        <v>11076</v>
      </c>
      <c r="AO11080" s="11">
        <v>33808.82</v>
      </c>
      <c r="AP11080" s="9">
        <v>3.3169371654169408</v>
      </c>
    </row>
    <row r="11081" spans="40:42" x14ac:dyDescent="0.3">
      <c r="AN11081">
        <v>11077</v>
      </c>
      <c r="AO11081" s="11">
        <v>37124.47</v>
      </c>
      <c r="AP11081" s="9">
        <v>3.6900091305265112</v>
      </c>
    </row>
    <row r="11082" spans="40:42" x14ac:dyDescent="0.3">
      <c r="AN11082">
        <v>11078</v>
      </c>
      <c r="AO11082" s="11">
        <v>26254.98</v>
      </c>
      <c r="AP11082" s="9">
        <v>3.5572504021171136</v>
      </c>
    </row>
    <row r="11083" spans="40:42" x14ac:dyDescent="0.3">
      <c r="AN11083">
        <v>11079</v>
      </c>
      <c r="AO11083" s="11">
        <v>32311.34</v>
      </c>
      <c r="AP11083" s="9">
        <v>3.9952959107491992</v>
      </c>
    </row>
    <row r="11084" spans="40:42" x14ac:dyDescent="0.3">
      <c r="AN11084">
        <v>11080</v>
      </c>
      <c r="AO11084" s="11">
        <v>25647.919999999998</v>
      </c>
      <c r="AP11084" s="9">
        <v>3.3293849354483633</v>
      </c>
    </row>
    <row r="11085" spans="40:42" x14ac:dyDescent="0.3">
      <c r="AN11085">
        <v>11081</v>
      </c>
      <c r="AO11085" s="11">
        <v>24682.85</v>
      </c>
      <c r="AP11085" s="9">
        <v>3.2099686808038737</v>
      </c>
    </row>
    <row r="11086" spans="40:42" x14ac:dyDescent="0.3">
      <c r="AN11086">
        <v>11082</v>
      </c>
      <c r="AO11086" s="11">
        <v>25005.67</v>
      </c>
      <c r="AP11086" s="9">
        <v>3.1495559754429578</v>
      </c>
    </row>
    <row r="11087" spans="40:42" x14ac:dyDescent="0.3">
      <c r="AN11087">
        <v>11083</v>
      </c>
      <c r="AO11087" s="11">
        <v>21276.54</v>
      </c>
      <c r="AP11087" s="9">
        <v>3.0896072524228533</v>
      </c>
    </row>
    <row r="11088" spans="40:42" x14ac:dyDescent="0.3">
      <c r="AN11088">
        <v>11084</v>
      </c>
      <c r="AO11088" s="11">
        <v>25396.73</v>
      </c>
      <c r="AP11088" s="9">
        <v>3.298935463055833</v>
      </c>
    </row>
    <row r="11089" spans="40:42" x14ac:dyDescent="0.3">
      <c r="AN11089">
        <v>11085</v>
      </c>
      <c r="AO11089" s="11">
        <v>30491.63</v>
      </c>
      <c r="AP11089" s="9">
        <v>3.6024282047284633</v>
      </c>
    </row>
    <row r="11090" spans="40:42" x14ac:dyDescent="0.3">
      <c r="AN11090">
        <v>11086</v>
      </c>
      <c r="AO11090" s="11">
        <v>22983.77</v>
      </c>
      <c r="AP11090" s="9">
        <v>3.0023105523863647</v>
      </c>
    </row>
    <row r="11091" spans="40:42" x14ac:dyDescent="0.3">
      <c r="AN11091">
        <v>11087</v>
      </c>
      <c r="AO11091" s="11">
        <v>20479.82</v>
      </c>
      <c r="AP11091" s="9">
        <v>3.3107903704230406</v>
      </c>
    </row>
    <row r="11092" spans="40:42" x14ac:dyDescent="0.3">
      <c r="AN11092">
        <v>11088</v>
      </c>
      <c r="AO11092" s="11">
        <v>24438.560000000001</v>
      </c>
      <c r="AP11092" s="9">
        <v>3.6828829386556854</v>
      </c>
    </row>
    <row r="11093" spans="40:42" x14ac:dyDescent="0.3">
      <c r="AN11093">
        <v>11089</v>
      </c>
      <c r="AO11093" s="11">
        <v>27307.63</v>
      </c>
      <c r="AP11093" s="9">
        <v>3.0876357365938896</v>
      </c>
    </row>
    <row r="11094" spans="40:42" x14ac:dyDescent="0.3">
      <c r="AN11094">
        <v>11090</v>
      </c>
      <c r="AO11094" s="11">
        <v>18223.689999999999</v>
      </c>
      <c r="AP11094" s="9">
        <v>2.8148890511572593</v>
      </c>
    </row>
    <row r="11095" spans="40:42" x14ac:dyDescent="0.3">
      <c r="AN11095">
        <v>11091</v>
      </c>
      <c r="AO11095" s="11">
        <v>17518.96</v>
      </c>
      <c r="AP11095" s="9">
        <v>3.1361142945458362</v>
      </c>
    </row>
    <row r="11096" spans="40:42" x14ac:dyDescent="0.3">
      <c r="AN11096">
        <v>11092</v>
      </c>
      <c r="AO11096" s="11">
        <v>27196.2</v>
      </c>
      <c r="AP11096" s="9">
        <v>3.4078330004134689</v>
      </c>
    </row>
    <row r="11097" spans="40:42" x14ac:dyDescent="0.3">
      <c r="AN11097">
        <v>11093</v>
      </c>
      <c r="AO11097" s="11">
        <v>23343.3</v>
      </c>
      <c r="AP11097" s="9">
        <v>3.3106180472977211</v>
      </c>
    </row>
    <row r="11098" spans="40:42" x14ac:dyDescent="0.3">
      <c r="AN11098">
        <v>11094</v>
      </c>
      <c r="AO11098" s="11">
        <v>25403.63</v>
      </c>
      <c r="AP11098" s="9">
        <v>3.0535914793573831</v>
      </c>
    </row>
    <row r="11099" spans="40:42" x14ac:dyDescent="0.3">
      <c r="AN11099">
        <v>11095</v>
      </c>
      <c r="AO11099" s="11">
        <v>26849.02</v>
      </c>
      <c r="AP11099" s="9">
        <v>4.0108376139203896</v>
      </c>
    </row>
    <row r="11100" spans="40:42" x14ac:dyDescent="0.3">
      <c r="AN11100">
        <v>11096</v>
      </c>
      <c r="AO11100" s="11">
        <v>27916.45</v>
      </c>
      <c r="AP11100" s="9">
        <v>3.6735064663642856</v>
      </c>
    </row>
    <row r="11101" spans="40:42" x14ac:dyDescent="0.3">
      <c r="AN11101">
        <v>11097</v>
      </c>
      <c r="AO11101" s="11">
        <v>26099.65</v>
      </c>
      <c r="AP11101" s="9">
        <v>3.7337944189424421</v>
      </c>
    </row>
    <row r="11102" spans="40:42" x14ac:dyDescent="0.3">
      <c r="AN11102">
        <v>11098</v>
      </c>
      <c r="AO11102" s="11">
        <v>30736.43</v>
      </c>
      <c r="AP11102" s="9">
        <v>3.0504851949931484</v>
      </c>
    </row>
    <row r="11103" spans="40:42" x14ac:dyDescent="0.3">
      <c r="AN11103">
        <v>11099</v>
      </c>
      <c r="AO11103" s="11">
        <v>26636.59</v>
      </c>
      <c r="AP11103" s="9">
        <v>2.8158464199820226</v>
      </c>
    </row>
    <row r="11104" spans="40:42" x14ac:dyDescent="0.3">
      <c r="AN11104">
        <v>11100</v>
      </c>
      <c r="AO11104" s="11">
        <v>34274.07</v>
      </c>
      <c r="AP11104" s="9">
        <v>3.3910044441349694</v>
      </c>
    </row>
    <row r="11105" spans="40:42" x14ac:dyDescent="0.3">
      <c r="AN11105">
        <v>11101</v>
      </c>
      <c r="AO11105" s="11">
        <v>27910.75</v>
      </c>
      <c r="AP11105" s="9">
        <v>4.0341109830838464</v>
      </c>
    </row>
    <row r="11106" spans="40:42" x14ac:dyDescent="0.3">
      <c r="AN11106">
        <v>11102</v>
      </c>
      <c r="AO11106" s="11">
        <v>18548.5</v>
      </c>
      <c r="AP11106" s="9">
        <v>3.0089577149070923</v>
      </c>
    </row>
    <row r="11107" spans="40:42" x14ac:dyDescent="0.3">
      <c r="AN11107">
        <v>11103</v>
      </c>
      <c r="AO11107" s="11">
        <v>29081.51</v>
      </c>
      <c r="AP11107" s="9">
        <v>3.4906123591353304</v>
      </c>
    </row>
    <row r="11108" spans="40:42" x14ac:dyDescent="0.3">
      <c r="AN11108">
        <v>11104</v>
      </c>
      <c r="AO11108" s="11">
        <v>14734.57</v>
      </c>
      <c r="AP11108" s="9">
        <v>3.4423403965924351</v>
      </c>
    </row>
    <row r="11109" spans="40:42" x14ac:dyDescent="0.3">
      <c r="AN11109">
        <v>11105</v>
      </c>
      <c r="AO11109" s="11">
        <v>36450.639999999999</v>
      </c>
      <c r="AP11109" s="9">
        <v>3.3726565519703069</v>
      </c>
    </row>
    <row r="11110" spans="40:42" x14ac:dyDescent="0.3">
      <c r="AN11110">
        <v>11106</v>
      </c>
      <c r="AO11110" s="11">
        <v>17952.96</v>
      </c>
      <c r="AP11110" s="9">
        <v>3.0025665698210959</v>
      </c>
    </row>
    <row r="11111" spans="40:42" x14ac:dyDescent="0.3">
      <c r="AN11111">
        <v>11107</v>
      </c>
      <c r="AO11111" s="11">
        <v>24029.24</v>
      </c>
      <c r="AP11111" s="9">
        <v>3.636542657097892</v>
      </c>
    </row>
    <row r="11112" spans="40:42" x14ac:dyDescent="0.3">
      <c r="AN11112">
        <v>11108</v>
      </c>
      <c r="AO11112" s="11">
        <v>15559.75</v>
      </c>
      <c r="AP11112" s="9">
        <v>3.5235585181215372</v>
      </c>
    </row>
    <row r="11113" spans="40:42" x14ac:dyDescent="0.3">
      <c r="AN11113">
        <v>11109</v>
      </c>
      <c r="AO11113" s="11">
        <v>19658.03</v>
      </c>
      <c r="AP11113" s="9">
        <v>3.3750873890314033</v>
      </c>
    </row>
    <row r="11114" spans="40:42" x14ac:dyDescent="0.3">
      <c r="AN11114">
        <v>11110</v>
      </c>
      <c r="AO11114" s="11">
        <v>45044.9</v>
      </c>
      <c r="AP11114" s="9">
        <v>3.2184101754508805</v>
      </c>
    </row>
    <row r="11115" spans="40:42" x14ac:dyDescent="0.3">
      <c r="AN11115">
        <v>11111</v>
      </c>
      <c r="AO11115" s="11">
        <v>20696.169999999998</v>
      </c>
      <c r="AP11115" s="9">
        <v>2.9421252924521113</v>
      </c>
    </row>
    <row r="11116" spans="40:42" x14ac:dyDescent="0.3">
      <c r="AN11116">
        <v>11112</v>
      </c>
      <c r="AO11116" s="11">
        <v>33520.75</v>
      </c>
      <c r="AP11116" s="9">
        <v>3.5396349843823529</v>
      </c>
    </row>
    <row r="11117" spans="40:42" x14ac:dyDescent="0.3">
      <c r="AN11117">
        <v>11113</v>
      </c>
      <c r="AO11117" s="11">
        <v>23313.46</v>
      </c>
      <c r="AP11117" s="9">
        <v>3.1315120200445121</v>
      </c>
    </row>
    <row r="11118" spans="40:42" x14ac:dyDescent="0.3">
      <c r="AN11118">
        <v>11114</v>
      </c>
      <c r="AO11118" s="11">
        <v>32875.39</v>
      </c>
      <c r="AP11118" s="9">
        <v>3.9308274987868677</v>
      </c>
    </row>
    <row r="11119" spans="40:42" x14ac:dyDescent="0.3">
      <c r="AN11119">
        <v>11115</v>
      </c>
      <c r="AO11119" s="11">
        <v>25413.64</v>
      </c>
      <c r="AP11119" s="9">
        <v>3.266168855826459</v>
      </c>
    </row>
    <row r="11120" spans="40:42" x14ac:dyDescent="0.3">
      <c r="AN11120">
        <v>11116</v>
      </c>
      <c r="AO11120" s="11">
        <v>20081.400000000001</v>
      </c>
      <c r="AP11120" s="9">
        <v>3.222973054387694</v>
      </c>
    </row>
    <row r="11121" spans="40:42" x14ac:dyDescent="0.3">
      <c r="AN11121">
        <v>11117</v>
      </c>
      <c r="AO11121" s="11">
        <v>31419.67</v>
      </c>
      <c r="AP11121" s="9">
        <v>3.0390009797927688</v>
      </c>
    </row>
    <row r="11122" spans="40:42" x14ac:dyDescent="0.3">
      <c r="AN11122">
        <v>11118</v>
      </c>
      <c r="AO11122" s="11">
        <v>23952.5</v>
      </c>
      <c r="AP11122" s="9">
        <v>3.3754198985761943</v>
      </c>
    </row>
    <row r="11123" spans="40:42" x14ac:dyDescent="0.3">
      <c r="AN11123">
        <v>11119</v>
      </c>
      <c r="AO11123" s="11">
        <v>34990.35</v>
      </c>
      <c r="AP11123" s="9">
        <v>3.3589512950150859</v>
      </c>
    </row>
    <row r="11124" spans="40:42" x14ac:dyDescent="0.3">
      <c r="AN11124">
        <v>11120</v>
      </c>
      <c r="AO11124" s="11">
        <v>24407.25</v>
      </c>
      <c r="AP11124" s="9">
        <v>3.0878256155364112</v>
      </c>
    </row>
    <row r="11125" spans="40:42" x14ac:dyDescent="0.3">
      <c r="AN11125">
        <v>11121</v>
      </c>
      <c r="AO11125" s="11">
        <v>45328.08</v>
      </c>
      <c r="AP11125" s="9">
        <v>3.2907732482517851</v>
      </c>
    </row>
    <row r="11126" spans="40:42" x14ac:dyDescent="0.3">
      <c r="AN11126">
        <v>11122</v>
      </c>
      <c r="AO11126" s="11">
        <v>33418.69</v>
      </c>
      <c r="AP11126" s="9">
        <v>3.1030044808156449</v>
      </c>
    </row>
    <row r="11127" spans="40:42" x14ac:dyDescent="0.3">
      <c r="AN11127">
        <v>11123</v>
      </c>
      <c r="AO11127" s="11">
        <v>18107.54</v>
      </c>
      <c r="AP11127" s="9">
        <v>2.9850414993883478</v>
      </c>
    </row>
    <row r="11128" spans="40:42" x14ac:dyDescent="0.3">
      <c r="AN11128">
        <v>11124</v>
      </c>
      <c r="AO11128" s="11">
        <v>21974.98</v>
      </c>
      <c r="AP11128" s="9">
        <v>3.5046236223885825</v>
      </c>
    </row>
    <row r="11129" spans="40:42" x14ac:dyDescent="0.3">
      <c r="AN11129">
        <v>11125</v>
      </c>
      <c r="AO11129" s="11">
        <v>19425.25</v>
      </c>
      <c r="AP11129" s="9">
        <v>3.2719673621473593</v>
      </c>
    </row>
    <row r="11130" spans="40:42" x14ac:dyDescent="0.3">
      <c r="AN11130">
        <v>11126</v>
      </c>
      <c r="AO11130" s="11">
        <v>32643.37</v>
      </c>
      <c r="AP11130" s="9">
        <v>3.5846141381335972</v>
      </c>
    </row>
    <row r="11131" spans="40:42" x14ac:dyDescent="0.3">
      <c r="AN11131">
        <v>11127</v>
      </c>
      <c r="AO11131" s="11">
        <v>27610.89</v>
      </c>
      <c r="AP11131" s="9">
        <v>3.6763688100558838</v>
      </c>
    </row>
    <row r="11132" spans="40:42" x14ac:dyDescent="0.3">
      <c r="AN11132">
        <v>11128</v>
      </c>
      <c r="AO11132" s="11">
        <v>31872.49</v>
      </c>
      <c r="AP11132" s="9">
        <v>4.4029807278074733</v>
      </c>
    </row>
    <row r="11133" spans="40:42" x14ac:dyDescent="0.3">
      <c r="AN11133">
        <v>11129</v>
      </c>
      <c r="AO11133" s="11">
        <v>18607.669999999998</v>
      </c>
      <c r="AP11133" s="9">
        <v>3.4437340528961631</v>
      </c>
    </row>
    <row r="11134" spans="40:42" x14ac:dyDescent="0.3">
      <c r="AN11134">
        <v>11130</v>
      </c>
      <c r="AO11134" s="11">
        <v>24074.35</v>
      </c>
      <c r="AP11134" s="9">
        <v>3.0482106341681434</v>
      </c>
    </row>
    <row r="11135" spans="40:42" x14ac:dyDescent="0.3">
      <c r="AN11135">
        <v>11131</v>
      </c>
      <c r="AO11135" s="11">
        <v>29132.45</v>
      </c>
      <c r="AP11135" s="9">
        <v>3.3696869860716294</v>
      </c>
    </row>
    <row r="11136" spans="40:42" x14ac:dyDescent="0.3">
      <c r="AN11136">
        <v>11132</v>
      </c>
      <c r="AO11136" s="11">
        <v>22075.31</v>
      </c>
      <c r="AP11136" s="9">
        <v>2.8401097587654616</v>
      </c>
    </row>
    <row r="11137" spans="40:42" x14ac:dyDescent="0.3">
      <c r="AN11137">
        <v>11133</v>
      </c>
      <c r="AO11137" s="11">
        <v>30722.68</v>
      </c>
      <c r="AP11137" s="9">
        <v>3.5844433634955033</v>
      </c>
    </row>
    <row r="11138" spans="40:42" x14ac:dyDescent="0.3">
      <c r="AN11138">
        <v>11134</v>
      </c>
      <c r="AO11138" s="11">
        <v>39193.550000000003</v>
      </c>
      <c r="AP11138" s="9">
        <v>3.7732874848162541</v>
      </c>
    </row>
    <row r="11139" spans="40:42" x14ac:dyDescent="0.3">
      <c r="AN11139">
        <v>11135</v>
      </c>
      <c r="AO11139" s="11">
        <v>21990.26</v>
      </c>
      <c r="AP11139" s="9">
        <v>3.8408817765308902</v>
      </c>
    </row>
    <row r="11140" spans="40:42" x14ac:dyDescent="0.3">
      <c r="AN11140">
        <v>11136</v>
      </c>
      <c r="AO11140" s="11">
        <v>25013.23</v>
      </c>
      <c r="AP11140" s="9">
        <v>3.7361341705711553</v>
      </c>
    </row>
    <row r="11141" spans="40:42" x14ac:dyDescent="0.3">
      <c r="AN11141">
        <v>11137</v>
      </c>
      <c r="AO11141" s="11">
        <v>21347.59</v>
      </c>
      <c r="AP11141" s="9">
        <v>2.9830350752755708</v>
      </c>
    </row>
    <row r="11142" spans="40:42" x14ac:dyDescent="0.3">
      <c r="AN11142">
        <v>11138</v>
      </c>
      <c r="AO11142" s="11">
        <v>18737.47</v>
      </c>
      <c r="AP11142" s="9">
        <v>3.1276822641352977</v>
      </c>
    </row>
    <row r="11143" spans="40:42" x14ac:dyDescent="0.3">
      <c r="AN11143">
        <v>11139</v>
      </c>
      <c r="AO11143" s="11">
        <v>28767.71</v>
      </c>
      <c r="AP11143" s="9">
        <v>2.8814938747709009</v>
      </c>
    </row>
    <row r="11144" spans="40:42" x14ac:dyDescent="0.3">
      <c r="AN11144">
        <v>11140</v>
      </c>
      <c r="AO11144" s="11">
        <v>17298.32</v>
      </c>
      <c r="AP11144" s="9">
        <v>3.0007604597329376</v>
      </c>
    </row>
    <row r="11145" spans="40:42" x14ac:dyDescent="0.3">
      <c r="AN11145">
        <v>11141</v>
      </c>
      <c r="AO11145" s="11">
        <v>22311.279999999999</v>
      </c>
      <c r="AP11145" s="9">
        <v>3.1158918372324425</v>
      </c>
    </row>
    <row r="11146" spans="40:42" x14ac:dyDescent="0.3">
      <c r="AN11146">
        <v>11142</v>
      </c>
      <c r="AO11146" s="11">
        <v>18573.12</v>
      </c>
      <c r="AP11146" s="9">
        <v>3.7763359887531638</v>
      </c>
    </row>
    <row r="11147" spans="40:42" x14ac:dyDescent="0.3">
      <c r="AN11147">
        <v>11143</v>
      </c>
      <c r="AO11147" s="11">
        <v>22812.22</v>
      </c>
      <c r="AP11147" s="9">
        <v>3.0653336038996168</v>
      </c>
    </row>
    <row r="11148" spans="40:42" x14ac:dyDescent="0.3">
      <c r="AN11148">
        <v>11144</v>
      </c>
      <c r="AO11148" s="11">
        <v>27194.9</v>
      </c>
      <c r="AP11148" s="9">
        <v>4.2093242586627948</v>
      </c>
    </row>
    <row r="11149" spans="40:42" x14ac:dyDescent="0.3">
      <c r="AN11149">
        <v>11145</v>
      </c>
      <c r="AO11149" s="11">
        <v>37892.57</v>
      </c>
      <c r="AP11149" s="9">
        <v>4.2235228315231588</v>
      </c>
    </row>
    <row r="11150" spans="40:42" x14ac:dyDescent="0.3">
      <c r="AN11150">
        <v>11146</v>
      </c>
      <c r="AO11150" s="11">
        <v>31112.84</v>
      </c>
      <c r="AP11150" s="9">
        <v>3.3550396916791745</v>
      </c>
    </row>
    <row r="11151" spans="40:42" x14ac:dyDescent="0.3">
      <c r="AN11151">
        <v>11147</v>
      </c>
      <c r="AO11151" s="11">
        <v>40859.01</v>
      </c>
      <c r="AP11151" s="9">
        <v>3.9830937844006575</v>
      </c>
    </row>
    <row r="11152" spans="40:42" x14ac:dyDescent="0.3">
      <c r="AN11152">
        <v>11148</v>
      </c>
      <c r="AO11152" s="11">
        <v>20227.810000000001</v>
      </c>
      <c r="AP11152" s="9">
        <v>2.5131623867199124</v>
      </c>
    </row>
    <row r="11153" spans="40:42" x14ac:dyDescent="0.3">
      <c r="AN11153">
        <v>11149</v>
      </c>
      <c r="AO11153" s="11">
        <v>17547.22</v>
      </c>
      <c r="AP11153" s="9">
        <v>3.7984164801316584</v>
      </c>
    </row>
    <row r="11154" spans="40:42" x14ac:dyDescent="0.3">
      <c r="AN11154">
        <v>11150</v>
      </c>
      <c r="AO11154" s="11">
        <v>42666.45</v>
      </c>
      <c r="AP11154" s="9">
        <v>3.4673537656731308</v>
      </c>
    </row>
    <row r="11155" spans="40:42" x14ac:dyDescent="0.3">
      <c r="AN11155">
        <v>11151</v>
      </c>
      <c r="AO11155" s="11">
        <v>25528.04</v>
      </c>
      <c r="AP11155" s="9">
        <v>3.2958894462014658</v>
      </c>
    </row>
    <row r="11156" spans="40:42" x14ac:dyDescent="0.3">
      <c r="AN11156">
        <v>11152</v>
      </c>
      <c r="AO11156" s="11">
        <v>20196.080000000002</v>
      </c>
      <c r="AP11156" s="9">
        <v>3.656188164986077</v>
      </c>
    </row>
    <row r="11157" spans="40:42" x14ac:dyDescent="0.3">
      <c r="AN11157">
        <v>11153</v>
      </c>
      <c r="AO11157" s="11">
        <v>25710.38</v>
      </c>
      <c r="AP11157" s="9">
        <v>3.3743910401845851</v>
      </c>
    </row>
    <row r="11158" spans="40:42" x14ac:dyDescent="0.3">
      <c r="AN11158">
        <v>11154</v>
      </c>
      <c r="AO11158" s="11">
        <v>22377</v>
      </c>
      <c r="AP11158" s="9">
        <v>3.2263931536198149</v>
      </c>
    </row>
    <row r="11159" spans="40:42" x14ac:dyDescent="0.3">
      <c r="AN11159">
        <v>11155</v>
      </c>
      <c r="AO11159" s="11">
        <v>31878.080000000002</v>
      </c>
      <c r="AP11159" s="9">
        <v>3.5506851307615803</v>
      </c>
    </row>
    <row r="11160" spans="40:42" x14ac:dyDescent="0.3">
      <c r="AN11160">
        <v>11156</v>
      </c>
      <c r="AO11160" s="11">
        <v>33572.639999999999</v>
      </c>
      <c r="AP11160" s="9">
        <v>3.1755450699026753</v>
      </c>
    </row>
    <row r="11161" spans="40:42" x14ac:dyDescent="0.3">
      <c r="AN11161">
        <v>11157</v>
      </c>
      <c r="AO11161" s="11">
        <v>24435.33</v>
      </c>
      <c r="AP11161" s="9">
        <v>3.221135385976178</v>
      </c>
    </row>
    <row r="11162" spans="40:42" x14ac:dyDescent="0.3">
      <c r="AN11162">
        <v>11158</v>
      </c>
      <c r="AO11162" s="11">
        <v>25146.05</v>
      </c>
      <c r="AP11162" s="9">
        <v>3.4978852318828095</v>
      </c>
    </row>
    <row r="11163" spans="40:42" x14ac:dyDescent="0.3">
      <c r="AN11163">
        <v>11159</v>
      </c>
      <c r="AO11163" s="11">
        <v>30823.03</v>
      </c>
      <c r="AP11163" s="9">
        <v>3.625624182801841</v>
      </c>
    </row>
    <row r="11164" spans="40:42" x14ac:dyDescent="0.3">
      <c r="AN11164">
        <v>11160</v>
      </c>
      <c r="AO11164" s="11">
        <v>21664.6</v>
      </c>
      <c r="AP11164" s="9">
        <v>3.3966076915832355</v>
      </c>
    </row>
    <row r="11165" spans="40:42" x14ac:dyDescent="0.3">
      <c r="AN11165">
        <v>11161</v>
      </c>
      <c r="AO11165" s="11">
        <v>32715.11</v>
      </c>
      <c r="AP11165" s="9">
        <v>3.6867180254160807</v>
      </c>
    </row>
    <row r="11166" spans="40:42" x14ac:dyDescent="0.3">
      <c r="AN11166">
        <v>11162</v>
      </c>
      <c r="AO11166" s="11">
        <v>26565.08</v>
      </c>
      <c r="AP11166" s="9">
        <v>4.5236351519765963</v>
      </c>
    </row>
    <row r="11167" spans="40:42" x14ac:dyDescent="0.3">
      <c r="AN11167">
        <v>11163</v>
      </c>
      <c r="AO11167" s="11">
        <v>23040.68</v>
      </c>
      <c r="AP11167" s="9">
        <v>3.0977205667447683</v>
      </c>
    </row>
    <row r="11168" spans="40:42" x14ac:dyDescent="0.3">
      <c r="AN11168">
        <v>11164</v>
      </c>
      <c r="AO11168" s="11">
        <v>21112.03</v>
      </c>
      <c r="AP11168" s="9">
        <v>3.1543228513751602</v>
      </c>
    </row>
    <row r="11169" spans="40:42" x14ac:dyDescent="0.3">
      <c r="AN11169">
        <v>11165</v>
      </c>
      <c r="AO11169" s="11">
        <v>42648.99</v>
      </c>
      <c r="AP11169" s="9">
        <v>3.9483070212473232</v>
      </c>
    </row>
    <row r="11170" spans="40:42" x14ac:dyDescent="0.3">
      <c r="AN11170">
        <v>11166</v>
      </c>
      <c r="AO11170" s="11">
        <v>19743.740000000002</v>
      </c>
      <c r="AP11170" s="9">
        <v>2.8107813056506514</v>
      </c>
    </row>
    <row r="11171" spans="40:42" x14ac:dyDescent="0.3">
      <c r="AN11171">
        <v>11167</v>
      </c>
      <c r="AO11171" s="11">
        <v>29218.69</v>
      </c>
      <c r="AP11171" s="9">
        <v>3.8393027547816296</v>
      </c>
    </row>
    <row r="11172" spans="40:42" x14ac:dyDescent="0.3">
      <c r="AN11172">
        <v>11168</v>
      </c>
      <c r="AO11172" s="11">
        <v>26529.35</v>
      </c>
      <c r="AP11172" s="9">
        <v>3.7840758167315829</v>
      </c>
    </row>
    <row r="11173" spans="40:42" x14ac:dyDescent="0.3">
      <c r="AN11173">
        <v>11169</v>
      </c>
      <c r="AO11173" s="11">
        <v>30878.41</v>
      </c>
      <c r="AP11173" s="9">
        <v>3.1710346936651463</v>
      </c>
    </row>
    <row r="11174" spans="40:42" x14ac:dyDescent="0.3">
      <c r="AN11174">
        <v>11170</v>
      </c>
      <c r="AO11174" s="11">
        <v>29262.06</v>
      </c>
      <c r="AP11174" s="9">
        <v>2.9972215603951287</v>
      </c>
    </row>
    <row r="11175" spans="40:42" x14ac:dyDescent="0.3">
      <c r="AN11175">
        <v>11171</v>
      </c>
      <c r="AO11175" s="11">
        <v>31859.15</v>
      </c>
      <c r="AP11175" s="9">
        <v>3.9235994790669806</v>
      </c>
    </row>
    <row r="11176" spans="40:42" x14ac:dyDescent="0.3">
      <c r="AN11176">
        <v>11172</v>
      </c>
      <c r="AO11176" s="11">
        <v>38238.49</v>
      </c>
      <c r="AP11176" s="9">
        <v>3.8190395967498429</v>
      </c>
    </row>
    <row r="11177" spans="40:42" x14ac:dyDescent="0.3">
      <c r="AN11177">
        <v>11173</v>
      </c>
      <c r="AO11177" s="11">
        <v>15907.22</v>
      </c>
      <c r="AP11177" s="9">
        <v>2.6119970413075286</v>
      </c>
    </row>
    <row r="11178" spans="40:42" x14ac:dyDescent="0.3">
      <c r="AN11178">
        <v>11174</v>
      </c>
      <c r="AO11178" s="11">
        <v>36048.76</v>
      </c>
      <c r="AP11178" s="9">
        <v>3.4594814163479519</v>
      </c>
    </row>
    <row r="11179" spans="40:42" x14ac:dyDescent="0.3">
      <c r="AN11179">
        <v>11175</v>
      </c>
      <c r="AO11179" s="11">
        <v>33660.239999999998</v>
      </c>
      <c r="AP11179" s="9">
        <v>2.6698300763043008</v>
      </c>
    </row>
    <row r="11180" spans="40:42" x14ac:dyDescent="0.3">
      <c r="AN11180">
        <v>11176</v>
      </c>
      <c r="AO11180" s="11">
        <v>29084.23</v>
      </c>
      <c r="AP11180" s="9">
        <v>3.301083026380812</v>
      </c>
    </row>
    <row r="11181" spans="40:42" x14ac:dyDescent="0.3">
      <c r="AN11181">
        <v>11177</v>
      </c>
      <c r="AO11181" s="11">
        <v>22275.75</v>
      </c>
      <c r="AP11181" s="9">
        <v>3.2787756922075442</v>
      </c>
    </row>
    <row r="11182" spans="40:42" x14ac:dyDescent="0.3">
      <c r="AN11182">
        <v>11178</v>
      </c>
      <c r="AO11182" s="11">
        <v>25767.24</v>
      </c>
      <c r="AP11182" s="9">
        <v>4.2896336452668775</v>
      </c>
    </row>
    <row r="11183" spans="40:42" x14ac:dyDescent="0.3">
      <c r="AN11183">
        <v>11179</v>
      </c>
      <c r="AO11183" s="11">
        <v>24061.41</v>
      </c>
      <c r="AP11183" s="9">
        <v>3.8993905893912553</v>
      </c>
    </row>
    <row r="11184" spans="40:42" x14ac:dyDescent="0.3">
      <c r="AN11184">
        <v>11180</v>
      </c>
      <c r="AO11184" s="11">
        <v>32056.67</v>
      </c>
      <c r="AP11184" s="9">
        <v>3.1401490880735716</v>
      </c>
    </row>
    <row r="11185" spans="40:42" x14ac:dyDescent="0.3">
      <c r="AN11185">
        <v>11181</v>
      </c>
      <c r="AO11185" s="11">
        <v>27387.360000000001</v>
      </c>
      <c r="AP11185" s="9">
        <v>3.1788304998209571</v>
      </c>
    </row>
    <row r="11186" spans="40:42" x14ac:dyDescent="0.3">
      <c r="AN11186">
        <v>11182</v>
      </c>
      <c r="AO11186" s="11">
        <v>40725.65</v>
      </c>
      <c r="AP11186" s="9">
        <v>4.3015782520357169</v>
      </c>
    </row>
    <row r="11187" spans="40:42" x14ac:dyDescent="0.3">
      <c r="AN11187">
        <v>11183</v>
      </c>
      <c r="AO11187" s="11">
        <v>29968.79</v>
      </c>
      <c r="AP11187" s="9">
        <v>3.5992379148023295</v>
      </c>
    </row>
    <row r="11188" spans="40:42" x14ac:dyDescent="0.3">
      <c r="AN11188">
        <v>11184</v>
      </c>
      <c r="AO11188" s="11">
        <v>27785</v>
      </c>
      <c r="AP11188" s="9">
        <v>3.2383397310143067</v>
      </c>
    </row>
    <row r="11189" spans="40:42" x14ac:dyDescent="0.3">
      <c r="AN11189">
        <v>11185</v>
      </c>
      <c r="AO11189" s="11">
        <v>28916.15</v>
      </c>
      <c r="AP11189" s="9">
        <v>3.3895589741434113</v>
      </c>
    </row>
    <row r="11190" spans="40:42" x14ac:dyDescent="0.3">
      <c r="AN11190">
        <v>11186</v>
      </c>
      <c r="AO11190" s="11">
        <v>23970.6</v>
      </c>
      <c r="AP11190" s="9">
        <v>3.7455886026373544</v>
      </c>
    </row>
    <row r="11191" spans="40:42" x14ac:dyDescent="0.3">
      <c r="AN11191">
        <v>11187</v>
      </c>
      <c r="AO11191" s="11">
        <v>26391.03</v>
      </c>
      <c r="AP11191" s="9">
        <v>3.7318266567140657</v>
      </c>
    </row>
    <row r="11192" spans="40:42" x14ac:dyDescent="0.3">
      <c r="AN11192">
        <v>11188</v>
      </c>
      <c r="AO11192" s="11">
        <v>27144.54</v>
      </c>
      <c r="AP11192" s="9">
        <v>2.8790897371823667</v>
      </c>
    </row>
    <row r="11193" spans="40:42" x14ac:dyDescent="0.3">
      <c r="AN11193">
        <v>11189</v>
      </c>
      <c r="AO11193" s="11">
        <v>17905.099999999999</v>
      </c>
      <c r="AP11193" s="9">
        <v>3.4297682991884679</v>
      </c>
    </row>
    <row r="11194" spans="40:42" x14ac:dyDescent="0.3">
      <c r="AN11194">
        <v>11190</v>
      </c>
      <c r="AO11194" s="11">
        <v>20692.560000000001</v>
      </c>
      <c r="AP11194" s="9">
        <v>3.3110105386662374</v>
      </c>
    </row>
    <row r="11195" spans="40:42" x14ac:dyDescent="0.3">
      <c r="AN11195">
        <v>11191</v>
      </c>
      <c r="AO11195" s="11">
        <v>22198.82</v>
      </c>
      <c r="AP11195" s="9">
        <v>3.4003739712748122</v>
      </c>
    </row>
    <row r="11196" spans="40:42" x14ac:dyDescent="0.3">
      <c r="AN11196">
        <v>11192</v>
      </c>
      <c r="AO11196" s="11">
        <v>28617.72</v>
      </c>
      <c r="AP11196" s="9">
        <v>3.7785571881111095</v>
      </c>
    </row>
    <row r="11197" spans="40:42" x14ac:dyDescent="0.3">
      <c r="AN11197">
        <v>11193</v>
      </c>
      <c r="AO11197" s="11">
        <v>15880.5</v>
      </c>
      <c r="AP11197" s="9">
        <v>3.2329949402158968</v>
      </c>
    </row>
    <row r="11198" spans="40:42" x14ac:dyDescent="0.3">
      <c r="AN11198">
        <v>11194</v>
      </c>
      <c r="AO11198" s="11">
        <v>25967.94</v>
      </c>
      <c r="AP11198" s="9">
        <v>2.7756593592344432</v>
      </c>
    </row>
    <row r="11199" spans="40:42" x14ac:dyDescent="0.3">
      <c r="AN11199">
        <v>11195</v>
      </c>
      <c r="AO11199" s="11">
        <v>37644.11</v>
      </c>
      <c r="AP11199" s="9">
        <v>3.4522039571445271</v>
      </c>
    </row>
    <row r="11200" spans="40:42" x14ac:dyDescent="0.3">
      <c r="AN11200">
        <v>11196</v>
      </c>
      <c r="AO11200" s="11">
        <v>30227.32</v>
      </c>
      <c r="AP11200" s="9">
        <v>3.4492560365400911</v>
      </c>
    </row>
    <row r="11201" spans="40:42" x14ac:dyDescent="0.3">
      <c r="AN11201">
        <v>11197</v>
      </c>
      <c r="AO11201" s="11">
        <v>25247.93</v>
      </c>
      <c r="AP11201" s="9">
        <v>3.2029436916783998</v>
      </c>
    </row>
    <row r="11202" spans="40:42" x14ac:dyDescent="0.3">
      <c r="AN11202">
        <v>11198</v>
      </c>
      <c r="AO11202" s="11">
        <v>16475.27</v>
      </c>
      <c r="AP11202" s="9">
        <v>3.2248845295816118</v>
      </c>
    </row>
    <row r="11203" spans="40:42" x14ac:dyDescent="0.3">
      <c r="AN11203">
        <v>11199</v>
      </c>
      <c r="AO11203" s="11">
        <v>17365.11</v>
      </c>
      <c r="AP11203" s="9">
        <v>3.7102775923886679</v>
      </c>
    </row>
    <row r="11204" spans="40:42" x14ac:dyDescent="0.3">
      <c r="AN11204">
        <v>11200</v>
      </c>
      <c r="AO11204" s="11">
        <v>20415.689999999999</v>
      </c>
      <c r="AP11204" s="9">
        <v>2.8067874444815804</v>
      </c>
    </row>
    <row r="11205" spans="40:42" x14ac:dyDescent="0.3">
      <c r="AN11205">
        <v>11201</v>
      </c>
      <c r="AO11205" s="11">
        <v>17824.71</v>
      </c>
      <c r="AP11205" s="9">
        <v>2.5833951204839498</v>
      </c>
    </row>
    <row r="11206" spans="40:42" x14ac:dyDescent="0.3">
      <c r="AN11206">
        <v>11202</v>
      </c>
      <c r="AO11206" s="11">
        <v>31269.19</v>
      </c>
      <c r="AP11206" s="9">
        <v>3.9689175801795722</v>
      </c>
    </row>
    <row r="11207" spans="40:42" x14ac:dyDescent="0.3">
      <c r="AN11207">
        <v>11203</v>
      </c>
      <c r="AO11207" s="11">
        <v>35760.400000000001</v>
      </c>
      <c r="AP11207" s="9">
        <v>2.9057246935173735</v>
      </c>
    </row>
    <row r="11208" spans="40:42" x14ac:dyDescent="0.3">
      <c r="AN11208">
        <v>11204</v>
      </c>
      <c r="AO11208" s="11">
        <v>40781.019999999997</v>
      </c>
      <c r="AP11208" s="9">
        <v>3.8347213840875143</v>
      </c>
    </row>
    <row r="11209" spans="40:42" x14ac:dyDescent="0.3">
      <c r="AN11209">
        <v>11205</v>
      </c>
      <c r="AO11209" s="11">
        <v>24766.86</v>
      </c>
      <c r="AP11209" s="9">
        <v>2.7930360966152179</v>
      </c>
    </row>
    <row r="11210" spans="40:42" x14ac:dyDescent="0.3">
      <c r="AN11210">
        <v>11206</v>
      </c>
      <c r="AO11210" s="11">
        <v>14745.04</v>
      </c>
      <c r="AP11210" s="9">
        <v>2.8564371360218552</v>
      </c>
    </row>
    <row r="11211" spans="40:42" x14ac:dyDescent="0.3">
      <c r="AN11211">
        <v>11207</v>
      </c>
      <c r="AO11211" s="11">
        <v>18917.43</v>
      </c>
      <c r="AP11211" s="9">
        <v>3.1610263506430947</v>
      </c>
    </row>
    <row r="11212" spans="40:42" x14ac:dyDescent="0.3">
      <c r="AN11212">
        <v>11208</v>
      </c>
      <c r="AO11212" s="11">
        <v>22141.61</v>
      </c>
      <c r="AP11212" s="9">
        <v>3.3188361319510937</v>
      </c>
    </row>
    <row r="11213" spans="40:42" x14ac:dyDescent="0.3">
      <c r="AN11213">
        <v>11209</v>
      </c>
      <c r="AO11213" s="11">
        <v>28300.06</v>
      </c>
      <c r="AP11213" s="9">
        <v>3.3189264341240552</v>
      </c>
    </row>
    <row r="11214" spans="40:42" x14ac:dyDescent="0.3">
      <c r="AN11214">
        <v>11210</v>
      </c>
      <c r="AO11214" s="11">
        <v>23364.959999999999</v>
      </c>
      <c r="AP11214" s="9">
        <v>2.940437659865299</v>
      </c>
    </row>
    <row r="11215" spans="40:42" x14ac:dyDescent="0.3">
      <c r="AN11215">
        <v>11211</v>
      </c>
      <c r="AO11215" s="11">
        <v>26301.61</v>
      </c>
      <c r="AP11215" s="9">
        <v>4.0077393396634458</v>
      </c>
    </row>
    <row r="11216" spans="40:42" x14ac:dyDescent="0.3">
      <c r="AN11216">
        <v>11212</v>
      </c>
      <c r="AO11216" s="11">
        <v>26314.15</v>
      </c>
      <c r="AP11216" s="9">
        <v>3.6657253844840278</v>
      </c>
    </row>
    <row r="11217" spans="40:42" x14ac:dyDescent="0.3">
      <c r="AN11217">
        <v>11213</v>
      </c>
      <c r="AO11217" s="11">
        <v>30845.31</v>
      </c>
      <c r="AP11217" s="9">
        <v>3.407162245000011</v>
      </c>
    </row>
    <row r="11218" spans="40:42" x14ac:dyDescent="0.3">
      <c r="AN11218">
        <v>11214</v>
      </c>
      <c r="AO11218" s="11">
        <v>20476.66</v>
      </c>
      <c r="AP11218" s="9">
        <v>3.1606616483654526</v>
      </c>
    </row>
    <row r="11219" spans="40:42" x14ac:dyDescent="0.3">
      <c r="AN11219">
        <v>11215</v>
      </c>
      <c r="AO11219" s="11">
        <v>39303.64</v>
      </c>
      <c r="AP11219" s="9">
        <v>3.7966389570719055</v>
      </c>
    </row>
    <row r="11220" spans="40:42" x14ac:dyDescent="0.3">
      <c r="AN11220">
        <v>11216</v>
      </c>
      <c r="AO11220" s="11">
        <v>19596.490000000002</v>
      </c>
      <c r="AP11220" s="9">
        <v>3.0913453956509542</v>
      </c>
    </row>
    <row r="11221" spans="40:42" x14ac:dyDescent="0.3">
      <c r="AN11221">
        <v>11217</v>
      </c>
      <c r="AO11221" s="11">
        <v>35724.33</v>
      </c>
      <c r="AP11221" s="9">
        <v>3.0295759358831549</v>
      </c>
    </row>
    <row r="11222" spans="40:42" x14ac:dyDescent="0.3">
      <c r="AN11222">
        <v>11218</v>
      </c>
      <c r="AO11222" s="11">
        <v>30870.080000000002</v>
      </c>
      <c r="AP11222" s="9">
        <v>3.6956638583364865</v>
      </c>
    </row>
    <row r="11223" spans="40:42" x14ac:dyDescent="0.3">
      <c r="AN11223">
        <v>11219</v>
      </c>
      <c r="AO11223" s="11">
        <v>30677.4</v>
      </c>
      <c r="AP11223" s="9">
        <v>4.427067752918652</v>
      </c>
    </row>
    <row r="11224" spans="40:42" x14ac:dyDescent="0.3">
      <c r="AN11224">
        <v>11220</v>
      </c>
      <c r="AO11224" s="11">
        <v>12776.96</v>
      </c>
      <c r="AP11224" s="9">
        <v>2.9938632517516708</v>
      </c>
    </row>
    <row r="11225" spans="40:42" x14ac:dyDescent="0.3">
      <c r="AN11225">
        <v>11221</v>
      </c>
      <c r="AO11225" s="11">
        <v>33505.61</v>
      </c>
      <c r="AP11225" s="9">
        <v>3.484170803052582</v>
      </c>
    </row>
    <row r="11226" spans="40:42" x14ac:dyDescent="0.3">
      <c r="AN11226">
        <v>11222</v>
      </c>
      <c r="AO11226" s="11">
        <v>46282.22</v>
      </c>
      <c r="AP11226" s="9">
        <v>3.7288563330947873</v>
      </c>
    </row>
    <row r="11227" spans="40:42" x14ac:dyDescent="0.3">
      <c r="AN11227">
        <v>11223</v>
      </c>
      <c r="AO11227" s="11">
        <v>25365.95</v>
      </c>
      <c r="AP11227" s="9">
        <v>2.8213141524733953</v>
      </c>
    </row>
    <row r="11228" spans="40:42" x14ac:dyDescent="0.3">
      <c r="AN11228">
        <v>11224</v>
      </c>
      <c r="AO11228" s="11">
        <v>19202.990000000002</v>
      </c>
      <c r="AP11228" s="9">
        <v>3.3821345391263842</v>
      </c>
    </row>
    <row r="11229" spans="40:42" x14ac:dyDescent="0.3">
      <c r="AN11229">
        <v>11225</v>
      </c>
      <c r="AO11229" s="11">
        <v>33292.74</v>
      </c>
      <c r="AP11229" s="9">
        <v>3.8294798631732858</v>
      </c>
    </row>
    <row r="11230" spans="40:42" x14ac:dyDescent="0.3">
      <c r="AN11230">
        <v>11226</v>
      </c>
      <c r="AO11230" s="11">
        <v>19250.240000000002</v>
      </c>
      <c r="AP11230" s="9">
        <v>3.9865703026914843</v>
      </c>
    </row>
    <row r="11231" spans="40:42" x14ac:dyDescent="0.3">
      <c r="AN11231">
        <v>11227</v>
      </c>
      <c r="AO11231" s="11">
        <v>14175.97</v>
      </c>
      <c r="AP11231" s="9">
        <v>2.7684561258222846</v>
      </c>
    </row>
    <row r="11232" spans="40:42" x14ac:dyDescent="0.3">
      <c r="AN11232">
        <v>11228</v>
      </c>
      <c r="AO11232" s="11">
        <v>37704.17</v>
      </c>
      <c r="AP11232" s="9">
        <v>3.9795051326084381</v>
      </c>
    </row>
    <row r="11233" spans="40:42" x14ac:dyDescent="0.3">
      <c r="AN11233">
        <v>11229</v>
      </c>
      <c r="AO11233" s="11">
        <v>31979.79</v>
      </c>
      <c r="AP11233" s="9">
        <v>3.4182660998048173</v>
      </c>
    </row>
    <row r="11234" spans="40:42" x14ac:dyDescent="0.3">
      <c r="AN11234">
        <v>11230</v>
      </c>
      <c r="AO11234" s="11">
        <v>24073.94</v>
      </c>
      <c r="AP11234" s="9">
        <v>2.6354771030320188</v>
      </c>
    </row>
    <row r="11235" spans="40:42" x14ac:dyDescent="0.3">
      <c r="AN11235">
        <v>11231</v>
      </c>
      <c r="AO11235" s="11">
        <v>22195.73</v>
      </c>
      <c r="AP11235" s="9">
        <v>2.918346030717589</v>
      </c>
    </row>
    <row r="11236" spans="40:42" x14ac:dyDescent="0.3">
      <c r="AN11236">
        <v>11232</v>
      </c>
      <c r="AO11236" s="11">
        <v>21722.21</v>
      </c>
      <c r="AP11236" s="9">
        <v>3.4744100464293091</v>
      </c>
    </row>
    <row r="11237" spans="40:42" x14ac:dyDescent="0.3">
      <c r="AN11237">
        <v>11233</v>
      </c>
      <c r="AO11237" s="11">
        <v>39280.720000000001</v>
      </c>
      <c r="AP11237" s="9">
        <v>4.6181887423565664</v>
      </c>
    </row>
    <row r="11238" spans="40:42" x14ac:dyDescent="0.3">
      <c r="AN11238">
        <v>11234</v>
      </c>
      <c r="AO11238" s="11">
        <v>21404.68</v>
      </c>
      <c r="AP11238" s="9">
        <v>3.1903060105636345</v>
      </c>
    </row>
    <row r="11239" spans="40:42" x14ac:dyDescent="0.3">
      <c r="AN11239">
        <v>11235</v>
      </c>
      <c r="AO11239" s="11">
        <v>24231.81</v>
      </c>
      <c r="AP11239" s="9">
        <v>3.1829227287882218</v>
      </c>
    </row>
    <row r="11240" spans="40:42" x14ac:dyDescent="0.3">
      <c r="AN11240">
        <v>11236</v>
      </c>
      <c r="AO11240" s="11">
        <v>13118.21</v>
      </c>
      <c r="AP11240" s="9">
        <v>3.3858144579846545</v>
      </c>
    </row>
    <row r="11241" spans="40:42" x14ac:dyDescent="0.3">
      <c r="AN11241">
        <v>11237</v>
      </c>
      <c r="AO11241" s="11">
        <v>17738.21</v>
      </c>
      <c r="AP11241" s="9">
        <v>3.6527776008375259</v>
      </c>
    </row>
    <row r="11242" spans="40:42" x14ac:dyDescent="0.3">
      <c r="AN11242">
        <v>11238</v>
      </c>
      <c r="AO11242" s="11">
        <v>31647.14</v>
      </c>
      <c r="AP11242" s="9">
        <v>3.5112882656756379</v>
      </c>
    </row>
    <row r="11243" spans="40:42" x14ac:dyDescent="0.3">
      <c r="AN11243">
        <v>11239</v>
      </c>
      <c r="AO11243" s="11">
        <v>39036.35</v>
      </c>
      <c r="AP11243" s="9">
        <v>3.4347401872604104</v>
      </c>
    </row>
    <row r="11244" spans="40:42" x14ac:dyDescent="0.3">
      <c r="AN11244">
        <v>11240</v>
      </c>
      <c r="AO11244" s="11">
        <v>22305.52</v>
      </c>
      <c r="AP11244" s="9">
        <v>3.1057360498672546</v>
      </c>
    </row>
    <row r="11245" spans="40:42" x14ac:dyDescent="0.3">
      <c r="AN11245">
        <v>11241</v>
      </c>
      <c r="AO11245" s="11">
        <v>33279.599999999999</v>
      </c>
      <c r="AP11245" s="9">
        <v>2.9108576055299227</v>
      </c>
    </row>
    <row r="11246" spans="40:42" x14ac:dyDescent="0.3">
      <c r="AN11246">
        <v>11242</v>
      </c>
      <c r="AO11246" s="11">
        <v>15667.09</v>
      </c>
      <c r="AP11246" s="9">
        <v>2.6881013631582773</v>
      </c>
    </row>
    <row r="11247" spans="40:42" x14ac:dyDescent="0.3">
      <c r="AN11247">
        <v>11243</v>
      </c>
      <c r="AO11247" s="11">
        <v>21603.53</v>
      </c>
      <c r="AP11247" s="9">
        <v>3.4398756636777077</v>
      </c>
    </row>
    <row r="11248" spans="40:42" x14ac:dyDescent="0.3">
      <c r="AN11248">
        <v>11244</v>
      </c>
      <c r="AO11248" s="11">
        <v>48009.38</v>
      </c>
      <c r="AP11248" s="9">
        <v>3.6411971347708443</v>
      </c>
    </row>
    <row r="11249" spans="40:42" x14ac:dyDescent="0.3">
      <c r="AN11249">
        <v>11245</v>
      </c>
      <c r="AO11249" s="11">
        <v>44315.95</v>
      </c>
      <c r="AP11249" s="9">
        <v>3.6076067708756856</v>
      </c>
    </row>
    <row r="11250" spans="40:42" x14ac:dyDescent="0.3">
      <c r="AN11250">
        <v>11246</v>
      </c>
      <c r="AO11250" s="11">
        <v>37361.11</v>
      </c>
      <c r="AP11250" s="9">
        <v>3.7202436756570578</v>
      </c>
    </row>
    <row r="11251" spans="40:42" x14ac:dyDescent="0.3">
      <c r="AN11251">
        <v>11247</v>
      </c>
      <c r="AO11251" s="11">
        <v>18765.03</v>
      </c>
      <c r="AP11251" s="9">
        <v>3.3776375043624549</v>
      </c>
    </row>
    <row r="11252" spans="40:42" x14ac:dyDescent="0.3">
      <c r="AN11252">
        <v>11248</v>
      </c>
      <c r="AO11252" s="11">
        <v>37277.56</v>
      </c>
      <c r="AP11252" s="9">
        <v>3.4535796885945484</v>
      </c>
    </row>
    <row r="11253" spans="40:42" x14ac:dyDescent="0.3">
      <c r="AN11253">
        <v>11249</v>
      </c>
      <c r="AO11253" s="11">
        <v>15093.52</v>
      </c>
      <c r="AP11253" s="9">
        <v>3.2050822224346898</v>
      </c>
    </row>
    <row r="11254" spans="40:42" x14ac:dyDescent="0.3">
      <c r="AN11254">
        <v>11250</v>
      </c>
      <c r="AO11254" s="11">
        <v>30179.34</v>
      </c>
      <c r="AP11254" s="9">
        <v>3.938336895426966</v>
      </c>
    </row>
    <row r="11255" spans="40:42" x14ac:dyDescent="0.3">
      <c r="AN11255">
        <v>11251</v>
      </c>
      <c r="AO11255" s="11">
        <v>29228.49</v>
      </c>
      <c r="AP11255" s="9">
        <v>3.5016095122725526</v>
      </c>
    </row>
    <row r="11256" spans="40:42" x14ac:dyDescent="0.3">
      <c r="AN11256">
        <v>11252</v>
      </c>
      <c r="AO11256" s="11">
        <v>28214.31</v>
      </c>
      <c r="AP11256" s="9">
        <v>3.6721286745728809</v>
      </c>
    </row>
    <row r="11257" spans="40:42" x14ac:dyDescent="0.3">
      <c r="AN11257">
        <v>11253</v>
      </c>
      <c r="AO11257" s="11">
        <v>18167.03</v>
      </c>
      <c r="AP11257" s="9">
        <v>2.7570044288480142</v>
      </c>
    </row>
    <row r="11258" spans="40:42" x14ac:dyDescent="0.3">
      <c r="AN11258">
        <v>11254</v>
      </c>
      <c r="AO11258" s="11">
        <v>21908.7</v>
      </c>
      <c r="AP11258" s="9">
        <v>3.4280917812342198</v>
      </c>
    </row>
    <row r="11259" spans="40:42" x14ac:dyDescent="0.3">
      <c r="AN11259">
        <v>11255</v>
      </c>
      <c r="AO11259" s="11">
        <v>22387.73</v>
      </c>
      <c r="AP11259" s="9">
        <v>3.2695996480409875</v>
      </c>
    </row>
    <row r="11260" spans="40:42" x14ac:dyDescent="0.3">
      <c r="AN11260">
        <v>11256</v>
      </c>
      <c r="AO11260" s="11">
        <v>20825.28</v>
      </c>
      <c r="AP11260" s="9">
        <v>3.4594263970953802</v>
      </c>
    </row>
    <row r="11261" spans="40:42" x14ac:dyDescent="0.3">
      <c r="AN11261">
        <v>11257</v>
      </c>
      <c r="AO11261" s="11">
        <v>29539.26</v>
      </c>
      <c r="AP11261" s="9">
        <v>3.123336438415611</v>
      </c>
    </row>
    <row r="11262" spans="40:42" x14ac:dyDescent="0.3">
      <c r="AN11262">
        <v>11258</v>
      </c>
      <c r="AO11262" s="11">
        <v>27375.599999999999</v>
      </c>
      <c r="AP11262" s="9">
        <v>3.4640074197107906</v>
      </c>
    </row>
    <row r="11263" spans="40:42" x14ac:dyDescent="0.3">
      <c r="AN11263">
        <v>11259</v>
      </c>
      <c r="AO11263" s="11">
        <v>28169.42</v>
      </c>
      <c r="AP11263" s="9">
        <v>3.4579809696345087</v>
      </c>
    </row>
    <row r="11264" spans="40:42" x14ac:dyDescent="0.3">
      <c r="AN11264">
        <v>11260</v>
      </c>
      <c r="AO11264" s="11">
        <v>36140.39</v>
      </c>
      <c r="AP11264" s="9">
        <v>3.5792356471806461</v>
      </c>
    </row>
    <row r="11265" spans="40:42" x14ac:dyDescent="0.3">
      <c r="AN11265">
        <v>11261</v>
      </c>
      <c r="AO11265" s="11">
        <v>19510.28</v>
      </c>
      <c r="AP11265" s="9">
        <v>3.3533965167695605</v>
      </c>
    </row>
    <row r="11266" spans="40:42" x14ac:dyDescent="0.3">
      <c r="AN11266">
        <v>11262</v>
      </c>
      <c r="AO11266" s="11">
        <v>31262.19</v>
      </c>
      <c r="AP11266" s="9">
        <v>3.213965460723192</v>
      </c>
    </row>
    <row r="11267" spans="40:42" x14ac:dyDescent="0.3">
      <c r="AN11267">
        <v>11263</v>
      </c>
      <c r="AO11267" s="11">
        <v>21690.82</v>
      </c>
      <c r="AP11267" s="9">
        <v>3.1074172624325986</v>
      </c>
    </row>
    <row r="11268" spans="40:42" x14ac:dyDescent="0.3">
      <c r="AN11268">
        <v>11264</v>
      </c>
      <c r="AO11268" s="11">
        <v>25678.3</v>
      </c>
      <c r="AP11268" s="9">
        <v>3.8496761601358007</v>
      </c>
    </row>
    <row r="11269" spans="40:42" x14ac:dyDescent="0.3">
      <c r="AN11269">
        <v>11265</v>
      </c>
      <c r="AO11269" s="11">
        <v>34349.57</v>
      </c>
      <c r="AP11269" s="9">
        <v>3.8270162585851364</v>
      </c>
    </row>
    <row r="11270" spans="40:42" x14ac:dyDescent="0.3">
      <c r="AN11270">
        <v>11266</v>
      </c>
      <c r="AO11270" s="11">
        <v>28505.58</v>
      </c>
      <c r="AP11270" s="9">
        <v>3.4022600786036037</v>
      </c>
    </row>
    <row r="11271" spans="40:42" x14ac:dyDescent="0.3">
      <c r="AN11271">
        <v>11267</v>
      </c>
      <c r="AO11271" s="11">
        <v>30711.51</v>
      </c>
      <c r="AP11271" s="9">
        <v>3.3798796960564848</v>
      </c>
    </row>
    <row r="11272" spans="40:42" x14ac:dyDescent="0.3">
      <c r="AN11272">
        <v>11268</v>
      </c>
      <c r="AO11272" s="11">
        <v>26714.67</v>
      </c>
      <c r="AP11272" s="9">
        <v>3.5130191758066673</v>
      </c>
    </row>
    <row r="11273" spans="40:42" x14ac:dyDescent="0.3">
      <c r="AN11273">
        <v>11269</v>
      </c>
      <c r="AO11273" s="11">
        <v>9824.7800000000007</v>
      </c>
      <c r="AP11273" s="9">
        <v>2.7938755067424275</v>
      </c>
    </row>
    <row r="11274" spans="40:42" x14ac:dyDescent="0.3">
      <c r="AN11274">
        <v>11270</v>
      </c>
      <c r="AO11274" s="11">
        <v>23627.96</v>
      </c>
      <c r="AP11274" s="9">
        <v>3.2531810474300569</v>
      </c>
    </row>
    <row r="11275" spans="40:42" x14ac:dyDescent="0.3">
      <c r="AN11275">
        <v>11271</v>
      </c>
      <c r="AO11275" s="11">
        <v>26188.2</v>
      </c>
      <c r="AP11275" s="9">
        <v>3.1805811304159262</v>
      </c>
    </row>
    <row r="11276" spans="40:42" x14ac:dyDescent="0.3">
      <c r="AN11276">
        <v>11272</v>
      </c>
      <c r="AO11276" s="11">
        <v>31570.6</v>
      </c>
      <c r="AP11276" s="9">
        <v>3.4005356792073047</v>
      </c>
    </row>
    <row r="11277" spans="40:42" x14ac:dyDescent="0.3">
      <c r="AN11277">
        <v>11273</v>
      </c>
      <c r="AO11277" s="11">
        <v>36714.78</v>
      </c>
      <c r="AP11277" s="9">
        <v>3.8962369745158743</v>
      </c>
    </row>
    <row r="11278" spans="40:42" x14ac:dyDescent="0.3">
      <c r="AN11278">
        <v>11274</v>
      </c>
      <c r="AO11278" s="11">
        <v>20350.96</v>
      </c>
      <c r="AP11278" s="9">
        <v>3.3383752158601534</v>
      </c>
    </row>
    <row r="11279" spans="40:42" x14ac:dyDescent="0.3">
      <c r="AN11279">
        <v>11275</v>
      </c>
      <c r="AO11279" s="11">
        <v>22739.98</v>
      </c>
      <c r="AP11279" s="9">
        <v>4.3975073640118598</v>
      </c>
    </row>
    <row r="11280" spans="40:42" x14ac:dyDescent="0.3">
      <c r="AN11280">
        <v>11276</v>
      </c>
      <c r="AO11280" s="11">
        <v>21873.86</v>
      </c>
      <c r="AP11280" s="9">
        <v>2.8831895394485172</v>
      </c>
    </row>
    <row r="11281" spans="40:42" x14ac:dyDescent="0.3">
      <c r="AN11281">
        <v>11277</v>
      </c>
      <c r="AO11281" s="11">
        <v>43371.99</v>
      </c>
      <c r="AP11281" s="9">
        <v>3.7857533492083348</v>
      </c>
    </row>
    <row r="11282" spans="40:42" x14ac:dyDescent="0.3">
      <c r="AN11282">
        <v>11278</v>
      </c>
      <c r="AO11282" s="11">
        <v>34356.89</v>
      </c>
      <c r="AP11282" s="9">
        <v>3.4659001841671331</v>
      </c>
    </row>
    <row r="11283" spans="40:42" x14ac:dyDescent="0.3">
      <c r="AN11283">
        <v>11279</v>
      </c>
      <c r="AO11283" s="11">
        <v>30178.85</v>
      </c>
      <c r="AP11283" s="9">
        <v>3.5344103275775534</v>
      </c>
    </row>
    <row r="11284" spans="40:42" x14ac:dyDescent="0.3">
      <c r="AN11284">
        <v>11280</v>
      </c>
      <c r="AO11284" s="11">
        <v>39403.269999999997</v>
      </c>
      <c r="AP11284" s="9">
        <v>3.2024376312670904</v>
      </c>
    </row>
    <row r="11285" spans="40:42" x14ac:dyDescent="0.3">
      <c r="AN11285">
        <v>11281</v>
      </c>
      <c r="AO11285" s="11">
        <v>24717.08</v>
      </c>
      <c r="AP11285" s="9">
        <v>2.7734668843470915</v>
      </c>
    </row>
    <row r="11286" spans="40:42" x14ac:dyDescent="0.3">
      <c r="AN11286">
        <v>11282</v>
      </c>
      <c r="AO11286" s="11">
        <v>30949.86</v>
      </c>
      <c r="AP11286" s="9">
        <v>4.0589586168828351</v>
      </c>
    </row>
    <row r="11287" spans="40:42" x14ac:dyDescent="0.3">
      <c r="AN11287">
        <v>11283</v>
      </c>
      <c r="AO11287" s="11">
        <v>20247.689999999999</v>
      </c>
      <c r="AP11287" s="9">
        <v>3.1070092997525371</v>
      </c>
    </row>
    <row r="11288" spans="40:42" x14ac:dyDescent="0.3">
      <c r="AN11288">
        <v>11284</v>
      </c>
      <c r="AO11288" s="11">
        <v>21646.07</v>
      </c>
      <c r="AP11288" s="9">
        <v>3.5671221810413161</v>
      </c>
    </row>
    <row r="11289" spans="40:42" x14ac:dyDescent="0.3">
      <c r="AN11289">
        <v>11285</v>
      </c>
      <c r="AO11289" s="11">
        <v>18713.3</v>
      </c>
      <c r="AP11289" s="9">
        <v>2.5787982264007132</v>
      </c>
    </row>
    <row r="11290" spans="40:42" x14ac:dyDescent="0.3">
      <c r="AN11290">
        <v>11286</v>
      </c>
      <c r="AO11290" s="11">
        <v>16320.41</v>
      </c>
      <c r="AP11290" s="9">
        <v>2.8895777811250132</v>
      </c>
    </row>
    <row r="11291" spans="40:42" x14ac:dyDescent="0.3">
      <c r="AN11291">
        <v>11287</v>
      </c>
      <c r="AO11291" s="11">
        <v>33660</v>
      </c>
      <c r="AP11291" s="9">
        <v>3.5564723524112041</v>
      </c>
    </row>
    <row r="11292" spans="40:42" x14ac:dyDescent="0.3">
      <c r="AN11292">
        <v>11288</v>
      </c>
      <c r="AO11292" s="11">
        <v>20637.79</v>
      </c>
      <c r="AP11292" s="9">
        <v>3.9035531714624665</v>
      </c>
    </row>
    <row r="11293" spans="40:42" x14ac:dyDescent="0.3">
      <c r="AN11293">
        <v>11289</v>
      </c>
      <c r="AO11293" s="11">
        <v>22354.959999999999</v>
      </c>
      <c r="AP11293" s="9">
        <v>3.0316664839238698</v>
      </c>
    </row>
    <row r="11294" spans="40:42" x14ac:dyDescent="0.3">
      <c r="AN11294">
        <v>11290</v>
      </c>
      <c r="AO11294" s="11">
        <v>21936.38</v>
      </c>
      <c r="AP11294" s="9">
        <v>3.1542251733867839</v>
      </c>
    </row>
    <row r="11295" spans="40:42" x14ac:dyDescent="0.3">
      <c r="AN11295">
        <v>11291</v>
      </c>
      <c r="AO11295" s="11">
        <v>24171.45</v>
      </c>
      <c r="AP11295" s="9">
        <v>3.3382573182127806</v>
      </c>
    </row>
    <row r="11296" spans="40:42" x14ac:dyDescent="0.3">
      <c r="AN11296">
        <v>11292</v>
      </c>
      <c r="AO11296" s="11">
        <v>25808.09</v>
      </c>
      <c r="AP11296" s="9">
        <v>4.0532938827146108</v>
      </c>
    </row>
    <row r="11297" spans="40:42" x14ac:dyDescent="0.3">
      <c r="AN11297">
        <v>11293</v>
      </c>
      <c r="AO11297" s="11">
        <v>31555.38</v>
      </c>
      <c r="AP11297" s="9">
        <v>3.8885013826317159</v>
      </c>
    </row>
    <row r="11298" spans="40:42" x14ac:dyDescent="0.3">
      <c r="AN11298">
        <v>11294</v>
      </c>
      <c r="AO11298" s="11">
        <v>24016.11</v>
      </c>
      <c r="AP11298" s="9">
        <v>3.3591423842964669</v>
      </c>
    </row>
    <row r="11299" spans="40:42" x14ac:dyDescent="0.3">
      <c r="AN11299">
        <v>11295</v>
      </c>
      <c r="AO11299" s="11">
        <v>38351.11</v>
      </c>
      <c r="AP11299" s="9">
        <v>3.6662081409191658</v>
      </c>
    </row>
    <row r="11300" spans="40:42" x14ac:dyDescent="0.3">
      <c r="AN11300">
        <v>11296</v>
      </c>
      <c r="AO11300" s="11">
        <v>21416.46</v>
      </c>
      <c r="AP11300" s="9">
        <v>3.9263560510952487</v>
      </c>
    </row>
    <row r="11301" spans="40:42" x14ac:dyDescent="0.3">
      <c r="AN11301">
        <v>11297</v>
      </c>
      <c r="AO11301" s="11">
        <v>27299.82</v>
      </c>
      <c r="AP11301" s="9">
        <v>3.1704856155426548</v>
      </c>
    </row>
    <row r="11302" spans="40:42" x14ac:dyDescent="0.3">
      <c r="AN11302">
        <v>11298</v>
      </c>
      <c r="AO11302" s="11">
        <v>25067.24</v>
      </c>
      <c r="AP11302" s="9">
        <v>3.6756458214992982</v>
      </c>
    </row>
    <row r="11303" spans="40:42" x14ac:dyDescent="0.3">
      <c r="AN11303">
        <v>11299</v>
      </c>
      <c r="AO11303" s="11">
        <v>23539.61</v>
      </c>
      <c r="AP11303" s="9">
        <v>3.5041464739701658</v>
      </c>
    </row>
    <row r="11304" spans="40:42" x14ac:dyDescent="0.3">
      <c r="AN11304">
        <v>11300</v>
      </c>
      <c r="AO11304" s="11">
        <v>47338.720000000001</v>
      </c>
      <c r="AP11304" s="9">
        <v>4.5906953619375406</v>
      </c>
    </row>
    <row r="11305" spans="40:42" x14ac:dyDescent="0.3">
      <c r="AN11305">
        <v>11301</v>
      </c>
      <c r="AO11305" s="11">
        <v>27858.91</v>
      </c>
      <c r="AP11305" s="9">
        <v>3.1737445183040904</v>
      </c>
    </row>
    <row r="11306" spans="40:42" x14ac:dyDescent="0.3">
      <c r="AN11306">
        <v>11302</v>
      </c>
      <c r="AO11306" s="11">
        <v>32832.730000000003</v>
      </c>
      <c r="AP11306" s="9">
        <v>3.6957612536605371</v>
      </c>
    </row>
    <row r="11307" spans="40:42" x14ac:dyDescent="0.3">
      <c r="AN11307">
        <v>11303</v>
      </c>
      <c r="AO11307" s="11">
        <v>21368.69</v>
      </c>
      <c r="AP11307" s="9">
        <v>2.8431762752873593</v>
      </c>
    </row>
    <row r="11308" spans="40:42" x14ac:dyDescent="0.3">
      <c r="AN11308">
        <v>11304</v>
      </c>
      <c r="AO11308" s="11">
        <v>24816.9</v>
      </c>
      <c r="AP11308" s="9">
        <v>3.1587469541734823</v>
      </c>
    </row>
    <row r="11309" spans="40:42" x14ac:dyDescent="0.3">
      <c r="AN11309">
        <v>11305</v>
      </c>
      <c r="AO11309" s="11">
        <v>48404.55</v>
      </c>
      <c r="AP11309" s="9">
        <v>4.1236215143251069</v>
      </c>
    </row>
    <row r="11310" spans="40:42" x14ac:dyDescent="0.3">
      <c r="AN11310">
        <v>11306</v>
      </c>
      <c r="AO11310" s="11">
        <v>13070.26</v>
      </c>
      <c r="AP11310" s="9">
        <v>2.7878213690412461</v>
      </c>
    </row>
    <row r="11311" spans="40:42" x14ac:dyDescent="0.3">
      <c r="AN11311">
        <v>11307</v>
      </c>
      <c r="AO11311" s="11">
        <v>26910.6</v>
      </c>
      <c r="AP11311" s="9">
        <v>3.0358936307536601</v>
      </c>
    </row>
    <row r="11312" spans="40:42" x14ac:dyDescent="0.3">
      <c r="AN11312">
        <v>11308</v>
      </c>
      <c r="AO11312" s="11">
        <v>39847.82</v>
      </c>
      <c r="AP11312" s="9">
        <v>3.7192256141982041</v>
      </c>
    </row>
    <row r="11313" spans="40:42" x14ac:dyDescent="0.3">
      <c r="AN11313">
        <v>11309</v>
      </c>
      <c r="AO11313" s="11">
        <v>21700.15</v>
      </c>
      <c r="AP11313" s="9">
        <v>3.3976044642659926</v>
      </c>
    </row>
    <row r="11314" spans="40:42" x14ac:dyDescent="0.3">
      <c r="AN11314">
        <v>11310</v>
      </c>
      <c r="AO11314" s="11">
        <v>33750.89</v>
      </c>
      <c r="AP11314" s="9">
        <v>3.1331586129916147</v>
      </c>
    </row>
    <row r="11315" spans="40:42" x14ac:dyDescent="0.3">
      <c r="AN11315">
        <v>11311</v>
      </c>
      <c r="AO11315" s="11">
        <v>27107.4</v>
      </c>
      <c r="AP11315" s="9">
        <v>3.3096258920972534</v>
      </c>
    </row>
    <row r="11316" spans="40:42" x14ac:dyDescent="0.3">
      <c r="AN11316">
        <v>11312</v>
      </c>
      <c r="AO11316" s="11">
        <v>19753.3</v>
      </c>
      <c r="AP11316" s="9">
        <v>2.8845357550548618</v>
      </c>
    </row>
    <row r="11317" spans="40:42" x14ac:dyDescent="0.3">
      <c r="AN11317">
        <v>11313</v>
      </c>
      <c r="AO11317" s="11">
        <v>35375.81</v>
      </c>
      <c r="AP11317" s="9">
        <v>3.8474316371124555</v>
      </c>
    </row>
    <row r="11318" spans="40:42" x14ac:dyDescent="0.3">
      <c r="AN11318">
        <v>11314</v>
      </c>
      <c r="AO11318" s="11">
        <v>34407.42</v>
      </c>
      <c r="AP11318" s="9">
        <v>3.2865601568482425</v>
      </c>
    </row>
    <row r="11319" spans="40:42" x14ac:dyDescent="0.3">
      <c r="AN11319">
        <v>11315</v>
      </c>
      <c r="AO11319" s="11">
        <v>26740.34</v>
      </c>
      <c r="AP11319" s="9">
        <v>3.1511885807178395</v>
      </c>
    </row>
    <row r="11320" spans="40:42" x14ac:dyDescent="0.3">
      <c r="AN11320">
        <v>11316</v>
      </c>
      <c r="AO11320" s="11">
        <v>30669.07</v>
      </c>
      <c r="AP11320" s="9">
        <v>3.7133604177717157</v>
      </c>
    </row>
    <row r="11321" spans="40:42" x14ac:dyDescent="0.3">
      <c r="AN11321">
        <v>11317</v>
      </c>
      <c r="AO11321" s="11">
        <v>18832.169999999998</v>
      </c>
      <c r="AP11321" s="9">
        <v>3.4175526418424957</v>
      </c>
    </row>
    <row r="11322" spans="40:42" x14ac:dyDescent="0.3">
      <c r="AN11322">
        <v>11318</v>
      </c>
      <c r="AO11322" s="11">
        <v>32528.799999999999</v>
      </c>
      <c r="AP11322" s="9">
        <v>3.9812872940448734</v>
      </c>
    </row>
    <row r="11323" spans="40:42" x14ac:dyDescent="0.3">
      <c r="AN11323">
        <v>11319</v>
      </c>
      <c r="AO11323" s="11">
        <v>19947.75</v>
      </c>
      <c r="AP11323" s="9">
        <v>3.8418334029121621</v>
      </c>
    </row>
    <row r="11324" spans="40:42" x14ac:dyDescent="0.3">
      <c r="AN11324">
        <v>11320</v>
      </c>
      <c r="AO11324" s="11">
        <v>27560.94</v>
      </c>
      <c r="AP11324" s="9">
        <v>3.8563477757641755</v>
      </c>
    </row>
    <row r="11325" spans="40:42" x14ac:dyDescent="0.3">
      <c r="AN11325">
        <v>11321</v>
      </c>
      <c r="AO11325" s="11">
        <v>20848.8</v>
      </c>
      <c r="AP11325" s="9">
        <v>2.8068082438312816</v>
      </c>
    </row>
    <row r="11326" spans="40:42" x14ac:dyDescent="0.3">
      <c r="AN11326">
        <v>11322</v>
      </c>
      <c r="AO11326" s="11">
        <v>38487.46</v>
      </c>
      <c r="AP11326" s="9">
        <v>3.4992389383409743</v>
      </c>
    </row>
    <row r="11327" spans="40:42" x14ac:dyDescent="0.3">
      <c r="AN11327">
        <v>11323</v>
      </c>
      <c r="AO11327" s="11">
        <v>43834.74</v>
      </c>
      <c r="AP11327" s="9">
        <v>4.6166364280056724</v>
      </c>
    </row>
    <row r="11328" spans="40:42" x14ac:dyDescent="0.3">
      <c r="AN11328">
        <v>11324</v>
      </c>
      <c r="AO11328" s="11">
        <v>28778.92</v>
      </c>
      <c r="AP11328" s="9">
        <v>3.2690355110448452</v>
      </c>
    </row>
    <row r="11329" spans="40:42" x14ac:dyDescent="0.3">
      <c r="AN11329">
        <v>11325</v>
      </c>
      <c r="AO11329" s="11">
        <v>16319.51</v>
      </c>
      <c r="AP11329" s="9">
        <v>2.4605113917841708</v>
      </c>
    </row>
    <row r="11330" spans="40:42" x14ac:dyDescent="0.3">
      <c r="AN11330">
        <v>11326</v>
      </c>
      <c r="AO11330" s="11">
        <v>32983.17</v>
      </c>
      <c r="AP11330" s="9">
        <v>3.1713995843214438</v>
      </c>
    </row>
    <row r="11331" spans="40:42" x14ac:dyDescent="0.3">
      <c r="AN11331">
        <v>11327</v>
      </c>
      <c r="AO11331" s="11">
        <v>29817.21</v>
      </c>
      <c r="AP11331" s="9">
        <v>3.5109180042071424</v>
      </c>
    </row>
    <row r="11332" spans="40:42" x14ac:dyDescent="0.3">
      <c r="AN11332">
        <v>11328</v>
      </c>
      <c r="AO11332" s="11">
        <v>33732.42</v>
      </c>
      <c r="AP11332" s="9">
        <v>4.0911376398764663</v>
      </c>
    </row>
    <row r="11333" spans="40:42" x14ac:dyDescent="0.3">
      <c r="AN11333">
        <v>11329</v>
      </c>
      <c r="AO11333" s="11">
        <v>28166.74</v>
      </c>
      <c r="AP11333" s="9">
        <v>4.5440464193776995</v>
      </c>
    </row>
    <row r="11334" spans="40:42" x14ac:dyDescent="0.3">
      <c r="AN11334">
        <v>11330</v>
      </c>
      <c r="AO11334" s="11">
        <v>33864.53</v>
      </c>
      <c r="AP11334" s="9">
        <v>3.6821591510720619</v>
      </c>
    </row>
    <row r="11335" spans="40:42" x14ac:dyDescent="0.3">
      <c r="AN11335">
        <v>11331</v>
      </c>
      <c r="AO11335" s="11">
        <v>26121.66</v>
      </c>
      <c r="AP11335" s="9">
        <v>3.6434247652740694</v>
      </c>
    </row>
    <row r="11336" spans="40:42" x14ac:dyDescent="0.3">
      <c r="AN11336">
        <v>11332</v>
      </c>
      <c r="AO11336" s="11">
        <v>25495.26</v>
      </c>
      <c r="AP11336" s="9">
        <v>2.9948707040147671</v>
      </c>
    </row>
    <row r="11337" spans="40:42" x14ac:dyDescent="0.3">
      <c r="AN11337">
        <v>11333</v>
      </c>
      <c r="AO11337" s="11">
        <v>27586.11</v>
      </c>
      <c r="AP11337" s="9">
        <v>3.2110037364125414</v>
      </c>
    </row>
    <row r="11338" spans="40:42" x14ac:dyDescent="0.3">
      <c r="AN11338">
        <v>11334</v>
      </c>
      <c r="AO11338" s="11">
        <v>25176.78</v>
      </c>
      <c r="AP11338" s="9">
        <v>3.0581494556613196</v>
      </c>
    </row>
    <row r="11339" spans="40:42" x14ac:dyDescent="0.3">
      <c r="AN11339">
        <v>11335</v>
      </c>
      <c r="AO11339" s="11">
        <v>27009.919999999998</v>
      </c>
      <c r="AP11339" s="9">
        <v>2.8597785362556065</v>
      </c>
    </row>
    <row r="11340" spans="40:42" x14ac:dyDescent="0.3">
      <c r="AN11340">
        <v>11336</v>
      </c>
      <c r="AO11340" s="11">
        <v>43105.71</v>
      </c>
      <c r="AP11340" s="9">
        <v>3.6640424479371236</v>
      </c>
    </row>
    <row r="11341" spans="40:42" x14ac:dyDescent="0.3">
      <c r="AN11341">
        <v>11337</v>
      </c>
      <c r="AO11341" s="11">
        <v>13629.73</v>
      </c>
      <c r="AP11341" s="9">
        <v>2.7027968217298364</v>
      </c>
    </row>
    <row r="11342" spans="40:42" x14ac:dyDescent="0.3">
      <c r="AN11342">
        <v>11338</v>
      </c>
      <c r="AO11342" s="11">
        <v>22584.639999999999</v>
      </c>
      <c r="AP11342" s="9">
        <v>2.8103985728517236</v>
      </c>
    </row>
    <row r="11343" spans="40:42" x14ac:dyDescent="0.3">
      <c r="AN11343">
        <v>11339</v>
      </c>
      <c r="AO11343" s="11">
        <v>27180.01</v>
      </c>
      <c r="AP11343" s="9">
        <v>3.4386282798543428</v>
      </c>
    </row>
    <row r="11344" spans="40:42" x14ac:dyDescent="0.3">
      <c r="AN11344">
        <v>11340</v>
      </c>
      <c r="AO11344" s="11">
        <v>17242.810000000001</v>
      </c>
      <c r="AP11344" s="9">
        <v>2.8450741504558548</v>
      </c>
    </row>
    <row r="11345" spans="40:42" x14ac:dyDescent="0.3">
      <c r="AN11345">
        <v>11341</v>
      </c>
      <c r="AO11345" s="11">
        <v>30063.37</v>
      </c>
      <c r="AP11345" s="9">
        <v>3.1982261137973134</v>
      </c>
    </row>
    <row r="11346" spans="40:42" x14ac:dyDescent="0.3">
      <c r="AN11346">
        <v>11342</v>
      </c>
      <c r="AO11346" s="11">
        <v>29755.56</v>
      </c>
      <c r="AP11346" s="9">
        <v>3.4707751109541807</v>
      </c>
    </row>
    <row r="11347" spans="40:42" x14ac:dyDescent="0.3">
      <c r="AN11347">
        <v>11343</v>
      </c>
      <c r="AO11347" s="11">
        <v>20823.72</v>
      </c>
      <c r="AP11347" s="9">
        <v>3.0825325262602279</v>
      </c>
    </row>
    <row r="11348" spans="40:42" x14ac:dyDescent="0.3">
      <c r="AN11348">
        <v>11344</v>
      </c>
      <c r="AO11348" s="11">
        <v>33785.61</v>
      </c>
      <c r="AP11348" s="9">
        <v>3.1965523980315278</v>
      </c>
    </row>
    <row r="11349" spans="40:42" x14ac:dyDescent="0.3">
      <c r="AN11349">
        <v>11345</v>
      </c>
      <c r="AO11349" s="11">
        <v>23450.29</v>
      </c>
      <c r="AP11349" s="9">
        <v>3.3305539591570641</v>
      </c>
    </row>
    <row r="11350" spans="40:42" x14ac:dyDescent="0.3">
      <c r="AN11350">
        <v>11346</v>
      </c>
      <c r="AO11350" s="11">
        <v>41883.949999999997</v>
      </c>
      <c r="AP11350" s="9">
        <v>3.7460313463293367</v>
      </c>
    </row>
    <row r="11351" spans="40:42" x14ac:dyDescent="0.3">
      <c r="AN11351">
        <v>11347</v>
      </c>
      <c r="AO11351" s="11">
        <v>33250.559999999998</v>
      </c>
      <c r="AP11351" s="9">
        <v>2.8514286886094471</v>
      </c>
    </row>
    <row r="11352" spans="40:42" x14ac:dyDescent="0.3">
      <c r="AN11352">
        <v>11348</v>
      </c>
      <c r="AO11352" s="11">
        <v>17420.93</v>
      </c>
      <c r="AP11352" s="9">
        <v>3.5116008257971747</v>
      </c>
    </row>
    <row r="11353" spans="40:42" x14ac:dyDescent="0.3">
      <c r="AN11353">
        <v>11349</v>
      </c>
      <c r="AO11353" s="11">
        <v>38414.71</v>
      </c>
      <c r="AP11353" s="9">
        <v>3.1165307224132572</v>
      </c>
    </row>
    <row r="11354" spans="40:42" x14ac:dyDescent="0.3">
      <c r="AN11354">
        <v>11350</v>
      </c>
      <c r="AO11354" s="11">
        <v>31208.11</v>
      </c>
      <c r="AP11354" s="9">
        <v>3.3780509462151622</v>
      </c>
    </row>
    <row r="11355" spans="40:42" x14ac:dyDescent="0.3">
      <c r="AN11355">
        <v>11351</v>
      </c>
      <c r="AO11355" s="11">
        <v>23861.26</v>
      </c>
      <c r="AP11355" s="9">
        <v>3.4004986535661605</v>
      </c>
    </row>
    <row r="11356" spans="40:42" x14ac:dyDescent="0.3">
      <c r="AN11356">
        <v>11352</v>
      </c>
      <c r="AO11356" s="11">
        <v>33379.93</v>
      </c>
      <c r="AP11356" s="9">
        <v>3.848869128656935</v>
      </c>
    </row>
    <row r="11357" spans="40:42" x14ac:dyDescent="0.3">
      <c r="AN11357">
        <v>11353</v>
      </c>
      <c r="AO11357" s="11">
        <v>18774.05</v>
      </c>
      <c r="AP11357" s="9">
        <v>3.3837502134474389</v>
      </c>
    </row>
    <row r="11358" spans="40:42" x14ac:dyDescent="0.3">
      <c r="AN11358">
        <v>11354</v>
      </c>
      <c r="AO11358" s="11">
        <v>19713.05</v>
      </c>
      <c r="AP11358" s="9">
        <v>2.9475900439962133</v>
      </c>
    </row>
    <row r="11359" spans="40:42" x14ac:dyDescent="0.3">
      <c r="AN11359">
        <v>11355</v>
      </c>
      <c r="AO11359" s="11">
        <v>27202.2</v>
      </c>
      <c r="AP11359" s="9">
        <v>2.7310984239362122</v>
      </c>
    </row>
    <row r="11360" spans="40:42" x14ac:dyDescent="0.3">
      <c r="AN11360">
        <v>11356</v>
      </c>
      <c r="AO11360" s="11">
        <v>28319.11</v>
      </c>
      <c r="AP11360" s="9">
        <v>3.089601245225166</v>
      </c>
    </row>
    <row r="11361" spans="40:42" x14ac:dyDescent="0.3">
      <c r="AN11361">
        <v>11357</v>
      </c>
      <c r="AO11361" s="11">
        <v>28312.44</v>
      </c>
      <c r="AP11361" s="9">
        <v>3.0893627528960925</v>
      </c>
    </row>
    <row r="11362" spans="40:42" x14ac:dyDescent="0.3">
      <c r="AN11362">
        <v>11358</v>
      </c>
      <c r="AO11362" s="11">
        <v>21160.78</v>
      </c>
      <c r="AP11362" s="9">
        <v>3.3382010504911368</v>
      </c>
    </row>
    <row r="11363" spans="40:42" x14ac:dyDescent="0.3">
      <c r="AN11363">
        <v>11359</v>
      </c>
      <c r="AO11363" s="11">
        <v>23176.62</v>
      </c>
      <c r="AP11363" s="9">
        <v>3.2557591258247891</v>
      </c>
    </row>
    <row r="11364" spans="40:42" x14ac:dyDescent="0.3">
      <c r="AN11364">
        <v>11360</v>
      </c>
      <c r="AO11364" s="11">
        <v>28313.51</v>
      </c>
      <c r="AP11364" s="9">
        <v>3.5492453346691031</v>
      </c>
    </row>
    <row r="11365" spans="40:42" x14ac:dyDescent="0.3">
      <c r="AN11365">
        <v>11361</v>
      </c>
      <c r="AO11365" s="11">
        <v>16875.98</v>
      </c>
      <c r="AP11365" s="9">
        <v>3.2093533079798413</v>
      </c>
    </row>
    <row r="11366" spans="40:42" x14ac:dyDescent="0.3">
      <c r="AN11366">
        <v>11362</v>
      </c>
      <c r="AO11366" s="11">
        <v>29619.24</v>
      </c>
      <c r="AP11366" s="9">
        <v>3.0173190555613685</v>
      </c>
    </row>
    <row r="11367" spans="40:42" x14ac:dyDescent="0.3">
      <c r="AN11367">
        <v>11363</v>
      </c>
      <c r="AO11367" s="11">
        <v>20711.060000000001</v>
      </c>
      <c r="AP11367" s="9">
        <v>2.9661690340728897</v>
      </c>
    </row>
    <row r="11368" spans="40:42" x14ac:dyDescent="0.3">
      <c r="AN11368">
        <v>11364</v>
      </c>
      <c r="AO11368" s="11">
        <v>21021.45</v>
      </c>
      <c r="AP11368" s="9">
        <v>3.488583986750156</v>
      </c>
    </row>
    <row r="11369" spans="40:42" x14ac:dyDescent="0.3">
      <c r="AN11369">
        <v>11365</v>
      </c>
      <c r="AO11369" s="11">
        <v>21060.61</v>
      </c>
      <c r="AP11369" s="9">
        <v>3.2195957880189803</v>
      </c>
    </row>
    <row r="11370" spans="40:42" x14ac:dyDescent="0.3">
      <c r="AN11370">
        <v>11366</v>
      </c>
      <c r="AO11370" s="11">
        <v>20721.47</v>
      </c>
      <c r="AP11370" s="9">
        <v>4.2645963596687189</v>
      </c>
    </row>
    <row r="11371" spans="40:42" x14ac:dyDescent="0.3">
      <c r="AN11371">
        <v>11367</v>
      </c>
      <c r="AO11371" s="11">
        <v>43465.34</v>
      </c>
      <c r="AP11371" s="9">
        <v>4.0441206755035504</v>
      </c>
    </row>
    <row r="11372" spans="40:42" x14ac:dyDescent="0.3">
      <c r="AN11372">
        <v>11368</v>
      </c>
      <c r="AO11372" s="11">
        <v>29197.95</v>
      </c>
      <c r="AP11372" s="9">
        <v>3.970726647754665</v>
      </c>
    </row>
    <row r="11373" spans="40:42" x14ac:dyDescent="0.3">
      <c r="AN11373">
        <v>11369</v>
      </c>
      <c r="AO11373" s="11">
        <v>26712.84</v>
      </c>
      <c r="AP11373" s="9">
        <v>3.3391670444334793</v>
      </c>
    </row>
    <row r="11374" spans="40:42" x14ac:dyDescent="0.3">
      <c r="AN11374">
        <v>11370</v>
      </c>
      <c r="AO11374" s="11">
        <v>26464.61</v>
      </c>
      <c r="AP11374" s="9">
        <v>2.8492671733840216</v>
      </c>
    </row>
    <row r="11375" spans="40:42" x14ac:dyDescent="0.3">
      <c r="AN11375">
        <v>11371</v>
      </c>
      <c r="AO11375" s="11">
        <v>19710.89</v>
      </c>
      <c r="AP11375" s="9">
        <v>3.4654850714763237</v>
      </c>
    </row>
    <row r="11376" spans="40:42" x14ac:dyDescent="0.3">
      <c r="AN11376">
        <v>11372</v>
      </c>
      <c r="AO11376" s="11">
        <v>23436.77</v>
      </c>
      <c r="AP11376" s="9">
        <v>3.1359944756482814</v>
      </c>
    </row>
    <row r="11377" spans="40:42" x14ac:dyDescent="0.3">
      <c r="AN11377">
        <v>11373</v>
      </c>
      <c r="AO11377" s="11">
        <v>39304.39</v>
      </c>
      <c r="AP11377" s="9">
        <v>3.4386419097084655</v>
      </c>
    </row>
    <row r="11378" spans="40:42" x14ac:dyDescent="0.3">
      <c r="AN11378">
        <v>11374</v>
      </c>
      <c r="AO11378" s="11">
        <v>36845.980000000003</v>
      </c>
      <c r="AP11378" s="9">
        <v>3.170862508136532</v>
      </c>
    </row>
    <row r="11379" spans="40:42" x14ac:dyDescent="0.3">
      <c r="AN11379">
        <v>11375</v>
      </c>
      <c r="AO11379" s="11">
        <v>20875.8</v>
      </c>
      <c r="AP11379" s="9">
        <v>3.3676879603227543</v>
      </c>
    </row>
    <row r="11380" spans="40:42" x14ac:dyDescent="0.3">
      <c r="AN11380">
        <v>11376</v>
      </c>
      <c r="AO11380" s="11">
        <v>21475.86</v>
      </c>
      <c r="AP11380" s="9">
        <v>2.8134011549143358</v>
      </c>
    </row>
    <row r="11381" spans="40:42" x14ac:dyDescent="0.3">
      <c r="AN11381">
        <v>11377</v>
      </c>
      <c r="AO11381" s="11">
        <v>30285.35</v>
      </c>
      <c r="AP11381" s="9">
        <v>3.1317712128297126</v>
      </c>
    </row>
    <row r="11382" spans="40:42" x14ac:dyDescent="0.3">
      <c r="AN11382">
        <v>11378</v>
      </c>
      <c r="AO11382" s="11">
        <v>25206.21</v>
      </c>
      <c r="AP11382" s="9">
        <v>3.518568910844404</v>
      </c>
    </row>
    <row r="11383" spans="40:42" x14ac:dyDescent="0.3">
      <c r="AN11383">
        <v>11379</v>
      </c>
      <c r="AO11383" s="11">
        <v>24329.26</v>
      </c>
      <c r="AP11383" s="9">
        <v>2.6906255246138695</v>
      </c>
    </row>
    <row r="11384" spans="40:42" x14ac:dyDescent="0.3">
      <c r="AN11384">
        <v>11380</v>
      </c>
      <c r="AO11384" s="11">
        <v>33521.78</v>
      </c>
      <c r="AP11384" s="9">
        <v>3.472258674284713</v>
      </c>
    </row>
    <row r="11385" spans="40:42" x14ac:dyDescent="0.3">
      <c r="AN11385">
        <v>11381</v>
      </c>
      <c r="AO11385" s="11">
        <v>15792.14</v>
      </c>
      <c r="AP11385" s="9">
        <v>3.2507176510368576</v>
      </c>
    </row>
    <row r="11386" spans="40:42" x14ac:dyDescent="0.3">
      <c r="AN11386">
        <v>11382</v>
      </c>
      <c r="AO11386" s="11">
        <v>30205.65</v>
      </c>
      <c r="AP11386" s="9">
        <v>3.8007605789459724</v>
      </c>
    </row>
    <row r="11387" spans="40:42" x14ac:dyDescent="0.3">
      <c r="AN11387">
        <v>11383</v>
      </c>
      <c r="AO11387" s="11">
        <v>26713.78</v>
      </c>
      <c r="AP11387" s="9">
        <v>2.88333479793384</v>
      </c>
    </row>
    <row r="11388" spans="40:42" x14ac:dyDescent="0.3">
      <c r="AN11388">
        <v>11384</v>
      </c>
      <c r="AO11388" s="11">
        <v>17560.29</v>
      </c>
      <c r="AP11388" s="9">
        <v>2.911874284575986</v>
      </c>
    </row>
    <row r="11389" spans="40:42" x14ac:dyDescent="0.3">
      <c r="AN11389">
        <v>11385</v>
      </c>
      <c r="AO11389" s="11">
        <v>36237.379999999997</v>
      </c>
      <c r="AP11389" s="9">
        <v>3.3030199046560091</v>
      </c>
    </row>
    <row r="11390" spans="40:42" x14ac:dyDescent="0.3">
      <c r="AN11390">
        <v>11386</v>
      </c>
      <c r="AO11390" s="11">
        <v>23512.9</v>
      </c>
      <c r="AP11390" s="9">
        <v>3.7189748762031338</v>
      </c>
    </row>
    <row r="11391" spans="40:42" x14ac:dyDescent="0.3">
      <c r="AN11391">
        <v>11387</v>
      </c>
      <c r="AO11391" s="11">
        <v>38482.269999999997</v>
      </c>
      <c r="AP11391" s="9">
        <v>3.9474103303953902</v>
      </c>
    </row>
    <row r="11392" spans="40:42" x14ac:dyDescent="0.3">
      <c r="AN11392">
        <v>11388</v>
      </c>
      <c r="AO11392" s="11">
        <v>23693.759999999998</v>
      </c>
      <c r="AP11392" s="9">
        <v>2.9998703183167863</v>
      </c>
    </row>
    <row r="11393" spans="40:42" x14ac:dyDescent="0.3">
      <c r="AN11393">
        <v>11389</v>
      </c>
      <c r="AO11393" s="11">
        <v>24042.26</v>
      </c>
      <c r="AP11393" s="9">
        <v>3.7949480580119377</v>
      </c>
    </row>
    <row r="11394" spans="40:42" x14ac:dyDescent="0.3">
      <c r="AN11394">
        <v>11390</v>
      </c>
      <c r="AO11394" s="11">
        <v>27517.759999999998</v>
      </c>
      <c r="AP11394" s="9">
        <v>3.0878081309691159</v>
      </c>
    </row>
    <row r="11395" spans="40:42" x14ac:dyDescent="0.3">
      <c r="AN11395">
        <v>11391</v>
      </c>
      <c r="AO11395" s="11">
        <v>20050.52</v>
      </c>
      <c r="AP11395" s="9">
        <v>3.355515169926119</v>
      </c>
    </row>
    <row r="11396" spans="40:42" x14ac:dyDescent="0.3">
      <c r="AN11396">
        <v>11392</v>
      </c>
      <c r="AO11396" s="11">
        <v>20718.43</v>
      </c>
      <c r="AP11396" s="9">
        <v>3.7345016774082187</v>
      </c>
    </row>
    <row r="11397" spans="40:42" x14ac:dyDescent="0.3">
      <c r="AN11397">
        <v>11393</v>
      </c>
      <c r="AO11397" s="11">
        <v>25195.79</v>
      </c>
      <c r="AP11397" s="9">
        <v>3.2019954179913435</v>
      </c>
    </row>
    <row r="11398" spans="40:42" x14ac:dyDescent="0.3">
      <c r="AN11398">
        <v>11394</v>
      </c>
      <c r="AO11398" s="11">
        <v>24770.23</v>
      </c>
      <c r="AP11398" s="9">
        <v>3.6529108141916478</v>
      </c>
    </row>
    <row r="11399" spans="40:42" x14ac:dyDescent="0.3">
      <c r="AN11399">
        <v>11395</v>
      </c>
      <c r="AO11399" s="11">
        <v>26705.59</v>
      </c>
      <c r="AP11399" s="9">
        <v>2.8455031951663381</v>
      </c>
    </row>
    <row r="11400" spans="40:42" x14ac:dyDescent="0.3">
      <c r="AN11400">
        <v>11396</v>
      </c>
      <c r="AO11400" s="11">
        <v>33236.04</v>
      </c>
      <c r="AP11400" s="9">
        <v>3.4154593116980303</v>
      </c>
    </row>
    <row r="11401" spans="40:42" x14ac:dyDescent="0.3">
      <c r="AN11401">
        <v>11397</v>
      </c>
      <c r="AO11401" s="11">
        <v>35789.599999999999</v>
      </c>
      <c r="AP11401" s="9">
        <v>3.9610906208002965</v>
      </c>
    </row>
    <row r="11402" spans="40:42" x14ac:dyDescent="0.3">
      <c r="AN11402">
        <v>11398</v>
      </c>
      <c r="AO11402" s="11">
        <v>39303.07</v>
      </c>
      <c r="AP11402" s="9">
        <v>4.3245059141189239</v>
      </c>
    </row>
    <row r="11403" spans="40:42" x14ac:dyDescent="0.3">
      <c r="AN11403">
        <v>11399</v>
      </c>
      <c r="AO11403" s="11">
        <v>31532.880000000001</v>
      </c>
      <c r="AP11403" s="9">
        <v>3.4214314774284986</v>
      </c>
    </row>
    <row r="11404" spans="40:42" x14ac:dyDescent="0.3">
      <c r="AN11404">
        <v>11400</v>
      </c>
      <c r="AO11404" s="11">
        <v>28680.27</v>
      </c>
      <c r="AP11404" s="9">
        <v>3.3787093734725748</v>
      </c>
    </row>
    <row r="11405" spans="40:42" x14ac:dyDescent="0.3">
      <c r="AN11405">
        <v>11401</v>
      </c>
      <c r="AO11405" s="11">
        <v>34928.800000000003</v>
      </c>
      <c r="AP11405" s="9">
        <v>3.7996529885720447</v>
      </c>
    </row>
    <row r="11406" spans="40:42" x14ac:dyDescent="0.3">
      <c r="AN11406">
        <v>11402</v>
      </c>
      <c r="AO11406" s="11">
        <v>34432.78</v>
      </c>
      <c r="AP11406" s="9">
        <v>3.8887587528134273</v>
      </c>
    </row>
    <row r="11407" spans="40:42" x14ac:dyDescent="0.3">
      <c r="AN11407">
        <v>11403</v>
      </c>
      <c r="AO11407" s="11">
        <v>17454.09</v>
      </c>
      <c r="AP11407" s="9">
        <v>3.2702764922724574</v>
      </c>
    </row>
    <row r="11408" spans="40:42" x14ac:dyDescent="0.3">
      <c r="AN11408">
        <v>11404</v>
      </c>
      <c r="AO11408" s="11">
        <v>24566.31</v>
      </c>
      <c r="AP11408" s="9">
        <v>3.622792921979058</v>
      </c>
    </row>
    <row r="11409" spans="40:42" x14ac:dyDescent="0.3">
      <c r="AN11409">
        <v>11405</v>
      </c>
      <c r="AO11409" s="11">
        <v>27969.43</v>
      </c>
      <c r="AP11409" s="9">
        <v>3.6981542527930706</v>
      </c>
    </row>
    <row r="11410" spans="40:42" x14ac:dyDescent="0.3">
      <c r="AN11410">
        <v>11406</v>
      </c>
      <c r="AO11410" s="11">
        <v>17702.23</v>
      </c>
      <c r="AP11410" s="9">
        <v>3.5180504653829918</v>
      </c>
    </row>
    <row r="11411" spans="40:42" x14ac:dyDescent="0.3">
      <c r="AN11411">
        <v>11407</v>
      </c>
      <c r="AO11411" s="11">
        <v>34532.019999999997</v>
      </c>
      <c r="AP11411" s="9">
        <v>4.0940092161691144</v>
      </c>
    </row>
    <row r="11412" spans="40:42" x14ac:dyDescent="0.3">
      <c r="AN11412">
        <v>11408</v>
      </c>
      <c r="AO11412" s="11">
        <v>21753.54</v>
      </c>
      <c r="AP11412" s="9">
        <v>2.4620007924794778</v>
      </c>
    </row>
    <row r="11413" spans="40:42" x14ac:dyDescent="0.3">
      <c r="AN11413">
        <v>11409</v>
      </c>
      <c r="AO11413" s="11">
        <v>34217.74</v>
      </c>
      <c r="AP11413" s="9">
        <v>3.6321592764588604</v>
      </c>
    </row>
    <row r="11414" spans="40:42" x14ac:dyDescent="0.3">
      <c r="AN11414">
        <v>11410</v>
      </c>
      <c r="AO11414" s="11">
        <v>31092.75</v>
      </c>
      <c r="AP11414" s="9">
        <v>3.2323199766966182</v>
      </c>
    </row>
    <row r="11415" spans="40:42" x14ac:dyDescent="0.3">
      <c r="AN11415">
        <v>11411</v>
      </c>
      <c r="AO11415" s="11">
        <v>21035.59</v>
      </c>
      <c r="AP11415" s="9">
        <v>3.5369432313489249</v>
      </c>
    </row>
    <row r="11416" spans="40:42" x14ac:dyDescent="0.3">
      <c r="AN11416">
        <v>11412</v>
      </c>
      <c r="AO11416" s="11">
        <v>20015.650000000001</v>
      </c>
      <c r="AP11416" s="9">
        <v>2.6868013122597705</v>
      </c>
    </row>
    <row r="11417" spans="40:42" x14ac:dyDescent="0.3">
      <c r="AN11417">
        <v>11413</v>
      </c>
      <c r="AO11417" s="11">
        <v>29103.279999999999</v>
      </c>
      <c r="AP11417" s="9">
        <v>3.4503982220133032</v>
      </c>
    </row>
    <row r="11418" spans="40:42" x14ac:dyDescent="0.3">
      <c r="AN11418">
        <v>11414</v>
      </c>
      <c r="AO11418" s="11">
        <v>13875.12</v>
      </c>
      <c r="AP11418" s="9">
        <v>2.7688438142398248</v>
      </c>
    </row>
    <row r="11419" spans="40:42" x14ac:dyDescent="0.3">
      <c r="AN11419">
        <v>11415</v>
      </c>
      <c r="AO11419" s="11">
        <v>19914.22</v>
      </c>
      <c r="AP11419" s="9">
        <v>3.2677078834584545</v>
      </c>
    </row>
    <row r="11420" spans="40:42" x14ac:dyDescent="0.3">
      <c r="AN11420">
        <v>11416</v>
      </c>
      <c r="AO11420" s="11">
        <v>21121.31</v>
      </c>
      <c r="AP11420" s="9">
        <v>3.2712715258934244</v>
      </c>
    </row>
    <row r="11421" spans="40:42" x14ac:dyDescent="0.3">
      <c r="AN11421">
        <v>11417</v>
      </c>
      <c r="AO11421" s="11">
        <v>26174.68</v>
      </c>
      <c r="AP11421" s="9">
        <v>3.152559001737496</v>
      </c>
    </row>
    <row r="11422" spans="40:42" x14ac:dyDescent="0.3">
      <c r="AN11422">
        <v>11418</v>
      </c>
      <c r="AO11422" s="11">
        <v>34998.18</v>
      </c>
      <c r="AP11422" s="9">
        <v>4.1375094170758784</v>
      </c>
    </row>
    <row r="11423" spans="40:42" x14ac:dyDescent="0.3">
      <c r="AN11423">
        <v>11419</v>
      </c>
      <c r="AO11423" s="11">
        <v>29554.93</v>
      </c>
      <c r="AP11423" s="9">
        <v>3.2699982041011135</v>
      </c>
    </row>
    <row r="11424" spans="40:42" x14ac:dyDescent="0.3">
      <c r="AN11424">
        <v>11420</v>
      </c>
      <c r="AO11424" s="11">
        <v>17123.330000000002</v>
      </c>
      <c r="AP11424" s="9">
        <v>3.018428164252247</v>
      </c>
    </row>
    <row r="11425" spans="40:42" x14ac:dyDescent="0.3">
      <c r="AN11425">
        <v>11421</v>
      </c>
      <c r="AO11425" s="11">
        <v>22988.15</v>
      </c>
      <c r="AP11425" s="9">
        <v>3.1942478068905835</v>
      </c>
    </row>
    <row r="11426" spans="40:42" x14ac:dyDescent="0.3">
      <c r="AN11426">
        <v>11422</v>
      </c>
      <c r="AO11426" s="11">
        <v>28497.33</v>
      </c>
      <c r="AP11426" s="9">
        <v>3.6384362823915679</v>
      </c>
    </row>
    <row r="11427" spans="40:42" x14ac:dyDescent="0.3">
      <c r="AN11427">
        <v>11423</v>
      </c>
      <c r="AO11427" s="11">
        <v>42098.01</v>
      </c>
      <c r="AP11427" s="9">
        <v>4.2551674833250903</v>
      </c>
    </row>
    <row r="11428" spans="40:42" x14ac:dyDescent="0.3">
      <c r="AN11428">
        <v>11424</v>
      </c>
      <c r="AO11428" s="11">
        <v>21681.08</v>
      </c>
      <c r="AP11428" s="9">
        <v>3.1061255048205156</v>
      </c>
    </row>
    <row r="11429" spans="40:42" x14ac:dyDescent="0.3">
      <c r="AN11429">
        <v>11425</v>
      </c>
      <c r="AO11429" s="11">
        <v>14004.64</v>
      </c>
      <c r="AP11429" s="9">
        <v>2.6802900934754059</v>
      </c>
    </row>
    <row r="11430" spans="40:42" x14ac:dyDescent="0.3">
      <c r="AN11430">
        <v>11426</v>
      </c>
      <c r="AO11430" s="11">
        <v>41712.67</v>
      </c>
      <c r="AP11430" s="9">
        <v>3.8673159505267858</v>
      </c>
    </row>
    <row r="11431" spans="40:42" x14ac:dyDescent="0.3">
      <c r="AN11431">
        <v>11427</v>
      </c>
      <c r="AO11431" s="11">
        <v>25185.39</v>
      </c>
      <c r="AP11431" s="9">
        <v>2.8228165571716195</v>
      </c>
    </row>
    <row r="11432" spans="40:42" x14ac:dyDescent="0.3">
      <c r="AN11432">
        <v>11428</v>
      </c>
      <c r="AO11432" s="11">
        <v>33286.129999999997</v>
      </c>
      <c r="AP11432" s="9">
        <v>3.9926103176213359</v>
      </c>
    </row>
    <row r="11433" spans="40:42" x14ac:dyDescent="0.3">
      <c r="AN11433">
        <v>11429</v>
      </c>
      <c r="AO11433" s="11">
        <v>33992.239999999998</v>
      </c>
      <c r="AP11433" s="9">
        <v>3.5545360824000216</v>
      </c>
    </row>
    <row r="11434" spans="40:42" x14ac:dyDescent="0.3">
      <c r="AN11434">
        <v>11430</v>
      </c>
      <c r="AO11434" s="11">
        <v>37587.089999999997</v>
      </c>
      <c r="AP11434" s="9">
        <v>3.9409905600786712</v>
      </c>
    </row>
    <row r="11435" spans="40:42" x14ac:dyDescent="0.3">
      <c r="AN11435">
        <v>11431</v>
      </c>
      <c r="AO11435" s="11">
        <v>35122.86</v>
      </c>
      <c r="AP11435" s="9">
        <v>3.2259217062745216</v>
      </c>
    </row>
    <row r="11436" spans="40:42" x14ac:dyDescent="0.3">
      <c r="AN11436">
        <v>11432</v>
      </c>
      <c r="AO11436" s="11">
        <v>29280.799999999999</v>
      </c>
      <c r="AP11436" s="9">
        <v>4.4582149413154069</v>
      </c>
    </row>
    <row r="11437" spans="40:42" x14ac:dyDescent="0.3">
      <c r="AN11437">
        <v>11433</v>
      </c>
      <c r="AO11437" s="11">
        <v>25963.73</v>
      </c>
      <c r="AP11437" s="9">
        <v>3.4679147364085874</v>
      </c>
    </row>
    <row r="11438" spans="40:42" x14ac:dyDescent="0.3">
      <c r="AN11438">
        <v>11434</v>
      </c>
      <c r="AO11438" s="11">
        <v>23709.25</v>
      </c>
      <c r="AP11438" s="9">
        <v>3.6539942095936881</v>
      </c>
    </row>
    <row r="11439" spans="40:42" x14ac:dyDescent="0.3">
      <c r="AN11439">
        <v>11435</v>
      </c>
      <c r="AO11439" s="11">
        <v>27366.42</v>
      </c>
      <c r="AP11439" s="9">
        <v>3.0333684682357123</v>
      </c>
    </row>
    <row r="11440" spans="40:42" x14ac:dyDescent="0.3">
      <c r="AN11440">
        <v>11436</v>
      </c>
      <c r="AO11440" s="11">
        <v>31944.77</v>
      </c>
      <c r="AP11440" s="9">
        <v>3.3014247007855677</v>
      </c>
    </row>
    <row r="11441" spans="40:42" x14ac:dyDescent="0.3">
      <c r="AN11441">
        <v>11437</v>
      </c>
      <c r="AO11441" s="11">
        <v>25431.62</v>
      </c>
      <c r="AP11441" s="9">
        <v>3.1538274398220034</v>
      </c>
    </row>
    <row r="11442" spans="40:42" x14ac:dyDescent="0.3">
      <c r="AN11442">
        <v>11438</v>
      </c>
      <c r="AO11442" s="11">
        <v>19018.46</v>
      </c>
      <c r="AP11442" s="9">
        <v>3.2684058167879284</v>
      </c>
    </row>
    <row r="11443" spans="40:42" x14ac:dyDescent="0.3">
      <c r="AN11443">
        <v>11439</v>
      </c>
      <c r="AO11443" s="11">
        <v>30771.22</v>
      </c>
      <c r="AP11443" s="9">
        <v>3.2206323903709602</v>
      </c>
    </row>
    <row r="11444" spans="40:42" x14ac:dyDescent="0.3">
      <c r="AN11444">
        <v>11440</v>
      </c>
      <c r="AO11444" s="11">
        <v>23366.65</v>
      </c>
      <c r="AP11444" s="9">
        <v>3.2481575582064242</v>
      </c>
    </row>
    <row r="11445" spans="40:42" x14ac:dyDescent="0.3">
      <c r="AN11445">
        <v>11441</v>
      </c>
      <c r="AO11445" s="11">
        <v>28780.880000000001</v>
      </c>
      <c r="AP11445" s="9">
        <v>3.4123426191323873</v>
      </c>
    </row>
    <row r="11446" spans="40:42" x14ac:dyDescent="0.3">
      <c r="AN11446">
        <v>11442</v>
      </c>
      <c r="AO11446" s="11">
        <v>38768.17</v>
      </c>
      <c r="AP11446" s="9">
        <v>3.5129607663266325</v>
      </c>
    </row>
    <row r="11447" spans="40:42" x14ac:dyDescent="0.3">
      <c r="AN11447">
        <v>11443</v>
      </c>
      <c r="AO11447" s="11">
        <v>28682.57</v>
      </c>
      <c r="AP11447" s="9">
        <v>3.0379905103640694</v>
      </c>
    </row>
    <row r="11448" spans="40:42" x14ac:dyDescent="0.3">
      <c r="AN11448">
        <v>11444</v>
      </c>
      <c r="AO11448" s="11">
        <v>20166.169999999998</v>
      </c>
      <c r="AP11448" s="9">
        <v>2.7802452603832291</v>
      </c>
    </row>
    <row r="11449" spans="40:42" x14ac:dyDescent="0.3">
      <c r="AN11449">
        <v>11445</v>
      </c>
      <c r="AO11449" s="11">
        <v>24227.02</v>
      </c>
      <c r="AP11449" s="9">
        <v>3.4348423760004763</v>
      </c>
    </row>
    <row r="11450" spans="40:42" x14ac:dyDescent="0.3">
      <c r="AN11450">
        <v>11446</v>
      </c>
      <c r="AO11450" s="11">
        <v>41241.58</v>
      </c>
      <c r="AP11450" s="9">
        <v>3.6379323937904173</v>
      </c>
    </row>
    <row r="11451" spans="40:42" x14ac:dyDescent="0.3">
      <c r="AN11451">
        <v>11447</v>
      </c>
      <c r="AO11451" s="11">
        <v>48533.67</v>
      </c>
      <c r="AP11451" s="9">
        <v>4.1014231377363215</v>
      </c>
    </row>
    <row r="11452" spans="40:42" x14ac:dyDescent="0.3">
      <c r="AN11452">
        <v>11448</v>
      </c>
      <c r="AO11452" s="11">
        <v>41276.78</v>
      </c>
      <c r="AP11452" s="9">
        <v>4.0027601940234865</v>
      </c>
    </row>
    <row r="11453" spans="40:42" x14ac:dyDescent="0.3">
      <c r="AN11453">
        <v>11449</v>
      </c>
      <c r="AO11453" s="11">
        <v>30756.53</v>
      </c>
      <c r="AP11453" s="9">
        <v>3.3022576528418432</v>
      </c>
    </row>
    <row r="11454" spans="40:42" x14ac:dyDescent="0.3">
      <c r="AN11454">
        <v>11450</v>
      </c>
      <c r="AO11454" s="11">
        <v>21950.27</v>
      </c>
      <c r="AP11454" s="9">
        <v>2.7069980057191896</v>
      </c>
    </row>
    <row r="11455" spans="40:42" x14ac:dyDescent="0.3">
      <c r="AN11455">
        <v>11451</v>
      </c>
      <c r="AO11455" s="11">
        <v>14620.99</v>
      </c>
      <c r="AP11455" s="9">
        <v>2.8025636538984546</v>
      </c>
    </row>
    <row r="11456" spans="40:42" x14ac:dyDescent="0.3">
      <c r="AN11456">
        <v>11452</v>
      </c>
      <c r="AO11456" s="11">
        <v>39576.080000000002</v>
      </c>
      <c r="AP11456" s="9">
        <v>3.614135406114737</v>
      </c>
    </row>
    <row r="11457" spans="40:42" x14ac:dyDescent="0.3">
      <c r="AN11457">
        <v>11453</v>
      </c>
      <c r="AO11457" s="11">
        <v>28122.6</v>
      </c>
      <c r="AP11457" s="9">
        <v>3.1773260562591745</v>
      </c>
    </row>
    <row r="11458" spans="40:42" x14ac:dyDescent="0.3">
      <c r="AN11458">
        <v>11454</v>
      </c>
      <c r="AO11458" s="11">
        <v>35582.239999999998</v>
      </c>
      <c r="AP11458" s="9">
        <v>3.3622954919297432</v>
      </c>
    </row>
    <row r="11459" spans="40:42" x14ac:dyDescent="0.3">
      <c r="AN11459">
        <v>11455</v>
      </c>
      <c r="AO11459" s="11">
        <v>39600.769999999997</v>
      </c>
      <c r="AP11459" s="9">
        <v>3.7203204734085102</v>
      </c>
    </row>
    <row r="11460" spans="40:42" x14ac:dyDescent="0.3">
      <c r="AN11460">
        <v>11456</v>
      </c>
      <c r="AO11460" s="11">
        <v>21149.95</v>
      </c>
      <c r="AP11460" s="9">
        <v>3.1577949414285285</v>
      </c>
    </row>
    <row r="11461" spans="40:42" x14ac:dyDescent="0.3">
      <c r="AN11461">
        <v>11457</v>
      </c>
      <c r="AO11461" s="11">
        <v>39520.400000000001</v>
      </c>
      <c r="AP11461" s="9">
        <v>3.4288664768965207</v>
      </c>
    </row>
    <row r="11462" spans="40:42" x14ac:dyDescent="0.3">
      <c r="AN11462">
        <v>11458</v>
      </c>
      <c r="AO11462" s="11">
        <v>17451.990000000002</v>
      </c>
      <c r="AP11462" s="9">
        <v>2.8312460010383416</v>
      </c>
    </row>
    <row r="11463" spans="40:42" x14ac:dyDescent="0.3">
      <c r="AN11463">
        <v>11459</v>
      </c>
      <c r="AO11463" s="11">
        <v>20961.37</v>
      </c>
      <c r="AP11463" s="9">
        <v>3.27078251394496</v>
      </c>
    </row>
    <row r="11464" spans="40:42" x14ac:dyDescent="0.3">
      <c r="AN11464">
        <v>11460</v>
      </c>
      <c r="AO11464" s="11">
        <v>54914.83</v>
      </c>
      <c r="AP11464" s="9">
        <v>3.8550734602476981</v>
      </c>
    </row>
    <row r="11465" spans="40:42" x14ac:dyDescent="0.3">
      <c r="AN11465">
        <v>11461</v>
      </c>
      <c r="AO11465" s="11">
        <v>26804.76</v>
      </c>
      <c r="AP11465" s="9">
        <v>3.4375527783910882</v>
      </c>
    </row>
    <row r="11466" spans="40:42" x14ac:dyDescent="0.3">
      <c r="AN11466">
        <v>11462</v>
      </c>
      <c r="AO11466" s="11">
        <v>31502.21</v>
      </c>
      <c r="AP11466" s="9">
        <v>3.4708872695862949</v>
      </c>
    </row>
    <row r="11467" spans="40:42" x14ac:dyDescent="0.3">
      <c r="AN11467">
        <v>11463</v>
      </c>
      <c r="AO11467" s="11">
        <v>21074.73</v>
      </c>
      <c r="AP11467" s="9">
        <v>2.9591264886071209</v>
      </c>
    </row>
    <row r="11468" spans="40:42" x14ac:dyDescent="0.3">
      <c r="AN11468">
        <v>11464</v>
      </c>
      <c r="AO11468" s="11">
        <v>26089.07</v>
      </c>
      <c r="AP11468" s="9">
        <v>3.5338193228008898</v>
      </c>
    </row>
    <row r="11469" spans="40:42" x14ac:dyDescent="0.3">
      <c r="AN11469">
        <v>11465</v>
      </c>
      <c r="AO11469" s="11">
        <v>20572.62</v>
      </c>
      <c r="AP11469" s="9">
        <v>3.6968340105122328</v>
      </c>
    </row>
    <row r="11470" spans="40:42" x14ac:dyDescent="0.3">
      <c r="AN11470">
        <v>11466</v>
      </c>
      <c r="AO11470" s="11">
        <v>22185.75</v>
      </c>
      <c r="AP11470" s="9">
        <v>3.2269691021839009</v>
      </c>
    </row>
    <row r="11471" spans="40:42" x14ac:dyDescent="0.3">
      <c r="AN11471">
        <v>11467</v>
      </c>
      <c r="AO11471" s="11">
        <v>13157.71</v>
      </c>
      <c r="AP11471" s="9">
        <v>2.7329622821051647</v>
      </c>
    </row>
    <row r="11472" spans="40:42" x14ac:dyDescent="0.3">
      <c r="AN11472">
        <v>11468</v>
      </c>
      <c r="AO11472" s="11">
        <v>20636.59</v>
      </c>
      <c r="AP11472" s="9">
        <v>2.8755842632675912</v>
      </c>
    </row>
    <row r="11473" spans="40:42" x14ac:dyDescent="0.3">
      <c r="AN11473">
        <v>11469</v>
      </c>
      <c r="AO11473" s="11">
        <v>32785.660000000003</v>
      </c>
      <c r="AP11473" s="9">
        <v>3.4146875422369498</v>
      </c>
    </row>
    <row r="11474" spans="40:42" x14ac:dyDescent="0.3">
      <c r="AN11474">
        <v>11470</v>
      </c>
      <c r="AO11474" s="11">
        <v>27230.66</v>
      </c>
      <c r="AP11474" s="9">
        <v>3.6978370215317811</v>
      </c>
    </row>
    <row r="11475" spans="40:42" x14ac:dyDescent="0.3">
      <c r="AN11475">
        <v>11471</v>
      </c>
      <c r="AO11475" s="11">
        <v>16201.9</v>
      </c>
      <c r="AP11475" s="9">
        <v>2.9876330283410457</v>
      </c>
    </row>
    <row r="11476" spans="40:42" x14ac:dyDescent="0.3">
      <c r="AN11476">
        <v>11472</v>
      </c>
      <c r="AO11476" s="11">
        <v>20022.939999999999</v>
      </c>
      <c r="AP11476" s="9">
        <v>2.8634723285202139</v>
      </c>
    </row>
    <row r="11477" spans="40:42" x14ac:dyDescent="0.3">
      <c r="AN11477">
        <v>11473</v>
      </c>
      <c r="AO11477" s="11">
        <v>21934.51</v>
      </c>
      <c r="AP11477" s="9">
        <v>3.2503902405807166</v>
      </c>
    </row>
    <row r="11478" spans="40:42" x14ac:dyDescent="0.3">
      <c r="AN11478">
        <v>11474</v>
      </c>
      <c r="AO11478" s="11">
        <v>35220.75</v>
      </c>
      <c r="AP11478" s="9">
        <v>3.4497076483944413</v>
      </c>
    </row>
    <row r="11479" spans="40:42" x14ac:dyDescent="0.3">
      <c r="AN11479">
        <v>11475</v>
      </c>
      <c r="AO11479" s="11">
        <v>33409.870000000003</v>
      </c>
      <c r="AP11479" s="9">
        <v>3.4616263805686649</v>
      </c>
    </row>
    <row r="11480" spans="40:42" x14ac:dyDescent="0.3">
      <c r="AN11480">
        <v>11476</v>
      </c>
      <c r="AO11480" s="11">
        <v>23074.67</v>
      </c>
      <c r="AP11480" s="9">
        <v>3.2619016413983144</v>
      </c>
    </row>
    <row r="11481" spans="40:42" x14ac:dyDescent="0.3">
      <c r="AN11481">
        <v>11477</v>
      </c>
      <c r="AO11481" s="11">
        <v>27662.2</v>
      </c>
      <c r="AP11481" s="9">
        <v>3.0673547909704273</v>
      </c>
    </row>
    <row r="11482" spans="40:42" x14ac:dyDescent="0.3">
      <c r="AN11482">
        <v>11478</v>
      </c>
      <c r="AO11482" s="11">
        <v>19462.990000000002</v>
      </c>
      <c r="AP11482" s="9">
        <v>3.3219200260309378</v>
      </c>
    </row>
    <row r="11483" spans="40:42" x14ac:dyDescent="0.3">
      <c r="AN11483">
        <v>11479</v>
      </c>
      <c r="AO11483" s="11">
        <v>40438.019999999997</v>
      </c>
      <c r="AP11483" s="9">
        <v>4.0919985130826415</v>
      </c>
    </row>
    <row r="11484" spans="40:42" x14ac:dyDescent="0.3">
      <c r="AN11484">
        <v>11480</v>
      </c>
      <c r="AO11484" s="11">
        <v>28461.07</v>
      </c>
      <c r="AP11484" s="9">
        <v>3.6050576160029966</v>
      </c>
    </row>
    <row r="11485" spans="40:42" x14ac:dyDescent="0.3">
      <c r="AN11485">
        <v>11481</v>
      </c>
      <c r="AO11485" s="11">
        <v>24195.27</v>
      </c>
      <c r="AP11485" s="9">
        <v>2.7912594500991639</v>
      </c>
    </row>
    <row r="11486" spans="40:42" x14ac:dyDescent="0.3">
      <c r="AN11486">
        <v>11482</v>
      </c>
      <c r="AO11486" s="11">
        <v>27461.32</v>
      </c>
      <c r="AP11486" s="9">
        <v>3.6271263196464019</v>
      </c>
    </row>
    <row r="11487" spans="40:42" x14ac:dyDescent="0.3">
      <c r="AN11487">
        <v>11483</v>
      </c>
      <c r="AO11487" s="11">
        <v>44722.03</v>
      </c>
      <c r="AP11487" s="9">
        <v>3.7911357523646609</v>
      </c>
    </row>
    <row r="11488" spans="40:42" x14ac:dyDescent="0.3">
      <c r="AN11488">
        <v>11484</v>
      </c>
      <c r="AO11488" s="11">
        <v>25049.54</v>
      </c>
      <c r="AP11488" s="9">
        <v>3.4893612615309788</v>
      </c>
    </row>
    <row r="11489" spans="40:42" x14ac:dyDescent="0.3">
      <c r="AN11489">
        <v>11485</v>
      </c>
      <c r="AO11489" s="11">
        <v>40002.78</v>
      </c>
      <c r="AP11489" s="9">
        <v>3.8209525146353553</v>
      </c>
    </row>
    <row r="11490" spans="40:42" x14ac:dyDescent="0.3">
      <c r="AN11490">
        <v>11486</v>
      </c>
      <c r="AO11490" s="11">
        <v>22444.52</v>
      </c>
      <c r="AP11490" s="9">
        <v>3.6326900169858218</v>
      </c>
    </row>
    <row r="11491" spans="40:42" x14ac:dyDescent="0.3">
      <c r="AN11491">
        <v>11487</v>
      </c>
      <c r="AO11491" s="11">
        <v>23804.98</v>
      </c>
      <c r="AP11491" s="9">
        <v>3.3136593440495368</v>
      </c>
    </row>
    <row r="11492" spans="40:42" x14ac:dyDescent="0.3">
      <c r="AN11492">
        <v>11488</v>
      </c>
      <c r="AO11492" s="11">
        <v>19359.259999999998</v>
      </c>
      <c r="AP11492" s="9">
        <v>3.5763733919810701</v>
      </c>
    </row>
    <row r="11493" spans="40:42" x14ac:dyDescent="0.3">
      <c r="AN11493">
        <v>11489</v>
      </c>
      <c r="AO11493" s="11">
        <v>34139.620000000003</v>
      </c>
      <c r="AP11493" s="9">
        <v>4.0928556389925239</v>
      </c>
    </row>
    <row r="11494" spans="40:42" x14ac:dyDescent="0.3">
      <c r="AN11494">
        <v>11490</v>
      </c>
      <c r="AO11494" s="11">
        <v>25113.93</v>
      </c>
      <c r="AP11494" s="9">
        <v>3.4294913174750108</v>
      </c>
    </row>
    <row r="11495" spans="40:42" x14ac:dyDescent="0.3">
      <c r="AN11495">
        <v>11491</v>
      </c>
      <c r="AO11495" s="11">
        <v>29434.98</v>
      </c>
      <c r="AP11495" s="9">
        <v>3.4420556866229726</v>
      </c>
    </row>
    <row r="11496" spans="40:42" x14ac:dyDescent="0.3">
      <c r="AN11496">
        <v>11492</v>
      </c>
      <c r="AO11496" s="11">
        <v>20463.75</v>
      </c>
      <c r="AP11496" s="9">
        <v>2.7967870430238393</v>
      </c>
    </row>
    <row r="11497" spans="40:42" x14ac:dyDescent="0.3">
      <c r="AN11497">
        <v>11493</v>
      </c>
      <c r="AO11497" s="11">
        <v>41676.29</v>
      </c>
      <c r="AP11497" s="9">
        <v>3.4075909806043549</v>
      </c>
    </row>
    <row r="11498" spans="40:42" x14ac:dyDescent="0.3">
      <c r="AN11498">
        <v>11494</v>
      </c>
      <c r="AO11498" s="11">
        <v>31873.07</v>
      </c>
      <c r="AP11498" s="9">
        <v>2.991561213438461</v>
      </c>
    </row>
    <row r="11499" spans="40:42" x14ac:dyDescent="0.3">
      <c r="AN11499">
        <v>11495</v>
      </c>
      <c r="AO11499" s="11">
        <v>26864.14</v>
      </c>
      <c r="AP11499" s="9">
        <v>3.7782253224237334</v>
      </c>
    </row>
    <row r="11500" spans="40:42" x14ac:dyDescent="0.3">
      <c r="AN11500">
        <v>11496</v>
      </c>
      <c r="AO11500" s="11">
        <v>40479.03</v>
      </c>
      <c r="AP11500" s="9">
        <v>3.4145047667410977</v>
      </c>
    </row>
    <row r="11501" spans="40:42" x14ac:dyDescent="0.3">
      <c r="AN11501">
        <v>11497</v>
      </c>
      <c r="AO11501" s="11">
        <v>21930.29</v>
      </c>
      <c r="AP11501" s="9">
        <v>3.6120677502415615</v>
      </c>
    </row>
    <row r="11502" spans="40:42" x14ac:dyDescent="0.3">
      <c r="AN11502">
        <v>11498</v>
      </c>
      <c r="AO11502" s="11">
        <v>20290.07</v>
      </c>
      <c r="AP11502" s="9">
        <v>3.4996338214380756</v>
      </c>
    </row>
    <row r="11503" spans="40:42" x14ac:dyDescent="0.3">
      <c r="AN11503">
        <v>11499</v>
      </c>
      <c r="AO11503" s="11">
        <v>23667.73</v>
      </c>
      <c r="AP11503" s="9">
        <v>3.6124088160244456</v>
      </c>
    </row>
    <row r="11504" spans="40:42" x14ac:dyDescent="0.3">
      <c r="AN11504">
        <v>11500</v>
      </c>
      <c r="AO11504" s="11">
        <v>24140.82</v>
      </c>
      <c r="AP11504" s="9">
        <v>3.9606496755032312</v>
      </c>
    </row>
    <row r="11505" spans="40:42" x14ac:dyDescent="0.3">
      <c r="AN11505">
        <v>11501</v>
      </c>
      <c r="AO11505" s="11">
        <v>19678.54</v>
      </c>
      <c r="AP11505" s="9">
        <v>3.9694305970039547</v>
      </c>
    </row>
    <row r="11506" spans="40:42" x14ac:dyDescent="0.3">
      <c r="AN11506">
        <v>11502</v>
      </c>
      <c r="AO11506" s="11">
        <v>25194.66</v>
      </c>
      <c r="AP11506" s="9">
        <v>2.4493655279767963</v>
      </c>
    </row>
    <row r="11507" spans="40:42" x14ac:dyDescent="0.3">
      <c r="AN11507">
        <v>11503</v>
      </c>
      <c r="AO11507" s="11">
        <v>35246.699999999997</v>
      </c>
      <c r="AP11507" s="9">
        <v>3.3144856879550764</v>
      </c>
    </row>
    <row r="11508" spans="40:42" x14ac:dyDescent="0.3">
      <c r="AN11508">
        <v>11504</v>
      </c>
      <c r="AO11508" s="11">
        <v>37115.050000000003</v>
      </c>
      <c r="AP11508" s="9">
        <v>4.223767306965037</v>
      </c>
    </row>
    <row r="11509" spans="40:42" x14ac:dyDescent="0.3">
      <c r="AN11509">
        <v>11505</v>
      </c>
      <c r="AO11509" s="11">
        <v>40307.29</v>
      </c>
      <c r="AP11509" s="9">
        <v>3.8602110994224614</v>
      </c>
    </row>
    <row r="11510" spans="40:42" x14ac:dyDescent="0.3">
      <c r="AN11510">
        <v>11506</v>
      </c>
      <c r="AO11510" s="11">
        <v>23094.54</v>
      </c>
      <c r="AP11510" s="9">
        <v>2.7017173124832223</v>
      </c>
    </row>
    <row r="11511" spans="40:42" x14ac:dyDescent="0.3">
      <c r="AN11511">
        <v>11507</v>
      </c>
      <c r="AO11511" s="11">
        <v>25917.39</v>
      </c>
      <c r="AP11511" s="9">
        <v>3.0251765390407153</v>
      </c>
    </row>
    <row r="11512" spans="40:42" x14ac:dyDescent="0.3">
      <c r="AN11512">
        <v>11508</v>
      </c>
      <c r="AO11512" s="11">
        <v>25554.49</v>
      </c>
      <c r="AP11512" s="9">
        <v>3.0913537883272322</v>
      </c>
    </row>
    <row r="11513" spans="40:42" x14ac:dyDescent="0.3">
      <c r="AN11513">
        <v>11509</v>
      </c>
      <c r="AO11513" s="11">
        <v>23067.41</v>
      </c>
      <c r="AP11513" s="9">
        <v>3.3895591714649913</v>
      </c>
    </row>
    <row r="11514" spans="40:42" x14ac:dyDescent="0.3">
      <c r="AN11514">
        <v>11510</v>
      </c>
      <c r="AO11514" s="11">
        <v>38003.85</v>
      </c>
      <c r="AP11514" s="9">
        <v>3.8803624775957601</v>
      </c>
    </row>
    <row r="11515" spans="40:42" x14ac:dyDescent="0.3">
      <c r="AN11515">
        <v>11511</v>
      </c>
      <c r="AO11515" s="11">
        <v>28489.01</v>
      </c>
      <c r="AP11515" s="9">
        <v>3.47051669364805</v>
      </c>
    </row>
    <row r="11516" spans="40:42" x14ac:dyDescent="0.3">
      <c r="AN11516">
        <v>11512</v>
      </c>
      <c r="AO11516" s="11">
        <v>37870.51</v>
      </c>
      <c r="AP11516" s="9">
        <v>4.1833533763269743</v>
      </c>
    </row>
    <row r="11517" spans="40:42" x14ac:dyDescent="0.3">
      <c r="AN11517">
        <v>11513</v>
      </c>
      <c r="AO11517" s="11">
        <v>25774.15</v>
      </c>
      <c r="AP11517" s="9">
        <v>2.8246631558754403</v>
      </c>
    </row>
    <row r="11518" spans="40:42" x14ac:dyDescent="0.3">
      <c r="AN11518">
        <v>11514</v>
      </c>
      <c r="AO11518" s="11">
        <v>27779.25</v>
      </c>
      <c r="AP11518" s="9">
        <v>4.0894297720269197</v>
      </c>
    </row>
    <row r="11519" spans="40:42" x14ac:dyDescent="0.3">
      <c r="AN11519">
        <v>11515</v>
      </c>
      <c r="AO11519" s="11">
        <v>26833.38</v>
      </c>
      <c r="AP11519" s="9">
        <v>3.0470275244715501</v>
      </c>
    </row>
    <row r="11520" spans="40:42" x14ac:dyDescent="0.3">
      <c r="AN11520">
        <v>11516</v>
      </c>
      <c r="AO11520" s="11">
        <v>20787.939999999999</v>
      </c>
      <c r="AP11520" s="9">
        <v>3.0661053766786854</v>
      </c>
    </row>
    <row r="11521" spans="40:42" x14ac:dyDescent="0.3">
      <c r="AN11521">
        <v>11517</v>
      </c>
      <c r="AO11521" s="11">
        <v>16911.45</v>
      </c>
      <c r="AP11521" s="9">
        <v>3.370474783096332</v>
      </c>
    </row>
    <row r="11522" spans="40:42" x14ac:dyDescent="0.3">
      <c r="AN11522">
        <v>11518</v>
      </c>
      <c r="AO11522" s="11">
        <v>24582.73</v>
      </c>
      <c r="AP11522" s="9">
        <v>4.5193930719228383</v>
      </c>
    </row>
    <row r="11523" spans="40:42" x14ac:dyDescent="0.3">
      <c r="AN11523">
        <v>11519</v>
      </c>
      <c r="AO11523" s="11">
        <v>22456.59</v>
      </c>
      <c r="AP11523" s="9">
        <v>3.0723216596874754</v>
      </c>
    </row>
    <row r="11524" spans="40:42" x14ac:dyDescent="0.3">
      <c r="AN11524">
        <v>11520</v>
      </c>
      <c r="AO11524" s="11">
        <v>25187.73</v>
      </c>
      <c r="AP11524" s="9">
        <v>3.369799028512821</v>
      </c>
    </row>
    <row r="11525" spans="40:42" x14ac:dyDescent="0.3">
      <c r="AN11525">
        <v>11521</v>
      </c>
      <c r="AO11525" s="11">
        <v>19017.939999999999</v>
      </c>
      <c r="AP11525" s="9">
        <v>3.7249917143147964</v>
      </c>
    </row>
    <row r="11526" spans="40:42" x14ac:dyDescent="0.3">
      <c r="AN11526">
        <v>11522</v>
      </c>
      <c r="AO11526" s="11">
        <v>26969.77</v>
      </c>
      <c r="AP11526" s="9">
        <v>3.8595562847682765</v>
      </c>
    </row>
    <row r="11527" spans="40:42" x14ac:dyDescent="0.3">
      <c r="AN11527">
        <v>11523</v>
      </c>
      <c r="AO11527" s="11">
        <v>59135.57</v>
      </c>
      <c r="AP11527" s="9">
        <v>3.8993797504686536</v>
      </c>
    </row>
    <row r="11528" spans="40:42" x14ac:dyDescent="0.3">
      <c r="AN11528">
        <v>11524</v>
      </c>
      <c r="AO11528" s="11">
        <v>25190.48</v>
      </c>
      <c r="AP11528" s="9">
        <v>3.3205282523725623</v>
      </c>
    </row>
    <row r="11529" spans="40:42" x14ac:dyDescent="0.3">
      <c r="AN11529">
        <v>11525</v>
      </c>
      <c r="AO11529" s="11">
        <v>24010.04</v>
      </c>
      <c r="AP11529" s="9">
        <v>3.5923470068937711</v>
      </c>
    </row>
    <row r="11530" spans="40:42" x14ac:dyDescent="0.3">
      <c r="AN11530">
        <v>11526</v>
      </c>
      <c r="AO11530" s="11">
        <v>26637.18</v>
      </c>
      <c r="AP11530" s="9">
        <v>3.6590834481163363</v>
      </c>
    </row>
    <row r="11531" spans="40:42" x14ac:dyDescent="0.3">
      <c r="AN11531">
        <v>11527</v>
      </c>
      <c r="AO11531" s="11">
        <v>24963.19</v>
      </c>
      <c r="AP11531" s="9">
        <v>2.6354287250724657</v>
      </c>
    </row>
    <row r="11532" spans="40:42" x14ac:dyDescent="0.3">
      <c r="AN11532">
        <v>11528</v>
      </c>
      <c r="AO11532" s="11">
        <v>29866.400000000001</v>
      </c>
      <c r="AP11532" s="9">
        <v>3.8286034915210299</v>
      </c>
    </row>
    <row r="11533" spans="40:42" x14ac:dyDescent="0.3">
      <c r="AN11533">
        <v>11529</v>
      </c>
      <c r="AO11533" s="11">
        <v>38032.07</v>
      </c>
      <c r="AP11533" s="9">
        <v>3.5853072521697418</v>
      </c>
    </row>
    <row r="11534" spans="40:42" x14ac:dyDescent="0.3">
      <c r="AN11534">
        <v>11530</v>
      </c>
      <c r="AO11534" s="11">
        <v>15742.01</v>
      </c>
      <c r="AP11534" s="9">
        <v>3.6000646817656676</v>
      </c>
    </row>
    <row r="11535" spans="40:42" x14ac:dyDescent="0.3">
      <c r="AN11535">
        <v>11531</v>
      </c>
      <c r="AO11535" s="11">
        <v>25037.23</v>
      </c>
      <c r="AP11535" s="9">
        <v>3.2038968236000565</v>
      </c>
    </row>
    <row r="11536" spans="40:42" x14ac:dyDescent="0.3">
      <c r="AN11536">
        <v>11532</v>
      </c>
      <c r="AO11536" s="11">
        <v>33659.19</v>
      </c>
      <c r="AP11536" s="9">
        <v>3.8840237998723377</v>
      </c>
    </row>
    <row r="11537" spans="40:42" x14ac:dyDescent="0.3">
      <c r="AN11537">
        <v>11533</v>
      </c>
      <c r="AO11537" s="11">
        <v>25787.66</v>
      </c>
      <c r="AP11537" s="9">
        <v>3.3207812803971222</v>
      </c>
    </row>
    <row r="11538" spans="40:42" x14ac:dyDescent="0.3">
      <c r="AN11538">
        <v>11534</v>
      </c>
      <c r="AO11538" s="11">
        <v>32714.69</v>
      </c>
      <c r="AP11538" s="9">
        <v>3.9485182400746761</v>
      </c>
    </row>
    <row r="11539" spans="40:42" x14ac:dyDescent="0.3">
      <c r="AN11539">
        <v>11535</v>
      </c>
      <c r="AO11539" s="11">
        <v>31174.89</v>
      </c>
      <c r="AP11539" s="9">
        <v>3.7735627115662167</v>
      </c>
    </row>
    <row r="11540" spans="40:42" x14ac:dyDescent="0.3">
      <c r="AN11540">
        <v>11536</v>
      </c>
      <c r="AO11540" s="11">
        <v>18508.41</v>
      </c>
      <c r="AP11540" s="9">
        <v>3.2480002639969481</v>
      </c>
    </row>
    <row r="11541" spans="40:42" x14ac:dyDescent="0.3">
      <c r="AN11541">
        <v>11537</v>
      </c>
      <c r="AO11541" s="11">
        <v>17636.79</v>
      </c>
      <c r="AP11541" s="9">
        <v>3.2838804431183575</v>
      </c>
    </row>
    <row r="11542" spans="40:42" x14ac:dyDescent="0.3">
      <c r="AN11542">
        <v>11538</v>
      </c>
      <c r="AO11542" s="11">
        <v>28401.59</v>
      </c>
      <c r="AP11542" s="9">
        <v>3.5758185159731517</v>
      </c>
    </row>
    <row r="11543" spans="40:42" x14ac:dyDescent="0.3">
      <c r="AN11543">
        <v>11539</v>
      </c>
      <c r="AO11543" s="11">
        <v>44626.79</v>
      </c>
      <c r="AP11543" s="9">
        <v>4.1865921035283513</v>
      </c>
    </row>
    <row r="11544" spans="40:42" x14ac:dyDescent="0.3">
      <c r="AN11544">
        <v>11540</v>
      </c>
      <c r="AO11544" s="11">
        <v>20422.099999999999</v>
      </c>
      <c r="AP11544" s="9">
        <v>3.8299349685123807</v>
      </c>
    </row>
    <row r="11545" spans="40:42" x14ac:dyDescent="0.3">
      <c r="AN11545">
        <v>11541</v>
      </c>
      <c r="AO11545" s="11">
        <v>50539.47</v>
      </c>
      <c r="AP11545" s="9">
        <v>5.0847598699292904</v>
      </c>
    </row>
    <row r="11546" spans="40:42" x14ac:dyDescent="0.3">
      <c r="AN11546">
        <v>11542</v>
      </c>
      <c r="AO11546" s="11">
        <v>30819.14</v>
      </c>
      <c r="AP11546" s="9">
        <v>3.191314260876394</v>
      </c>
    </row>
    <row r="11547" spans="40:42" x14ac:dyDescent="0.3">
      <c r="AN11547">
        <v>11543</v>
      </c>
      <c r="AO11547" s="11">
        <v>23969.759999999998</v>
      </c>
      <c r="AP11547" s="9">
        <v>3.417376326954388</v>
      </c>
    </row>
    <row r="11548" spans="40:42" x14ac:dyDescent="0.3">
      <c r="AN11548">
        <v>11544</v>
      </c>
      <c r="AO11548" s="11">
        <v>26607.27</v>
      </c>
      <c r="AP11548" s="9">
        <v>3.9885267922502239</v>
      </c>
    </row>
    <row r="11549" spans="40:42" x14ac:dyDescent="0.3">
      <c r="AN11549">
        <v>11545</v>
      </c>
      <c r="AO11549" s="11">
        <v>31510.55</v>
      </c>
      <c r="AP11549" s="9">
        <v>3.6588801084804938</v>
      </c>
    </row>
    <row r="11550" spans="40:42" x14ac:dyDescent="0.3">
      <c r="AN11550">
        <v>11546</v>
      </c>
      <c r="AO11550" s="11">
        <v>25018.75</v>
      </c>
      <c r="AP11550" s="9">
        <v>3.3670785788469222</v>
      </c>
    </row>
    <row r="11551" spans="40:42" x14ac:dyDescent="0.3">
      <c r="AN11551">
        <v>11547</v>
      </c>
      <c r="AO11551" s="11">
        <v>40077.879999999997</v>
      </c>
      <c r="AP11551" s="9">
        <v>3.3199181254850885</v>
      </c>
    </row>
    <row r="11552" spans="40:42" x14ac:dyDescent="0.3">
      <c r="AN11552">
        <v>11548</v>
      </c>
      <c r="AO11552" s="11">
        <v>37776.53</v>
      </c>
      <c r="AP11552" s="9">
        <v>3.9979876237132461</v>
      </c>
    </row>
    <row r="11553" spans="40:42" x14ac:dyDescent="0.3">
      <c r="AN11553">
        <v>11549</v>
      </c>
      <c r="AO11553" s="11">
        <v>31384.15</v>
      </c>
      <c r="AP11553" s="9">
        <v>3.7772923377108341</v>
      </c>
    </row>
    <row r="11554" spans="40:42" x14ac:dyDescent="0.3">
      <c r="AN11554">
        <v>11550</v>
      </c>
      <c r="AO11554" s="11">
        <v>31597.8</v>
      </c>
      <c r="AP11554" s="9">
        <v>3.1664399656775268</v>
      </c>
    </row>
    <row r="11555" spans="40:42" x14ac:dyDescent="0.3">
      <c r="AN11555">
        <v>11551</v>
      </c>
      <c r="AO11555" s="11">
        <v>26917.31</v>
      </c>
      <c r="AP11555" s="9">
        <v>2.5747302432726191</v>
      </c>
    </row>
    <row r="11556" spans="40:42" x14ac:dyDescent="0.3">
      <c r="AN11556">
        <v>11552</v>
      </c>
      <c r="AO11556" s="11">
        <v>21084.71</v>
      </c>
      <c r="AP11556" s="9">
        <v>3.3444736988418007</v>
      </c>
    </row>
    <row r="11557" spans="40:42" x14ac:dyDescent="0.3">
      <c r="AN11557">
        <v>11553</v>
      </c>
      <c r="AO11557" s="11">
        <v>44603.58</v>
      </c>
      <c r="AP11557" s="9">
        <v>3.0153393367237622</v>
      </c>
    </row>
    <row r="11558" spans="40:42" x14ac:dyDescent="0.3">
      <c r="AN11558">
        <v>11554</v>
      </c>
      <c r="AO11558" s="11">
        <v>18966.810000000001</v>
      </c>
      <c r="AP11558" s="9">
        <v>3.033244100169282</v>
      </c>
    </row>
    <row r="11559" spans="40:42" x14ac:dyDescent="0.3">
      <c r="AN11559">
        <v>11555</v>
      </c>
      <c r="AO11559" s="11">
        <v>27921.72</v>
      </c>
      <c r="AP11559" s="9">
        <v>3.4485435352761664</v>
      </c>
    </row>
    <row r="11560" spans="40:42" x14ac:dyDescent="0.3">
      <c r="AN11560">
        <v>11556</v>
      </c>
      <c r="AO11560" s="11">
        <v>18994.13</v>
      </c>
      <c r="AP11560" s="9">
        <v>2.8825466193015674</v>
      </c>
    </row>
    <row r="11561" spans="40:42" x14ac:dyDescent="0.3">
      <c r="AN11561">
        <v>11557</v>
      </c>
      <c r="AO11561" s="11">
        <v>27064.04</v>
      </c>
      <c r="AP11561" s="9">
        <v>3.7808412483388971</v>
      </c>
    </row>
    <row r="11562" spans="40:42" x14ac:dyDescent="0.3">
      <c r="AN11562">
        <v>11558</v>
      </c>
      <c r="AO11562" s="11">
        <v>33712</v>
      </c>
      <c r="AP11562" s="9">
        <v>3.5508586365351804</v>
      </c>
    </row>
    <row r="11563" spans="40:42" x14ac:dyDescent="0.3">
      <c r="AN11563">
        <v>11559</v>
      </c>
      <c r="AO11563" s="11">
        <v>28701.16</v>
      </c>
      <c r="AP11563" s="9">
        <v>3.5858610505326696</v>
      </c>
    </row>
    <row r="11564" spans="40:42" x14ac:dyDescent="0.3">
      <c r="AN11564">
        <v>11560</v>
      </c>
      <c r="AO11564" s="11">
        <v>33581.9</v>
      </c>
      <c r="AP11564" s="9">
        <v>3.5423526838966772</v>
      </c>
    </row>
    <row r="11565" spans="40:42" x14ac:dyDescent="0.3">
      <c r="AN11565">
        <v>11561</v>
      </c>
      <c r="AO11565" s="11">
        <v>22466.28</v>
      </c>
      <c r="AP11565" s="9">
        <v>3.0341266735263401</v>
      </c>
    </row>
    <row r="11566" spans="40:42" x14ac:dyDescent="0.3">
      <c r="AN11566">
        <v>11562</v>
      </c>
      <c r="AO11566" s="11">
        <v>35370.120000000003</v>
      </c>
      <c r="AP11566" s="9">
        <v>3.398355070439536</v>
      </c>
    </row>
    <row r="11567" spans="40:42" x14ac:dyDescent="0.3">
      <c r="AN11567">
        <v>11563</v>
      </c>
      <c r="AO11567" s="11">
        <v>31112.1</v>
      </c>
      <c r="AP11567" s="9">
        <v>3.5080125912096429</v>
      </c>
    </row>
    <row r="11568" spans="40:42" x14ac:dyDescent="0.3">
      <c r="AN11568">
        <v>11564</v>
      </c>
      <c r="AO11568" s="11">
        <v>26150.53</v>
      </c>
      <c r="AP11568" s="9">
        <v>3.2305683727479955</v>
      </c>
    </row>
    <row r="11569" spans="40:42" x14ac:dyDescent="0.3">
      <c r="AN11569">
        <v>11565</v>
      </c>
      <c r="AO11569" s="11">
        <v>34046.43</v>
      </c>
      <c r="AP11569" s="9">
        <v>3.1967887689880161</v>
      </c>
    </row>
    <row r="11570" spans="40:42" x14ac:dyDescent="0.3">
      <c r="AN11570">
        <v>11566</v>
      </c>
      <c r="AO11570" s="11">
        <v>34553.660000000003</v>
      </c>
      <c r="AP11570" s="9">
        <v>3.0923113147962469</v>
      </c>
    </row>
    <row r="11571" spans="40:42" x14ac:dyDescent="0.3">
      <c r="AN11571">
        <v>11567</v>
      </c>
      <c r="AO11571" s="11">
        <v>21890.55</v>
      </c>
      <c r="AP11571" s="9">
        <v>3.4426149341805208</v>
      </c>
    </row>
    <row r="11572" spans="40:42" x14ac:dyDescent="0.3">
      <c r="AN11572">
        <v>11568</v>
      </c>
      <c r="AO11572" s="11">
        <v>23349.03</v>
      </c>
      <c r="AP11572" s="9">
        <v>3.400376084794678</v>
      </c>
    </row>
    <row r="11573" spans="40:42" x14ac:dyDescent="0.3">
      <c r="AN11573">
        <v>11569</v>
      </c>
      <c r="AO11573" s="11">
        <v>28093.25</v>
      </c>
      <c r="AP11573" s="9">
        <v>3.3321841415725126</v>
      </c>
    </row>
    <row r="11574" spans="40:42" x14ac:dyDescent="0.3">
      <c r="AN11574">
        <v>11570</v>
      </c>
      <c r="AO11574" s="11">
        <v>34427.89</v>
      </c>
      <c r="AP11574" s="9">
        <v>2.896126365010653</v>
      </c>
    </row>
    <row r="11575" spans="40:42" x14ac:dyDescent="0.3">
      <c r="AN11575">
        <v>11571</v>
      </c>
      <c r="AO11575" s="11">
        <v>21153.79</v>
      </c>
      <c r="AP11575" s="9">
        <v>3.5383038411528385</v>
      </c>
    </row>
    <row r="11576" spans="40:42" x14ac:dyDescent="0.3">
      <c r="AN11576">
        <v>11572</v>
      </c>
      <c r="AO11576" s="11">
        <v>39060.089999999997</v>
      </c>
      <c r="AP11576" s="9">
        <v>3.2911104156685034</v>
      </c>
    </row>
    <row r="11577" spans="40:42" x14ac:dyDescent="0.3">
      <c r="AN11577">
        <v>11573</v>
      </c>
      <c r="AO11577" s="11">
        <v>30821.599999999999</v>
      </c>
      <c r="AP11577" s="9">
        <v>4.3102490694467459</v>
      </c>
    </row>
    <row r="11578" spans="40:42" x14ac:dyDescent="0.3">
      <c r="AN11578">
        <v>11574</v>
      </c>
      <c r="AO11578" s="11">
        <v>24911.81</v>
      </c>
      <c r="AP11578" s="9">
        <v>3.2913959233431558</v>
      </c>
    </row>
    <row r="11579" spans="40:42" x14ac:dyDescent="0.3">
      <c r="AN11579">
        <v>11575</v>
      </c>
      <c r="AO11579" s="11">
        <v>28019.82</v>
      </c>
      <c r="AP11579" s="9">
        <v>3.1026409383182676</v>
      </c>
    </row>
    <row r="11580" spans="40:42" x14ac:dyDescent="0.3">
      <c r="AN11580">
        <v>11576</v>
      </c>
      <c r="AO11580" s="11">
        <v>36469.49</v>
      </c>
      <c r="AP11580" s="9">
        <v>3.0871410198444305</v>
      </c>
    </row>
    <row r="11581" spans="40:42" x14ac:dyDescent="0.3">
      <c r="AN11581">
        <v>11577</v>
      </c>
      <c r="AO11581" s="11">
        <v>42582.239999999998</v>
      </c>
      <c r="AP11581" s="9">
        <v>3.2307802104018513</v>
      </c>
    </row>
    <row r="11582" spans="40:42" x14ac:dyDescent="0.3">
      <c r="AN11582">
        <v>11578</v>
      </c>
      <c r="AO11582" s="11">
        <v>11803.88</v>
      </c>
      <c r="AP11582" s="9">
        <v>2.8183507655749902</v>
      </c>
    </row>
    <row r="11583" spans="40:42" x14ac:dyDescent="0.3">
      <c r="AN11583">
        <v>11579</v>
      </c>
      <c r="AO11583" s="11">
        <v>35076.120000000003</v>
      </c>
      <c r="AP11583" s="9">
        <v>3.7748723433098754</v>
      </c>
    </row>
    <row r="11584" spans="40:42" x14ac:dyDescent="0.3">
      <c r="AN11584">
        <v>11580</v>
      </c>
      <c r="AO11584" s="11">
        <v>27872.15</v>
      </c>
      <c r="AP11584" s="9">
        <v>3.8294573160372178</v>
      </c>
    </row>
    <row r="11585" spans="40:42" x14ac:dyDescent="0.3">
      <c r="AN11585">
        <v>11581</v>
      </c>
      <c r="AO11585" s="11">
        <v>37853.160000000003</v>
      </c>
      <c r="AP11585" s="9">
        <v>3.7222087331479132</v>
      </c>
    </row>
    <row r="11586" spans="40:42" x14ac:dyDescent="0.3">
      <c r="AN11586">
        <v>11582</v>
      </c>
      <c r="AO11586" s="11">
        <v>35711.660000000003</v>
      </c>
      <c r="AP11586" s="9">
        <v>3.6566895794823568</v>
      </c>
    </row>
    <row r="11587" spans="40:42" x14ac:dyDescent="0.3">
      <c r="AN11587">
        <v>11583</v>
      </c>
      <c r="AO11587" s="11">
        <v>26205.1</v>
      </c>
      <c r="AP11587" s="9">
        <v>2.8338036359913024</v>
      </c>
    </row>
    <row r="11588" spans="40:42" x14ac:dyDescent="0.3">
      <c r="AN11588">
        <v>11584</v>
      </c>
      <c r="AO11588" s="11">
        <v>31065.91</v>
      </c>
      <c r="AP11588" s="9">
        <v>3.4734414471555235</v>
      </c>
    </row>
    <row r="11589" spans="40:42" x14ac:dyDescent="0.3">
      <c r="AN11589">
        <v>11585</v>
      </c>
      <c r="AO11589" s="11">
        <v>20361.310000000001</v>
      </c>
      <c r="AP11589" s="9">
        <v>3.1016806532007473</v>
      </c>
    </row>
    <row r="11590" spans="40:42" x14ac:dyDescent="0.3">
      <c r="AN11590">
        <v>11586</v>
      </c>
      <c r="AO11590" s="11">
        <v>33335.65</v>
      </c>
      <c r="AP11590" s="9">
        <v>3.840309314069962</v>
      </c>
    </row>
    <row r="11591" spans="40:42" x14ac:dyDescent="0.3">
      <c r="AN11591">
        <v>11587</v>
      </c>
      <c r="AO11591" s="11">
        <v>25889.79</v>
      </c>
      <c r="AP11591" s="9">
        <v>3.646615918555665</v>
      </c>
    </row>
    <row r="11592" spans="40:42" x14ac:dyDescent="0.3">
      <c r="AN11592">
        <v>11588</v>
      </c>
      <c r="AO11592" s="11">
        <v>41535.57</v>
      </c>
      <c r="AP11592" s="9">
        <v>3.8278969266066198</v>
      </c>
    </row>
    <row r="11593" spans="40:42" x14ac:dyDescent="0.3">
      <c r="AN11593">
        <v>11589</v>
      </c>
      <c r="AO11593" s="11">
        <v>23420.78</v>
      </c>
      <c r="AP11593" s="9">
        <v>3.5059397910151588</v>
      </c>
    </row>
    <row r="11594" spans="40:42" x14ac:dyDescent="0.3">
      <c r="AN11594">
        <v>11590</v>
      </c>
      <c r="AO11594" s="11">
        <v>24146.42</v>
      </c>
      <c r="AP11594" s="9">
        <v>3.0951494804712714</v>
      </c>
    </row>
    <row r="11595" spans="40:42" x14ac:dyDescent="0.3">
      <c r="AN11595">
        <v>11591</v>
      </c>
      <c r="AO11595" s="11">
        <v>32351.439999999999</v>
      </c>
      <c r="AP11595" s="9">
        <v>3.163172765026069</v>
      </c>
    </row>
    <row r="11596" spans="40:42" x14ac:dyDescent="0.3">
      <c r="AN11596">
        <v>11592</v>
      </c>
      <c r="AO11596" s="11">
        <v>38173.33</v>
      </c>
      <c r="AP11596" s="9">
        <v>3.6127639873542141</v>
      </c>
    </row>
    <row r="11597" spans="40:42" x14ac:dyDescent="0.3">
      <c r="AN11597">
        <v>11593</v>
      </c>
      <c r="AO11597" s="11">
        <v>31473.43</v>
      </c>
      <c r="AP11597" s="9">
        <v>3.8281765621361905</v>
      </c>
    </row>
    <row r="11598" spans="40:42" x14ac:dyDescent="0.3">
      <c r="AN11598">
        <v>11594</v>
      </c>
      <c r="AO11598" s="11">
        <v>28151.61</v>
      </c>
      <c r="AP11598" s="9">
        <v>3.4977202607925633</v>
      </c>
    </row>
    <row r="11599" spans="40:42" x14ac:dyDescent="0.3">
      <c r="AN11599">
        <v>11595</v>
      </c>
      <c r="AO11599" s="11">
        <v>30774.39</v>
      </c>
      <c r="AP11599" s="9">
        <v>3.5256957783925085</v>
      </c>
    </row>
    <row r="11600" spans="40:42" x14ac:dyDescent="0.3">
      <c r="AN11600">
        <v>11596</v>
      </c>
      <c r="AO11600" s="11">
        <v>25949.69</v>
      </c>
      <c r="AP11600" s="9">
        <v>3.2407646969306181</v>
      </c>
    </row>
    <row r="11601" spans="40:42" x14ac:dyDescent="0.3">
      <c r="AN11601">
        <v>11597</v>
      </c>
      <c r="AO11601" s="11">
        <v>21286.71</v>
      </c>
      <c r="AP11601" s="9">
        <v>2.9151076978080859</v>
      </c>
    </row>
    <row r="11602" spans="40:42" x14ac:dyDescent="0.3">
      <c r="AN11602">
        <v>11598</v>
      </c>
      <c r="AO11602" s="11">
        <v>32768.78</v>
      </c>
      <c r="AP11602" s="9">
        <v>3.4665932230524059</v>
      </c>
    </row>
    <row r="11603" spans="40:42" x14ac:dyDescent="0.3">
      <c r="AN11603">
        <v>11599</v>
      </c>
      <c r="AO11603" s="11">
        <v>26328.7</v>
      </c>
      <c r="AP11603" s="9">
        <v>3.7003470716270215</v>
      </c>
    </row>
    <row r="11604" spans="40:42" x14ac:dyDescent="0.3">
      <c r="AN11604">
        <v>11600</v>
      </c>
      <c r="AO11604" s="11">
        <v>22324.66</v>
      </c>
      <c r="AP11604" s="9">
        <v>3.1929585390936825</v>
      </c>
    </row>
    <row r="11605" spans="40:42" x14ac:dyDescent="0.3">
      <c r="AN11605">
        <v>11601</v>
      </c>
      <c r="AO11605" s="11">
        <v>27566.720000000001</v>
      </c>
      <c r="AP11605" s="9">
        <v>4.1414796356744503</v>
      </c>
    </row>
    <row r="11606" spans="40:42" x14ac:dyDescent="0.3">
      <c r="AN11606">
        <v>11602</v>
      </c>
      <c r="AO11606" s="11">
        <v>26164.3</v>
      </c>
      <c r="AP11606" s="9">
        <v>3.8866929055164481</v>
      </c>
    </row>
    <row r="11607" spans="40:42" x14ac:dyDescent="0.3">
      <c r="AN11607">
        <v>11603</v>
      </c>
      <c r="AO11607" s="11">
        <v>34604.86</v>
      </c>
      <c r="AP11607" s="9">
        <v>3.4074521179765314</v>
      </c>
    </row>
    <row r="11608" spans="40:42" x14ac:dyDescent="0.3">
      <c r="AN11608">
        <v>11604</v>
      </c>
      <c r="AO11608" s="11">
        <v>27318.68</v>
      </c>
      <c r="AP11608" s="9">
        <v>3.2404514780847591</v>
      </c>
    </row>
    <row r="11609" spans="40:42" x14ac:dyDescent="0.3">
      <c r="AN11609">
        <v>11605</v>
      </c>
      <c r="AO11609" s="11">
        <v>27813.82</v>
      </c>
      <c r="AP11609" s="9">
        <v>3.1088858141965825</v>
      </c>
    </row>
    <row r="11610" spans="40:42" x14ac:dyDescent="0.3">
      <c r="AN11610">
        <v>11606</v>
      </c>
      <c r="AO11610" s="11">
        <v>27868.22</v>
      </c>
      <c r="AP11610" s="9">
        <v>3.8494938681810198</v>
      </c>
    </row>
    <row r="11611" spans="40:42" x14ac:dyDescent="0.3">
      <c r="AN11611">
        <v>11607</v>
      </c>
      <c r="AO11611" s="11">
        <v>22585.32</v>
      </c>
      <c r="AP11611" s="9">
        <v>3.3511730431480311</v>
      </c>
    </row>
    <row r="11612" spans="40:42" x14ac:dyDescent="0.3">
      <c r="AN11612">
        <v>11608</v>
      </c>
      <c r="AO11612" s="11">
        <v>26126.84</v>
      </c>
      <c r="AP11612" s="9">
        <v>3.3528942326741027</v>
      </c>
    </row>
    <row r="11613" spans="40:42" x14ac:dyDescent="0.3">
      <c r="AN11613">
        <v>11609</v>
      </c>
      <c r="AO11613" s="11">
        <v>22370.82</v>
      </c>
      <c r="AP11613" s="9">
        <v>3.4231402661206118</v>
      </c>
    </row>
    <row r="11614" spans="40:42" x14ac:dyDescent="0.3">
      <c r="AN11614">
        <v>11610</v>
      </c>
      <c r="AO11614" s="11">
        <v>34798.71</v>
      </c>
      <c r="AP11614" s="9">
        <v>3.3293548215502784</v>
      </c>
    </row>
    <row r="11615" spans="40:42" x14ac:dyDescent="0.3">
      <c r="AN11615">
        <v>11611</v>
      </c>
      <c r="AO11615" s="11">
        <v>15691.48</v>
      </c>
      <c r="AP11615" s="9">
        <v>2.8588307877153909</v>
      </c>
    </row>
    <row r="11616" spans="40:42" x14ac:dyDescent="0.3">
      <c r="AN11616">
        <v>11612</v>
      </c>
      <c r="AO11616" s="11">
        <v>22248.87</v>
      </c>
      <c r="AP11616" s="9">
        <v>2.9133266466499368</v>
      </c>
    </row>
    <row r="11617" spans="40:42" x14ac:dyDescent="0.3">
      <c r="AN11617">
        <v>11613</v>
      </c>
      <c r="AO11617" s="11">
        <v>28967.3</v>
      </c>
      <c r="AP11617" s="9">
        <v>3.101144561923193</v>
      </c>
    </row>
    <row r="11618" spans="40:42" x14ac:dyDescent="0.3">
      <c r="AN11618">
        <v>11614</v>
      </c>
      <c r="AO11618" s="11">
        <v>22077.31</v>
      </c>
      <c r="AP11618" s="9">
        <v>2.834828647054275</v>
      </c>
    </row>
    <row r="11619" spans="40:42" x14ac:dyDescent="0.3">
      <c r="AN11619">
        <v>11615</v>
      </c>
      <c r="AO11619" s="11">
        <v>32742.61</v>
      </c>
      <c r="AP11619" s="9">
        <v>4.4828720891524965</v>
      </c>
    </row>
    <row r="11620" spans="40:42" x14ac:dyDescent="0.3">
      <c r="AN11620">
        <v>11616</v>
      </c>
      <c r="AO11620" s="11">
        <v>41536.26</v>
      </c>
      <c r="AP11620" s="9">
        <v>3.7670769384505145</v>
      </c>
    </row>
    <row r="11621" spans="40:42" x14ac:dyDescent="0.3">
      <c r="AN11621">
        <v>11617</v>
      </c>
      <c r="AO11621" s="11">
        <v>36599.9</v>
      </c>
      <c r="AP11621" s="9">
        <v>3.2501423121417279</v>
      </c>
    </row>
    <row r="11622" spans="40:42" x14ac:dyDescent="0.3">
      <c r="AN11622">
        <v>11618</v>
      </c>
      <c r="AO11622" s="11">
        <v>26421.18</v>
      </c>
      <c r="AP11622" s="9">
        <v>3.2649515963108362</v>
      </c>
    </row>
    <row r="11623" spans="40:42" x14ac:dyDescent="0.3">
      <c r="AN11623">
        <v>11619</v>
      </c>
      <c r="AO11623" s="11">
        <v>26454.27</v>
      </c>
      <c r="AP11623" s="9">
        <v>3.1456684233097056</v>
      </c>
    </row>
    <row r="11624" spans="40:42" x14ac:dyDescent="0.3">
      <c r="AN11624">
        <v>11620</v>
      </c>
      <c r="AO11624" s="11">
        <v>28365.18</v>
      </c>
      <c r="AP11624" s="9">
        <v>3.2451776571150202</v>
      </c>
    </row>
    <row r="11625" spans="40:42" x14ac:dyDescent="0.3">
      <c r="AN11625">
        <v>11621</v>
      </c>
      <c r="AO11625" s="11">
        <v>25917.439999999999</v>
      </c>
      <c r="AP11625" s="9">
        <v>3.5451578590699322</v>
      </c>
    </row>
    <row r="11626" spans="40:42" x14ac:dyDescent="0.3">
      <c r="AN11626">
        <v>11622</v>
      </c>
      <c r="AO11626" s="11">
        <v>18230.34</v>
      </c>
      <c r="AP11626" s="9">
        <v>3.2860785232383845</v>
      </c>
    </row>
    <row r="11627" spans="40:42" x14ac:dyDescent="0.3">
      <c r="AN11627">
        <v>11623</v>
      </c>
      <c r="AO11627" s="11">
        <v>23385.48</v>
      </c>
      <c r="AP11627" s="9">
        <v>3.819999621460815</v>
      </c>
    </row>
    <row r="11628" spans="40:42" x14ac:dyDescent="0.3">
      <c r="AN11628">
        <v>11624</v>
      </c>
      <c r="AO11628" s="11">
        <v>25060.83</v>
      </c>
      <c r="AP11628" s="9">
        <v>3.517003321251468</v>
      </c>
    </row>
    <row r="11629" spans="40:42" x14ac:dyDescent="0.3">
      <c r="AN11629">
        <v>11625</v>
      </c>
      <c r="AO11629" s="11">
        <v>22311.13</v>
      </c>
      <c r="AP11629" s="9">
        <v>4.1489029414024579</v>
      </c>
    </row>
    <row r="11630" spans="40:42" x14ac:dyDescent="0.3">
      <c r="AN11630">
        <v>11626</v>
      </c>
      <c r="AO11630" s="11">
        <v>25072.39</v>
      </c>
      <c r="AP11630" s="9">
        <v>3.2541083538660707</v>
      </c>
    </row>
    <row r="11631" spans="40:42" x14ac:dyDescent="0.3">
      <c r="AN11631">
        <v>11627</v>
      </c>
      <c r="AO11631" s="11">
        <v>17606.080000000002</v>
      </c>
      <c r="AP11631" s="9">
        <v>3.0196847256606167</v>
      </c>
    </row>
    <row r="11632" spans="40:42" x14ac:dyDescent="0.3">
      <c r="AN11632">
        <v>11628</v>
      </c>
      <c r="AO11632" s="11">
        <v>14430.77</v>
      </c>
      <c r="AP11632" s="9">
        <v>3.2778739214083181</v>
      </c>
    </row>
    <row r="11633" spans="40:42" x14ac:dyDescent="0.3">
      <c r="AN11633">
        <v>11629</v>
      </c>
      <c r="AO11633" s="11">
        <v>46549.74</v>
      </c>
      <c r="AP11633" s="9">
        <v>3.572962289479781</v>
      </c>
    </row>
    <row r="11634" spans="40:42" x14ac:dyDescent="0.3">
      <c r="AN11634">
        <v>11630</v>
      </c>
      <c r="AO11634" s="11">
        <v>32840.400000000001</v>
      </c>
      <c r="AP11634" s="9">
        <v>4.1151040651571309</v>
      </c>
    </row>
    <row r="11635" spans="40:42" x14ac:dyDescent="0.3">
      <c r="AN11635">
        <v>11631</v>
      </c>
      <c r="AO11635" s="11">
        <v>36522.89</v>
      </c>
      <c r="AP11635" s="9">
        <v>3.301658263091396</v>
      </c>
    </row>
    <row r="11636" spans="40:42" x14ac:dyDescent="0.3">
      <c r="AN11636">
        <v>11632</v>
      </c>
      <c r="AO11636" s="11">
        <v>19266.599999999999</v>
      </c>
      <c r="AP11636" s="9">
        <v>3.0980944071948788</v>
      </c>
    </row>
    <row r="11637" spans="40:42" x14ac:dyDescent="0.3">
      <c r="AN11637">
        <v>11633</v>
      </c>
      <c r="AO11637" s="11">
        <v>27736.89</v>
      </c>
      <c r="AP11637" s="9">
        <v>3.7123701416516579</v>
      </c>
    </row>
    <row r="11638" spans="40:42" x14ac:dyDescent="0.3">
      <c r="AN11638">
        <v>11634</v>
      </c>
      <c r="AO11638" s="11">
        <v>37710.92</v>
      </c>
      <c r="AP11638" s="9">
        <v>3.8365705276059043</v>
      </c>
    </row>
    <row r="11639" spans="40:42" x14ac:dyDescent="0.3">
      <c r="AN11639">
        <v>11635</v>
      </c>
      <c r="AO11639" s="11">
        <v>21686.87</v>
      </c>
      <c r="AP11639" s="9">
        <v>3.9165183872727316</v>
      </c>
    </row>
    <row r="11640" spans="40:42" x14ac:dyDescent="0.3">
      <c r="AN11640">
        <v>11636</v>
      </c>
      <c r="AO11640" s="11">
        <v>31562.49</v>
      </c>
      <c r="AP11640" s="9">
        <v>3.4332598758580795</v>
      </c>
    </row>
    <row r="11641" spans="40:42" x14ac:dyDescent="0.3">
      <c r="AN11641">
        <v>11637</v>
      </c>
      <c r="AO11641" s="11">
        <v>26037.91</v>
      </c>
      <c r="AP11641" s="9">
        <v>3.3114308810455744</v>
      </c>
    </row>
    <row r="11642" spans="40:42" x14ac:dyDescent="0.3">
      <c r="AN11642">
        <v>11638</v>
      </c>
      <c r="AO11642" s="11">
        <v>35143.360000000001</v>
      </c>
      <c r="AP11642" s="9">
        <v>3.5830115942902445</v>
      </c>
    </row>
    <row r="11643" spans="40:42" x14ac:dyDescent="0.3">
      <c r="AN11643">
        <v>11639</v>
      </c>
      <c r="AO11643" s="11">
        <v>35781.89</v>
      </c>
      <c r="AP11643" s="9">
        <v>3.5499055827235644</v>
      </c>
    </row>
    <row r="11644" spans="40:42" x14ac:dyDescent="0.3">
      <c r="AN11644">
        <v>11640</v>
      </c>
      <c r="AO11644" s="11">
        <v>28278.52</v>
      </c>
      <c r="AP11644" s="9">
        <v>3.3058737058105292</v>
      </c>
    </row>
    <row r="11645" spans="40:42" x14ac:dyDescent="0.3">
      <c r="AN11645">
        <v>11641</v>
      </c>
      <c r="AO11645" s="11">
        <v>21585.360000000001</v>
      </c>
      <c r="AP11645" s="9">
        <v>3.6279921386554261</v>
      </c>
    </row>
    <row r="11646" spans="40:42" x14ac:dyDescent="0.3">
      <c r="AN11646">
        <v>11642</v>
      </c>
      <c r="AO11646" s="11">
        <v>23820.42</v>
      </c>
      <c r="AP11646" s="9">
        <v>4.3148206508970306</v>
      </c>
    </row>
    <row r="11647" spans="40:42" x14ac:dyDescent="0.3">
      <c r="AN11647">
        <v>11643</v>
      </c>
      <c r="AO11647" s="11">
        <v>21622.37</v>
      </c>
      <c r="AP11647" s="9">
        <v>2.9595263100775169</v>
      </c>
    </row>
    <row r="11648" spans="40:42" x14ac:dyDescent="0.3">
      <c r="AN11648">
        <v>11644</v>
      </c>
      <c r="AO11648" s="11">
        <v>36707.53</v>
      </c>
      <c r="AP11648" s="9">
        <v>3.6840928467073342</v>
      </c>
    </row>
    <row r="11649" spans="40:42" x14ac:dyDescent="0.3">
      <c r="AN11649">
        <v>11645</v>
      </c>
      <c r="AO11649" s="11">
        <v>23048.16</v>
      </c>
      <c r="AP11649" s="9">
        <v>3.2569965075446619</v>
      </c>
    </row>
    <row r="11650" spans="40:42" x14ac:dyDescent="0.3">
      <c r="AN11650">
        <v>11646</v>
      </c>
      <c r="AO11650" s="11">
        <v>24918.59</v>
      </c>
      <c r="AP11650" s="9">
        <v>2.9788811067714045</v>
      </c>
    </row>
    <row r="11651" spans="40:42" x14ac:dyDescent="0.3">
      <c r="AN11651">
        <v>11647</v>
      </c>
      <c r="AO11651" s="11">
        <v>35368.300000000003</v>
      </c>
      <c r="AP11651" s="9">
        <v>3.4210472751770005</v>
      </c>
    </row>
    <row r="11652" spans="40:42" x14ac:dyDescent="0.3">
      <c r="AN11652">
        <v>11648</v>
      </c>
      <c r="AO11652" s="11">
        <v>39102.839999999997</v>
      </c>
      <c r="AP11652" s="9">
        <v>3.3608004637148547</v>
      </c>
    </row>
    <row r="11653" spans="40:42" x14ac:dyDescent="0.3">
      <c r="AN11653">
        <v>11649</v>
      </c>
      <c r="AO11653" s="11">
        <v>15479.95</v>
      </c>
      <c r="AP11653" s="9">
        <v>2.8777364936085794</v>
      </c>
    </row>
    <row r="11654" spans="40:42" x14ac:dyDescent="0.3">
      <c r="AN11654">
        <v>11650</v>
      </c>
      <c r="AO11654" s="11">
        <v>22017.56</v>
      </c>
      <c r="AP11654" s="9">
        <v>3.1016951744658834</v>
      </c>
    </row>
    <row r="11655" spans="40:42" x14ac:dyDescent="0.3">
      <c r="AN11655">
        <v>11651</v>
      </c>
      <c r="AO11655" s="11">
        <v>29484.79</v>
      </c>
      <c r="AP11655" s="9">
        <v>3.7972152511438271</v>
      </c>
    </row>
    <row r="11656" spans="40:42" x14ac:dyDescent="0.3">
      <c r="AN11656">
        <v>11652</v>
      </c>
      <c r="AO11656" s="11">
        <v>22433.62</v>
      </c>
      <c r="AP11656" s="9">
        <v>2.6048811282974786</v>
      </c>
    </row>
    <row r="11657" spans="40:42" x14ac:dyDescent="0.3">
      <c r="AN11657">
        <v>11653</v>
      </c>
      <c r="AO11657" s="11">
        <v>32780.879999999997</v>
      </c>
      <c r="AP11657" s="9">
        <v>3.0565623138993172</v>
      </c>
    </row>
    <row r="11658" spans="40:42" x14ac:dyDescent="0.3">
      <c r="AN11658">
        <v>11654</v>
      </c>
      <c r="AO11658" s="11">
        <v>20155.349999999999</v>
      </c>
      <c r="AP11658" s="9">
        <v>3.044366526309469</v>
      </c>
    </row>
    <row r="11659" spans="40:42" x14ac:dyDescent="0.3">
      <c r="AN11659">
        <v>11655</v>
      </c>
      <c r="AO11659" s="11">
        <v>23933.919999999998</v>
      </c>
      <c r="AP11659" s="9">
        <v>4.0385411897361845</v>
      </c>
    </row>
    <row r="11660" spans="40:42" x14ac:dyDescent="0.3">
      <c r="AN11660">
        <v>11656</v>
      </c>
      <c r="AO11660" s="11">
        <v>40386.21</v>
      </c>
      <c r="AP11660" s="9">
        <v>3.9716909600819719</v>
      </c>
    </row>
    <row r="11661" spans="40:42" x14ac:dyDescent="0.3">
      <c r="AN11661">
        <v>11657</v>
      </c>
      <c r="AO11661" s="11">
        <v>20650.919999999998</v>
      </c>
      <c r="AP11661" s="9">
        <v>3.4170960023929053</v>
      </c>
    </row>
    <row r="11662" spans="40:42" x14ac:dyDescent="0.3">
      <c r="AN11662">
        <v>11658</v>
      </c>
      <c r="AO11662" s="11">
        <v>26737.94</v>
      </c>
      <c r="AP11662" s="9">
        <v>3.1229893448790835</v>
      </c>
    </row>
    <row r="11663" spans="40:42" x14ac:dyDescent="0.3">
      <c r="AN11663">
        <v>11659</v>
      </c>
      <c r="AO11663" s="11">
        <v>27198.35</v>
      </c>
      <c r="AP11663" s="9">
        <v>3.6109670855745524</v>
      </c>
    </row>
    <row r="11664" spans="40:42" x14ac:dyDescent="0.3">
      <c r="AN11664">
        <v>11660</v>
      </c>
      <c r="AO11664" s="11">
        <v>18913.8</v>
      </c>
      <c r="AP11664" s="9">
        <v>2.9632998313178636</v>
      </c>
    </row>
    <row r="11665" spans="40:42" x14ac:dyDescent="0.3">
      <c r="AN11665">
        <v>11661</v>
      </c>
      <c r="AO11665" s="11">
        <v>20933.740000000002</v>
      </c>
      <c r="AP11665" s="9">
        <v>2.5995815605682022</v>
      </c>
    </row>
    <row r="11666" spans="40:42" x14ac:dyDescent="0.3">
      <c r="AN11666">
        <v>11662</v>
      </c>
      <c r="AO11666" s="11">
        <v>29609.439999999999</v>
      </c>
      <c r="AP11666" s="9">
        <v>3.74991146536648</v>
      </c>
    </row>
    <row r="11667" spans="40:42" x14ac:dyDescent="0.3">
      <c r="AN11667">
        <v>11663</v>
      </c>
      <c r="AO11667" s="11">
        <v>24959.41</v>
      </c>
      <c r="AP11667" s="9">
        <v>3.2600632483512872</v>
      </c>
    </row>
    <row r="11668" spans="40:42" x14ac:dyDescent="0.3">
      <c r="AN11668">
        <v>11664</v>
      </c>
      <c r="AO11668" s="11">
        <v>28583.45</v>
      </c>
      <c r="AP11668" s="9">
        <v>3.3921458689177695</v>
      </c>
    </row>
    <row r="11669" spans="40:42" x14ac:dyDescent="0.3">
      <c r="AN11669">
        <v>11665</v>
      </c>
      <c r="AO11669" s="11">
        <v>24631.55</v>
      </c>
      <c r="AP11669" s="9">
        <v>3.3612213045545269</v>
      </c>
    </row>
    <row r="11670" spans="40:42" x14ac:dyDescent="0.3">
      <c r="AN11670">
        <v>11666</v>
      </c>
      <c r="AO11670" s="11">
        <v>26110.11</v>
      </c>
      <c r="AP11670" s="9">
        <v>3.6081931374293492</v>
      </c>
    </row>
    <row r="11671" spans="40:42" x14ac:dyDescent="0.3">
      <c r="AN11671">
        <v>11667</v>
      </c>
      <c r="AO11671" s="11">
        <v>17154.61</v>
      </c>
      <c r="AP11671" s="9">
        <v>3.5436040181098289</v>
      </c>
    </row>
    <row r="11672" spans="40:42" x14ac:dyDescent="0.3">
      <c r="AN11672">
        <v>11668</v>
      </c>
      <c r="AO11672" s="11">
        <v>28355.85</v>
      </c>
      <c r="AP11672" s="9">
        <v>3.7934675794437078</v>
      </c>
    </row>
    <row r="11673" spans="40:42" x14ac:dyDescent="0.3">
      <c r="AN11673">
        <v>11669</v>
      </c>
      <c r="AO11673" s="11">
        <v>24174.69</v>
      </c>
      <c r="AP11673" s="9">
        <v>3.157539204033716</v>
      </c>
    </row>
    <row r="11674" spans="40:42" x14ac:dyDescent="0.3">
      <c r="AN11674">
        <v>11670</v>
      </c>
      <c r="AO11674" s="11">
        <v>40801.75</v>
      </c>
      <c r="AP11674" s="9">
        <v>3.6171973530689816</v>
      </c>
    </row>
    <row r="11675" spans="40:42" x14ac:dyDescent="0.3">
      <c r="AN11675">
        <v>11671</v>
      </c>
      <c r="AO11675" s="11">
        <v>28800.53</v>
      </c>
      <c r="AP11675" s="9">
        <v>3.8736095008756495</v>
      </c>
    </row>
    <row r="11676" spans="40:42" x14ac:dyDescent="0.3">
      <c r="AN11676">
        <v>11672</v>
      </c>
      <c r="AO11676" s="11">
        <v>35497.56</v>
      </c>
      <c r="AP11676" s="9">
        <v>2.9568209335333351</v>
      </c>
    </row>
    <row r="11677" spans="40:42" x14ac:dyDescent="0.3">
      <c r="AN11677">
        <v>11673</v>
      </c>
      <c r="AO11677" s="11">
        <v>38997.94</v>
      </c>
      <c r="AP11677" s="9">
        <v>3.3190684482618642</v>
      </c>
    </row>
    <row r="11678" spans="40:42" x14ac:dyDescent="0.3">
      <c r="AN11678">
        <v>11674</v>
      </c>
      <c r="AO11678" s="11">
        <v>24129.1</v>
      </c>
      <c r="AP11678" s="9">
        <v>3.3807799735646809</v>
      </c>
    </row>
    <row r="11679" spans="40:42" x14ac:dyDescent="0.3">
      <c r="AN11679">
        <v>11675</v>
      </c>
      <c r="AO11679" s="11">
        <v>37768.910000000003</v>
      </c>
      <c r="AP11679" s="9">
        <v>4.2365823811474828</v>
      </c>
    </row>
    <row r="11680" spans="40:42" x14ac:dyDescent="0.3">
      <c r="AN11680">
        <v>11676</v>
      </c>
      <c r="AO11680" s="11">
        <v>26066.5</v>
      </c>
      <c r="AP11680" s="9">
        <v>3.267249760659038</v>
      </c>
    </row>
    <row r="11681" spans="40:42" x14ac:dyDescent="0.3">
      <c r="AN11681">
        <v>11677</v>
      </c>
      <c r="AO11681" s="11">
        <v>17728.22</v>
      </c>
      <c r="AP11681" s="9">
        <v>3.082476052265037</v>
      </c>
    </row>
    <row r="11682" spans="40:42" x14ac:dyDescent="0.3">
      <c r="AN11682">
        <v>11678</v>
      </c>
      <c r="AO11682" s="11">
        <v>24110.34</v>
      </c>
      <c r="AP11682" s="9">
        <v>3.0140662222058108</v>
      </c>
    </row>
    <row r="11683" spans="40:42" x14ac:dyDescent="0.3">
      <c r="AN11683">
        <v>11679</v>
      </c>
      <c r="AO11683" s="11">
        <v>22300.81</v>
      </c>
      <c r="AP11683" s="9">
        <v>3.696146131533895</v>
      </c>
    </row>
    <row r="11684" spans="40:42" x14ac:dyDescent="0.3">
      <c r="AN11684">
        <v>11680</v>
      </c>
      <c r="AO11684" s="11">
        <v>18775.46</v>
      </c>
      <c r="AP11684" s="9">
        <v>2.9208425210771631</v>
      </c>
    </row>
    <row r="11685" spans="40:42" x14ac:dyDescent="0.3">
      <c r="AN11685">
        <v>11681</v>
      </c>
      <c r="AO11685" s="11">
        <v>19918.04</v>
      </c>
      <c r="AP11685" s="9">
        <v>3.0132217211242205</v>
      </c>
    </row>
    <row r="11686" spans="40:42" x14ac:dyDescent="0.3">
      <c r="AN11686">
        <v>11682</v>
      </c>
      <c r="AO11686" s="11">
        <v>22061.58</v>
      </c>
      <c r="AP11686" s="9">
        <v>3.368977242648989</v>
      </c>
    </row>
    <row r="11687" spans="40:42" x14ac:dyDescent="0.3">
      <c r="AN11687">
        <v>11683</v>
      </c>
      <c r="AO11687" s="11">
        <v>15329.71</v>
      </c>
      <c r="AP11687" s="9">
        <v>2.8653012119946171</v>
      </c>
    </row>
    <row r="11688" spans="40:42" x14ac:dyDescent="0.3">
      <c r="AN11688">
        <v>11684</v>
      </c>
      <c r="AO11688" s="11">
        <v>26879.64</v>
      </c>
      <c r="AP11688" s="9">
        <v>3.1207196253547251</v>
      </c>
    </row>
    <row r="11689" spans="40:42" x14ac:dyDescent="0.3">
      <c r="AN11689">
        <v>11685</v>
      </c>
      <c r="AO11689" s="11">
        <v>35518.800000000003</v>
      </c>
      <c r="AP11689" s="9">
        <v>3.5654226635687114</v>
      </c>
    </row>
    <row r="11690" spans="40:42" x14ac:dyDescent="0.3">
      <c r="AN11690">
        <v>11686</v>
      </c>
      <c r="AO11690" s="11">
        <v>20048.900000000001</v>
      </c>
      <c r="AP11690" s="9">
        <v>2.872380393795805</v>
      </c>
    </row>
    <row r="11691" spans="40:42" x14ac:dyDescent="0.3">
      <c r="AN11691">
        <v>11687</v>
      </c>
      <c r="AO11691" s="11">
        <v>23254.32</v>
      </c>
      <c r="AP11691" s="9">
        <v>3.1251721069136713</v>
      </c>
    </row>
    <row r="11692" spans="40:42" x14ac:dyDescent="0.3">
      <c r="AN11692">
        <v>11688</v>
      </c>
      <c r="AO11692" s="11">
        <v>17308.38</v>
      </c>
      <c r="AP11692" s="9">
        <v>3.2179384101867252</v>
      </c>
    </row>
    <row r="11693" spans="40:42" x14ac:dyDescent="0.3">
      <c r="AN11693">
        <v>11689</v>
      </c>
      <c r="AO11693" s="11">
        <v>21139.54</v>
      </c>
      <c r="AP11693" s="9">
        <v>3.6130923589333594</v>
      </c>
    </row>
    <row r="11694" spans="40:42" x14ac:dyDescent="0.3">
      <c r="AN11694">
        <v>11690</v>
      </c>
      <c r="AO11694" s="11">
        <v>21508.22</v>
      </c>
      <c r="AP11694" s="9">
        <v>3.149908510759297</v>
      </c>
    </row>
    <row r="11695" spans="40:42" x14ac:dyDescent="0.3">
      <c r="AN11695">
        <v>11691</v>
      </c>
      <c r="AO11695" s="11">
        <v>25339.67</v>
      </c>
      <c r="AP11695" s="9">
        <v>2.9270103807662315</v>
      </c>
    </row>
    <row r="11696" spans="40:42" x14ac:dyDescent="0.3">
      <c r="AN11696">
        <v>11692</v>
      </c>
      <c r="AO11696" s="11">
        <v>27786.22</v>
      </c>
      <c r="AP11696" s="9">
        <v>3.5188557733870773</v>
      </c>
    </row>
    <row r="11697" spans="40:42" x14ac:dyDescent="0.3">
      <c r="AN11697">
        <v>11693</v>
      </c>
      <c r="AO11697" s="11">
        <v>26331.05</v>
      </c>
      <c r="AP11697" s="9">
        <v>3.5763627073514264</v>
      </c>
    </row>
    <row r="11698" spans="40:42" x14ac:dyDescent="0.3">
      <c r="AN11698">
        <v>11694</v>
      </c>
      <c r="AO11698" s="11">
        <v>28914.639999999999</v>
      </c>
      <c r="AP11698" s="9">
        <v>4.3315450875813371</v>
      </c>
    </row>
    <row r="11699" spans="40:42" x14ac:dyDescent="0.3">
      <c r="AN11699">
        <v>11695</v>
      </c>
      <c r="AO11699" s="11">
        <v>19384.45</v>
      </c>
      <c r="AP11699" s="9">
        <v>2.9578309338641025</v>
      </c>
    </row>
    <row r="11700" spans="40:42" x14ac:dyDescent="0.3">
      <c r="AN11700">
        <v>11696</v>
      </c>
      <c r="AO11700" s="11">
        <v>33474.89</v>
      </c>
      <c r="AP11700" s="9">
        <v>3.5013606662579102</v>
      </c>
    </row>
    <row r="11701" spans="40:42" x14ac:dyDescent="0.3">
      <c r="AN11701">
        <v>11697</v>
      </c>
      <c r="AO11701" s="11">
        <v>24433.68</v>
      </c>
      <c r="AP11701" s="9">
        <v>2.661989294903051</v>
      </c>
    </row>
    <row r="11702" spans="40:42" x14ac:dyDescent="0.3">
      <c r="AN11702">
        <v>11698</v>
      </c>
      <c r="AO11702" s="11">
        <v>22194.65</v>
      </c>
      <c r="AP11702" s="9">
        <v>3.0372613901082679</v>
      </c>
    </row>
    <row r="11703" spans="40:42" x14ac:dyDescent="0.3">
      <c r="AN11703">
        <v>11699</v>
      </c>
      <c r="AO11703" s="11">
        <v>24663.79</v>
      </c>
      <c r="AP11703" s="9">
        <v>3.6175260834376854</v>
      </c>
    </row>
    <row r="11704" spans="40:42" x14ac:dyDescent="0.3">
      <c r="AN11704">
        <v>11700</v>
      </c>
      <c r="AO11704" s="11">
        <v>22143.81</v>
      </c>
      <c r="AP11704" s="9">
        <v>3.6213842705841177</v>
      </c>
    </row>
    <row r="11705" spans="40:42" x14ac:dyDescent="0.3">
      <c r="AN11705">
        <v>11701</v>
      </c>
      <c r="AO11705" s="11">
        <v>37019.040000000001</v>
      </c>
      <c r="AP11705" s="9">
        <v>4.3064882937474929</v>
      </c>
    </row>
    <row r="11706" spans="40:42" x14ac:dyDescent="0.3">
      <c r="AN11706">
        <v>11702</v>
      </c>
      <c r="AO11706" s="11">
        <v>38169.93</v>
      </c>
      <c r="AP11706" s="9">
        <v>3.7759705872016696</v>
      </c>
    </row>
    <row r="11707" spans="40:42" x14ac:dyDescent="0.3">
      <c r="AN11707">
        <v>11703</v>
      </c>
      <c r="AO11707" s="11">
        <v>40453.39</v>
      </c>
      <c r="AP11707" s="9">
        <v>4.0508228767165457</v>
      </c>
    </row>
    <row r="11708" spans="40:42" x14ac:dyDescent="0.3">
      <c r="AN11708">
        <v>11704</v>
      </c>
      <c r="AO11708" s="11">
        <v>20099.259999999998</v>
      </c>
      <c r="AP11708" s="9">
        <v>3.4202820423856677</v>
      </c>
    </row>
    <row r="11709" spans="40:42" x14ac:dyDescent="0.3">
      <c r="AN11709">
        <v>11705</v>
      </c>
      <c r="AO11709" s="11">
        <v>27476.57</v>
      </c>
      <c r="AP11709" s="9">
        <v>4.1987049459475241</v>
      </c>
    </row>
    <row r="11710" spans="40:42" x14ac:dyDescent="0.3">
      <c r="AN11710">
        <v>11706</v>
      </c>
      <c r="AO11710" s="11">
        <v>30358.21</v>
      </c>
      <c r="AP11710" s="9">
        <v>3.6703976622827397</v>
      </c>
    </row>
    <row r="11711" spans="40:42" x14ac:dyDescent="0.3">
      <c r="AN11711">
        <v>11707</v>
      </c>
      <c r="AO11711" s="11">
        <v>31629.66</v>
      </c>
      <c r="AP11711" s="9">
        <v>3.9378738895227046</v>
      </c>
    </row>
    <row r="11712" spans="40:42" x14ac:dyDescent="0.3">
      <c r="AN11712">
        <v>11708</v>
      </c>
      <c r="AO11712" s="11">
        <v>42974.3</v>
      </c>
      <c r="AP11712" s="9">
        <v>3.6896922182725578</v>
      </c>
    </row>
    <row r="11713" spans="40:42" x14ac:dyDescent="0.3">
      <c r="AN11713">
        <v>11709</v>
      </c>
      <c r="AO11713" s="11">
        <v>20051.77</v>
      </c>
      <c r="AP11713" s="9">
        <v>2.9182263766734113</v>
      </c>
    </row>
    <row r="11714" spans="40:42" x14ac:dyDescent="0.3">
      <c r="AN11714">
        <v>11710</v>
      </c>
      <c r="AO11714" s="11">
        <v>27960.04</v>
      </c>
      <c r="AP11714" s="9">
        <v>2.9130264792222129</v>
      </c>
    </row>
    <row r="11715" spans="40:42" x14ac:dyDescent="0.3">
      <c r="AN11715">
        <v>11711</v>
      </c>
      <c r="AO11715" s="11">
        <v>32652.75</v>
      </c>
      <c r="AP11715" s="9">
        <v>3.5752314386703166</v>
      </c>
    </row>
    <row r="11716" spans="40:42" x14ac:dyDescent="0.3">
      <c r="AN11716">
        <v>11712</v>
      </c>
      <c r="AO11716" s="11">
        <v>31767.57</v>
      </c>
      <c r="AP11716" s="9">
        <v>3.8751896978410798</v>
      </c>
    </row>
    <row r="11717" spans="40:42" x14ac:dyDescent="0.3">
      <c r="AN11717">
        <v>11713</v>
      </c>
      <c r="AO11717" s="11">
        <v>21288.33</v>
      </c>
      <c r="AP11717" s="9">
        <v>3.2342921522253554</v>
      </c>
    </row>
    <row r="11718" spans="40:42" x14ac:dyDescent="0.3">
      <c r="AN11718">
        <v>11714</v>
      </c>
      <c r="AO11718" s="11">
        <v>23353.66</v>
      </c>
      <c r="AP11718" s="9">
        <v>3.8221691312084554</v>
      </c>
    </row>
    <row r="11719" spans="40:42" x14ac:dyDescent="0.3">
      <c r="AN11719">
        <v>11715</v>
      </c>
      <c r="AO11719" s="11">
        <v>18116.23</v>
      </c>
      <c r="AP11719" s="9">
        <v>3.074284093911976</v>
      </c>
    </row>
    <row r="11720" spans="40:42" x14ac:dyDescent="0.3">
      <c r="AN11720">
        <v>11716</v>
      </c>
      <c r="AO11720" s="11">
        <v>22453.14</v>
      </c>
      <c r="AP11720" s="9">
        <v>3.9539440494483791</v>
      </c>
    </row>
    <row r="11721" spans="40:42" x14ac:dyDescent="0.3">
      <c r="AN11721">
        <v>11717</v>
      </c>
      <c r="AO11721" s="11">
        <v>26578.98</v>
      </c>
      <c r="AP11721" s="9">
        <v>3.8124537246466264</v>
      </c>
    </row>
    <row r="11722" spans="40:42" x14ac:dyDescent="0.3">
      <c r="AN11722">
        <v>11718</v>
      </c>
      <c r="AO11722" s="11">
        <v>27201.29</v>
      </c>
      <c r="AP11722" s="9">
        <v>3.4181577831737369</v>
      </c>
    </row>
    <row r="11723" spans="40:42" x14ac:dyDescent="0.3">
      <c r="AN11723">
        <v>11719</v>
      </c>
      <c r="AO11723" s="11">
        <v>20831.78</v>
      </c>
      <c r="AP11723" s="9">
        <v>3.6637473669195821</v>
      </c>
    </row>
    <row r="11724" spans="40:42" x14ac:dyDescent="0.3">
      <c r="AN11724">
        <v>11720</v>
      </c>
      <c r="AO11724" s="11">
        <v>22142.1</v>
      </c>
      <c r="AP11724" s="9">
        <v>3.7460510771585187</v>
      </c>
    </row>
    <row r="11725" spans="40:42" x14ac:dyDescent="0.3">
      <c r="AN11725">
        <v>11721</v>
      </c>
      <c r="AO11725" s="11">
        <v>20170.46</v>
      </c>
      <c r="AP11725" s="9">
        <v>3.2179846228671658</v>
      </c>
    </row>
    <row r="11726" spans="40:42" x14ac:dyDescent="0.3">
      <c r="AN11726">
        <v>11722</v>
      </c>
      <c r="AO11726" s="11">
        <v>19302.689999999999</v>
      </c>
      <c r="AP11726" s="9">
        <v>3.3042267473840883</v>
      </c>
    </row>
    <row r="11727" spans="40:42" x14ac:dyDescent="0.3">
      <c r="AN11727">
        <v>11723</v>
      </c>
      <c r="AO11727" s="11">
        <v>25378.65</v>
      </c>
      <c r="AP11727" s="9">
        <v>2.8370886287755801</v>
      </c>
    </row>
    <row r="11728" spans="40:42" x14ac:dyDescent="0.3">
      <c r="AN11728">
        <v>11724</v>
      </c>
      <c r="AO11728" s="11">
        <v>28513.919999999998</v>
      </c>
      <c r="AP11728" s="9">
        <v>3.7266134593799189</v>
      </c>
    </row>
    <row r="11729" spans="40:42" x14ac:dyDescent="0.3">
      <c r="AN11729">
        <v>11725</v>
      </c>
      <c r="AO11729" s="11">
        <v>22463.21</v>
      </c>
      <c r="AP11729" s="9">
        <v>3.1737964817350397</v>
      </c>
    </row>
    <row r="11730" spans="40:42" x14ac:dyDescent="0.3">
      <c r="AN11730">
        <v>11726</v>
      </c>
      <c r="AO11730" s="11">
        <v>35706.47</v>
      </c>
      <c r="AP11730" s="9">
        <v>3.6468083962145483</v>
      </c>
    </row>
    <row r="11731" spans="40:42" x14ac:dyDescent="0.3">
      <c r="AN11731">
        <v>11727</v>
      </c>
      <c r="AO11731" s="11">
        <v>29766.05</v>
      </c>
      <c r="AP11731" s="9">
        <v>3.4885896326715273</v>
      </c>
    </row>
    <row r="11732" spans="40:42" x14ac:dyDescent="0.3">
      <c r="AN11732">
        <v>11728</v>
      </c>
      <c r="AO11732" s="11">
        <v>31234.16</v>
      </c>
      <c r="AP11732" s="9">
        <v>3.600800766322072</v>
      </c>
    </row>
    <row r="11733" spans="40:42" x14ac:dyDescent="0.3">
      <c r="AN11733">
        <v>11729</v>
      </c>
      <c r="AO11733" s="11">
        <v>15537.34</v>
      </c>
      <c r="AP11733" s="9">
        <v>2.8395961962886225</v>
      </c>
    </row>
    <row r="11734" spans="40:42" x14ac:dyDescent="0.3">
      <c r="AN11734">
        <v>11730</v>
      </c>
      <c r="AO11734" s="11">
        <v>22017.07</v>
      </c>
      <c r="AP11734" s="9">
        <v>2.9172267286937901</v>
      </c>
    </row>
    <row r="11735" spans="40:42" x14ac:dyDescent="0.3">
      <c r="AN11735">
        <v>11731</v>
      </c>
      <c r="AO11735" s="11">
        <v>34043.360000000001</v>
      </c>
      <c r="AP11735" s="9">
        <v>3.7227287706849745</v>
      </c>
    </row>
    <row r="11736" spans="40:42" x14ac:dyDescent="0.3">
      <c r="AN11736">
        <v>11732</v>
      </c>
      <c r="AO11736" s="11">
        <v>19638.169999999998</v>
      </c>
      <c r="AP11736" s="9">
        <v>3.1787819657146836</v>
      </c>
    </row>
    <row r="11737" spans="40:42" x14ac:dyDescent="0.3">
      <c r="AN11737">
        <v>11733</v>
      </c>
      <c r="AO11737" s="11">
        <v>30896.47</v>
      </c>
      <c r="AP11737" s="9">
        <v>3.1667504093641829</v>
      </c>
    </row>
    <row r="11738" spans="40:42" x14ac:dyDescent="0.3">
      <c r="AN11738">
        <v>11734</v>
      </c>
      <c r="AO11738" s="11">
        <v>19426.28</v>
      </c>
      <c r="AP11738" s="9">
        <v>2.6885640431694808</v>
      </c>
    </row>
    <row r="11739" spans="40:42" x14ac:dyDescent="0.3">
      <c r="AN11739">
        <v>11735</v>
      </c>
      <c r="AO11739" s="11">
        <v>24724.71</v>
      </c>
      <c r="AP11739" s="9">
        <v>2.9847954042406331</v>
      </c>
    </row>
    <row r="11740" spans="40:42" x14ac:dyDescent="0.3">
      <c r="AN11740">
        <v>11736</v>
      </c>
      <c r="AO11740" s="11">
        <v>33293.14</v>
      </c>
      <c r="AP11740" s="9">
        <v>2.9712086182084469</v>
      </c>
    </row>
    <row r="11741" spans="40:42" x14ac:dyDescent="0.3">
      <c r="AN11741">
        <v>11737</v>
      </c>
      <c r="AO11741" s="11">
        <v>17466.849999999999</v>
      </c>
      <c r="AP11741" s="9">
        <v>3.0023076783629401</v>
      </c>
    </row>
    <row r="11742" spans="40:42" x14ac:dyDescent="0.3">
      <c r="AN11742">
        <v>11738</v>
      </c>
      <c r="AO11742" s="11">
        <v>37331.199999999997</v>
      </c>
      <c r="AP11742" s="9">
        <v>3.7861612191122984</v>
      </c>
    </row>
    <row r="11743" spans="40:42" x14ac:dyDescent="0.3">
      <c r="AN11743">
        <v>11739</v>
      </c>
      <c r="AO11743" s="11">
        <v>33447.61</v>
      </c>
      <c r="AP11743" s="9">
        <v>3.4836343080954348</v>
      </c>
    </row>
    <row r="11744" spans="40:42" x14ac:dyDescent="0.3">
      <c r="AN11744">
        <v>11740</v>
      </c>
      <c r="AO11744" s="11">
        <v>21890.74</v>
      </c>
      <c r="AP11744" s="9">
        <v>3.2140073935406184</v>
      </c>
    </row>
    <row r="11745" spans="40:42" x14ac:dyDescent="0.3">
      <c r="AN11745">
        <v>11741</v>
      </c>
      <c r="AO11745" s="11">
        <v>23989.97</v>
      </c>
      <c r="AP11745" s="9">
        <v>2.8866141472428875</v>
      </c>
    </row>
    <row r="11746" spans="40:42" x14ac:dyDescent="0.3">
      <c r="AN11746">
        <v>11742</v>
      </c>
      <c r="AO11746" s="11">
        <v>18849.2</v>
      </c>
      <c r="AP11746" s="9">
        <v>3.0265028605667776</v>
      </c>
    </row>
    <row r="11747" spans="40:42" x14ac:dyDescent="0.3">
      <c r="AN11747">
        <v>11743</v>
      </c>
      <c r="AO11747" s="11">
        <v>23478.89</v>
      </c>
      <c r="AP11747" s="9">
        <v>3.5934192264576224</v>
      </c>
    </row>
    <row r="11748" spans="40:42" x14ac:dyDescent="0.3">
      <c r="AN11748">
        <v>11744</v>
      </c>
      <c r="AO11748" s="11">
        <v>23437.02</v>
      </c>
      <c r="AP11748" s="9">
        <v>3.7759387113045952</v>
      </c>
    </row>
    <row r="11749" spans="40:42" x14ac:dyDescent="0.3">
      <c r="AN11749">
        <v>11745</v>
      </c>
      <c r="AO11749" s="11">
        <v>22680.16</v>
      </c>
      <c r="AP11749" s="9">
        <v>3.2398674688778453</v>
      </c>
    </row>
    <row r="11750" spans="40:42" x14ac:dyDescent="0.3">
      <c r="AN11750">
        <v>11746</v>
      </c>
      <c r="AO11750" s="11">
        <v>20245.580000000002</v>
      </c>
      <c r="AP11750" s="9">
        <v>3.0906364451400163</v>
      </c>
    </row>
    <row r="11751" spans="40:42" x14ac:dyDescent="0.3">
      <c r="AN11751">
        <v>11747</v>
      </c>
      <c r="AO11751" s="11">
        <v>23477.48</v>
      </c>
      <c r="AP11751" s="9">
        <v>3.6824472094622469</v>
      </c>
    </row>
    <row r="11752" spans="40:42" x14ac:dyDescent="0.3">
      <c r="AN11752">
        <v>11748</v>
      </c>
      <c r="AO11752" s="11">
        <v>31520.44</v>
      </c>
      <c r="AP11752" s="9">
        <v>3.3358150102105419</v>
      </c>
    </row>
    <row r="11753" spans="40:42" x14ac:dyDescent="0.3">
      <c r="AN11753">
        <v>11749</v>
      </c>
      <c r="AO11753" s="11">
        <v>21962.7</v>
      </c>
      <c r="AP11753" s="9">
        <v>3.2559656914811175</v>
      </c>
    </row>
    <row r="11754" spans="40:42" x14ac:dyDescent="0.3">
      <c r="AN11754">
        <v>11750</v>
      </c>
      <c r="AO11754" s="11">
        <v>24746.34</v>
      </c>
      <c r="AP11754" s="9">
        <v>2.7718990042351681</v>
      </c>
    </row>
    <row r="11755" spans="40:42" x14ac:dyDescent="0.3">
      <c r="AN11755">
        <v>11751</v>
      </c>
      <c r="AO11755" s="11">
        <v>35443.4</v>
      </c>
      <c r="AP11755" s="9">
        <v>3.2772398988682649</v>
      </c>
    </row>
    <row r="11756" spans="40:42" x14ac:dyDescent="0.3">
      <c r="AN11756">
        <v>11752</v>
      </c>
      <c r="AO11756" s="11">
        <v>26206.720000000001</v>
      </c>
      <c r="AP11756" s="9">
        <v>3.2363371451831702</v>
      </c>
    </row>
    <row r="11757" spans="40:42" x14ac:dyDescent="0.3">
      <c r="AN11757">
        <v>11753</v>
      </c>
      <c r="AO11757" s="11">
        <v>28556.79</v>
      </c>
      <c r="AP11757" s="9">
        <v>3.403400224633105</v>
      </c>
    </row>
    <row r="11758" spans="40:42" x14ac:dyDescent="0.3">
      <c r="AN11758">
        <v>11754</v>
      </c>
      <c r="AO11758" s="11">
        <v>18539.78</v>
      </c>
      <c r="AP11758" s="9">
        <v>2.8685491147427351</v>
      </c>
    </row>
    <row r="11759" spans="40:42" x14ac:dyDescent="0.3">
      <c r="AN11759">
        <v>11755</v>
      </c>
      <c r="AO11759" s="11">
        <v>31348.95</v>
      </c>
      <c r="AP11759" s="9">
        <v>3.6577082890884207</v>
      </c>
    </row>
    <row r="11760" spans="40:42" x14ac:dyDescent="0.3">
      <c r="AN11760">
        <v>11756</v>
      </c>
      <c r="AO11760" s="11">
        <v>27648.31</v>
      </c>
      <c r="AP11760" s="9">
        <v>3.4860576389259084</v>
      </c>
    </row>
    <row r="11761" spans="40:42" x14ac:dyDescent="0.3">
      <c r="AN11761">
        <v>11757</v>
      </c>
      <c r="AO11761" s="11">
        <v>29113.13</v>
      </c>
      <c r="AP11761" s="9">
        <v>3.7547081011511847</v>
      </c>
    </row>
    <row r="11762" spans="40:42" x14ac:dyDescent="0.3">
      <c r="AN11762">
        <v>11758</v>
      </c>
      <c r="AO11762" s="11">
        <v>27715.33</v>
      </c>
      <c r="AP11762" s="9">
        <v>2.9957968037447609</v>
      </c>
    </row>
    <row r="11763" spans="40:42" x14ac:dyDescent="0.3">
      <c r="AN11763">
        <v>11759</v>
      </c>
      <c r="AO11763" s="11">
        <v>20003.59</v>
      </c>
      <c r="AP11763" s="9">
        <v>4.2991959068737922</v>
      </c>
    </row>
    <row r="11764" spans="40:42" x14ac:dyDescent="0.3">
      <c r="AN11764">
        <v>11760</v>
      </c>
      <c r="AO11764" s="11">
        <v>30252.21</v>
      </c>
      <c r="AP11764" s="9">
        <v>4.1995663505691114</v>
      </c>
    </row>
    <row r="11765" spans="40:42" x14ac:dyDescent="0.3">
      <c r="AN11765">
        <v>11761</v>
      </c>
      <c r="AO11765" s="11">
        <v>29635.45</v>
      </c>
      <c r="AP11765" s="9">
        <v>3.2785653699401229</v>
      </c>
    </row>
    <row r="11766" spans="40:42" x14ac:dyDescent="0.3">
      <c r="AN11766">
        <v>11762</v>
      </c>
      <c r="AO11766" s="11">
        <v>29028.31</v>
      </c>
      <c r="AP11766" s="9">
        <v>2.9534723003754486</v>
      </c>
    </row>
    <row r="11767" spans="40:42" x14ac:dyDescent="0.3">
      <c r="AN11767">
        <v>11763</v>
      </c>
      <c r="AO11767" s="11">
        <v>32652.23</v>
      </c>
      <c r="AP11767" s="9">
        <v>3.5068635047080994</v>
      </c>
    </row>
    <row r="11768" spans="40:42" x14ac:dyDescent="0.3">
      <c r="AN11768">
        <v>11764</v>
      </c>
      <c r="AO11768" s="11">
        <v>40948.089999999997</v>
      </c>
      <c r="AP11768" s="9">
        <v>3.7666057286044667</v>
      </c>
    </row>
    <row r="11769" spans="40:42" x14ac:dyDescent="0.3">
      <c r="AN11769">
        <v>11765</v>
      </c>
      <c r="AO11769" s="11">
        <v>24828.14</v>
      </c>
      <c r="AP11769" s="9">
        <v>3.8860990065941672</v>
      </c>
    </row>
    <row r="11770" spans="40:42" x14ac:dyDescent="0.3">
      <c r="AN11770">
        <v>11766</v>
      </c>
      <c r="AO11770" s="11">
        <v>31628.23</v>
      </c>
      <c r="AP11770" s="9">
        <v>3.749988791989979</v>
      </c>
    </row>
    <row r="11771" spans="40:42" x14ac:dyDescent="0.3">
      <c r="AN11771">
        <v>11767</v>
      </c>
      <c r="AO11771" s="11">
        <v>32696.41</v>
      </c>
      <c r="AP11771" s="9">
        <v>3.5549784739654315</v>
      </c>
    </row>
    <row r="11772" spans="40:42" x14ac:dyDescent="0.3">
      <c r="AN11772">
        <v>11768</v>
      </c>
      <c r="AO11772" s="11">
        <v>19689.419999999998</v>
      </c>
      <c r="AP11772" s="9">
        <v>2.6231402178238978</v>
      </c>
    </row>
    <row r="11773" spans="40:42" x14ac:dyDescent="0.3">
      <c r="AN11773">
        <v>11769</v>
      </c>
      <c r="AO11773" s="11">
        <v>32753.97</v>
      </c>
      <c r="AP11773" s="9">
        <v>4.2886616922198266</v>
      </c>
    </row>
    <row r="11774" spans="40:42" x14ac:dyDescent="0.3">
      <c r="AN11774">
        <v>11770</v>
      </c>
      <c r="AO11774" s="11">
        <v>20965.62</v>
      </c>
      <c r="AP11774" s="9">
        <v>3.2210608182740161</v>
      </c>
    </row>
    <row r="11775" spans="40:42" x14ac:dyDescent="0.3">
      <c r="AN11775">
        <v>11771</v>
      </c>
      <c r="AO11775" s="11">
        <v>32016.400000000001</v>
      </c>
      <c r="AP11775" s="9">
        <v>3.2775845489409727</v>
      </c>
    </row>
    <row r="11776" spans="40:42" x14ac:dyDescent="0.3">
      <c r="AN11776">
        <v>11772</v>
      </c>
      <c r="AO11776" s="11">
        <v>28766.29</v>
      </c>
      <c r="AP11776" s="9">
        <v>3.4123880043341237</v>
      </c>
    </row>
    <row r="11777" spans="40:42" x14ac:dyDescent="0.3">
      <c r="AN11777">
        <v>11773</v>
      </c>
      <c r="AO11777" s="11">
        <v>17176.650000000001</v>
      </c>
      <c r="AP11777" s="9">
        <v>3.823564415135615</v>
      </c>
    </row>
    <row r="11778" spans="40:42" x14ac:dyDescent="0.3">
      <c r="AN11778">
        <v>11774</v>
      </c>
      <c r="AO11778" s="11">
        <v>26359.83</v>
      </c>
      <c r="AP11778" s="9">
        <v>2.6470022691871966</v>
      </c>
    </row>
    <row r="11779" spans="40:42" x14ac:dyDescent="0.3">
      <c r="AN11779">
        <v>11775</v>
      </c>
      <c r="AO11779" s="11">
        <v>42795.05</v>
      </c>
      <c r="AP11779" s="9">
        <v>3.7192237569426498</v>
      </c>
    </row>
    <row r="11780" spans="40:42" x14ac:dyDescent="0.3">
      <c r="AN11780">
        <v>11776</v>
      </c>
      <c r="AO11780" s="11">
        <v>42749.59</v>
      </c>
      <c r="AP11780" s="9">
        <v>4.4325481574544945</v>
      </c>
    </row>
    <row r="11781" spans="40:42" x14ac:dyDescent="0.3">
      <c r="AN11781">
        <v>11777</v>
      </c>
      <c r="AO11781" s="11">
        <v>30509.93</v>
      </c>
      <c r="AP11781" s="9">
        <v>3.5721849573756943</v>
      </c>
    </row>
    <row r="11782" spans="40:42" x14ac:dyDescent="0.3">
      <c r="AN11782">
        <v>11778</v>
      </c>
      <c r="AO11782" s="11">
        <v>23093.1</v>
      </c>
      <c r="AP11782" s="9">
        <v>3.1327423328928696</v>
      </c>
    </row>
    <row r="11783" spans="40:42" x14ac:dyDescent="0.3">
      <c r="AN11783">
        <v>11779</v>
      </c>
      <c r="AO11783" s="11">
        <v>22901.72</v>
      </c>
      <c r="AP11783" s="9">
        <v>3.3862021555808828</v>
      </c>
    </row>
    <row r="11784" spans="40:42" x14ac:dyDescent="0.3">
      <c r="AN11784">
        <v>11780</v>
      </c>
      <c r="AO11784" s="11">
        <v>24459.4</v>
      </c>
      <c r="AP11784" s="9">
        <v>3.4235635319468321</v>
      </c>
    </row>
    <row r="11785" spans="40:42" x14ac:dyDescent="0.3">
      <c r="AN11785">
        <v>11781</v>
      </c>
      <c r="AO11785" s="11">
        <v>31586.86</v>
      </c>
      <c r="AP11785" s="9">
        <v>3.2135549371944538</v>
      </c>
    </row>
    <row r="11786" spans="40:42" x14ac:dyDescent="0.3">
      <c r="AN11786">
        <v>11782</v>
      </c>
      <c r="AO11786" s="11">
        <v>22241.38</v>
      </c>
      <c r="AP11786" s="9">
        <v>3.676638755946267</v>
      </c>
    </row>
    <row r="11787" spans="40:42" x14ac:dyDescent="0.3">
      <c r="AN11787">
        <v>11783</v>
      </c>
      <c r="AO11787" s="11">
        <v>14479.9</v>
      </c>
      <c r="AP11787" s="9">
        <v>2.8868812088191569</v>
      </c>
    </row>
    <row r="11788" spans="40:42" x14ac:dyDescent="0.3">
      <c r="AN11788">
        <v>11784</v>
      </c>
      <c r="AO11788" s="11">
        <v>23156.27</v>
      </c>
      <c r="AP11788" s="9">
        <v>4.0483204004883273</v>
      </c>
    </row>
    <row r="11789" spans="40:42" x14ac:dyDescent="0.3">
      <c r="AN11789">
        <v>11785</v>
      </c>
      <c r="AO11789" s="11">
        <v>31884.2</v>
      </c>
      <c r="AP11789" s="9">
        <v>3.8312678141143053</v>
      </c>
    </row>
    <row r="11790" spans="40:42" x14ac:dyDescent="0.3">
      <c r="AN11790">
        <v>11786</v>
      </c>
      <c r="AO11790" s="11">
        <v>28163.34</v>
      </c>
      <c r="AP11790" s="9">
        <v>4.406810336148669</v>
      </c>
    </row>
    <row r="11791" spans="40:42" x14ac:dyDescent="0.3">
      <c r="AN11791">
        <v>11787</v>
      </c>
      <c r="AO11791" s="11">
        <v>29399.75</v>
      </c>
      <c r="AP11791" s="9">
        <v>3.7346511752892049</v>
      </c>
    </row>
    <row r="11792" spans="40:42" x14ac:dyDescent="0.3">
      <c r="AN11792">
        <v>11788</v>
      </c>
      <c r="AO11792" s="11">
        <v>30625.29</v>
      </c>
      <c r="AP11792" s="9">
        <v>3.8122692770825704</v>
      </c>
    </row>
    <row r="11793" spans="40:42" x14ac:dyDescent="0.3">
      <c r="AN11793">
        <v>11789</v>
      </c>
      <c r="AO11793" s="11">
        <v>23242.87</v>
      </c>
      <c r="AP11793" s="9">
        <v>3.2311143779684803</v>
      </c>
    </row>
    <row r="11794" spans="40:42" x14ac:dyDescent="0.3">
      <c r="AN11794">
        <v>11790</v>
      </c>
      <c r="AO11794" s="11">
        <v>31163.45</v>
      </c>
      <c r="AP11794" s="9">
        <v>3.4711431014459535</v>
      </c>
    </row>
    <row r="11795" spans="40:42" x14ac:dyDescent="0.3">
      <c r="AN11795">
        <v>11791</v>
      </c>
      <c r="AO11795" s="11">
        <v>23742.38</v>
      </c>
      <c r="AP11795" s="9">
        <v>3.2756743827707213</v>
      </c>
    </row>
    <row r="11796" spans="40:42" x14ac:dyDescent="0.3">
      <c r="AN11796">
        <v>11792</v>
      </c>
      <c r="AO11796" s="11">
        <v>58490.48</v>
      </c>
      <c r="AP11796" s="9">
        <v>4.2064082613722711</v>
      </c>
    </row>
    <row r="11797" spans="40:42" x14ac:dyDescent="0.3">
      <c r="AN11797">
        <v>11793</v>
      </c>
      <c r="AO11797" s="11">
        <v>25389.29</v>
      </c>
      <c r="AP11797" s="9">
        <v>3.4518270302574487</v>
      </c>
    </row>
    <row r="11798" spans="40:42" x14ac:dyDescent="0.3">
      <c r="AN11798">
        <v>11794</v>
      </c>
      <c r="AO11798" s="11">
        <v>20847.09</v>
      </c>
      <c r="AP11798" s="9">
        <v>3.4269872553489766</v>
      </c>
    </row>
    <row r="11799" spans="40:42" x14ac:dyDescent="0.3">
      <c r="AN11799">
        <v>11795</v>
      </c>
      <c r="AO11799" s="11">
        <v>36662.199999999997</v>
      </c>
      <c r="AP11799" s="9">
        <v>3.7444887750842644</v>
      </c>
    </row>
    <row r="11800" spans="40:42" x14ac:dyDescent="0.3">
      <c r="AN11800">
        <v>11796</v>
      </c>
      <c r="AO11800" s="11">
        <v>20921.62</v>
      </c>
      <c r="AP11800" s="9">
        <v>3.4334425858024558</v>
      </c>
    </row>
    <row r="11801" spans="40:42" x14ac:dyDescent="0.3">
      <c r="AN11801">
        <v>11797</v>
      </c>
      <c r="AO11801" s="11">
        <v>30235.01</v>
      </c>
      <c r="AP11801" s="9">
        <v>3.5920542339940562</v>
      </c>
    </row>
    <row r="11802" spans="40:42" x14ac:dyDescent="0.3">
      <c r="AN11802">
        <v>11798</v>
      </c>
      <c r="AO11802" s="11">
        <v>29800.39</v>
      </c>
      <c r="AP11802" s="9">
        <v>3.6341922632684431</v>
      </c>
    </row>
    <row r="11803" spans="40:42" x14ac:dyDescent="0.3">
      <c r="AN11803">
        <v>11799</v>
      </c>
      <c r="AO11803" s="11">
        <v>35724.14</v>
      </c>
      <c r="AP11803" s="9">
        <v>4.074987788406423</v>
      </c>
    </row>
    <row r="11804" spans="40:42" x14ac:dyDescent="0.3">
      <c r="AN11804">
        <v>11800</v>
      </c>
      <c r="AO11804" s="11">
        <v>23561.62</v>
      </c>
      <c r="AP11804" s="9">
        <v>3.1654776488864065</v>
      </c>
    </row>
    <row r="11805" spans="40:42" x14ac:dyDescent="0.3">
      <c r="AN11805">
        <v>11801</v>
      </c>
      <c r="AO11805" s="11">
        <v>24976.39</v>
      </c>
      <c r="AP11805" s="9">
        <v>3.405627598191344</v>
      </c>
    </row>
    <row r="11806" spans="40:42" x14ac:dyDescent="0.3">
      <c r="AN11806">
        <v>11802</v>
      </c>
      <c r="AO11806" s="11">
        <v>24171.279999999999</v>
      </c>
      <c r="AP11806" s="9">
        <v>3.6489173747610884</v>
      </c>
    </row>
    <row r="11807" spans="40:42" x14ac:dyDescent="0.3">
      <c r="AN11807">
        <v>11803</v>
      </c>
      <c r="AO11807" s="11">
        <v>28646.05</v>
      </c>
      <c r="AP11807" s="9">
        <v>3.1295866548400881</v>
      </c>
    </row>
    <row r="11808" spans="40:42" x14ac:dyDescent="0.3">
      <c r="AN11808">
        <v>11804</v>
      </c>
      <c r="AO11808" s="11">
        <v>19568</v>
      </c>
      <c r="AP11808" s="9">
        <v>3.4144210652239924</v>
      </c>
    </row>
    <row r="11809" spans="40:42" x14ac:dyDescent="0.3">
      <c r="AN11809">
        <v>11805</v>
      </c>
      <c r="AO11809" s="11">
        <v>37618.31</v>
      </c>
      <c r="AP11809" s="9">
        <v>3.4737263921857715</v>
      </c>
    </row>
    <row r="11810" spans="40:42" x14ac:dyDescent="0.3">
      <c r="AN11810">
        <v>11806</v>
      </c>
      <c r="AO11810" s="11">
        <v>35257.79</v>
      </c>
      <c r="AP11810" s="9">
        <v>3.8039364041862473</v>
      </c>
    </row>
    <row r="11811" spans="40:42" x14ac:dyDescent="0.3">
      <c r="AN11811">
        <v>11807</v>
      </c>
      <c r="AO11811" s="11">
        <v>25764.18</v>
      </c>
      <c r="AP11811" s="9">
        <v>3.3640842026582378</v>
      </c>
    </row>
    <row r="11812" spans="40:42" x14ac:dyDescent="0.3">
      <c r="AN11812">
        <v>11808</v>
      </c>
      <c r="AO11812" s="11">
        <v>24466.59</v>
      </c>
      <c r="AP11812" s="9">
        <v>3.0934964783957084</v>
      </c>
    </row>
    <row r="11813" spans="40:42" x14ac:dyDescent="0.3">
      <c r="AN11813">
        <v>11809</v>
      </c>
      <c r="AO11813" s="11">
        <v>22513.21</v>
      </c>
      <c r="AP11813" s="9">
        <v>3.2878706122742991</v>
      </c>
    </row>
    <row r="11814" spans="40:42" x14ac:dyDescent="0.3">
      <c r="AN11814">
        <v>11810</v>
      </c>
      <c r="AO11814" s="11">
        <v>13392.16</v>
      </c>
      <c r="AP11814" s="9">
        <v>3.2281486623846249</v>
      </c>
    </row>
    <row r="11815" spans="40:42" x14ac:dyDescent="0.3">
      <c r="AN11815">
        <v>11811</v>
      </c>
      <c r="AO11815" s="11">
        <v>23914.59</v>
      </c>
      <c r="AP11815" s="9">
        <v>3.5642291595060529</v>
      </c>
    </row>
    <row r="11816" spans="40:42" x14ac:dyDescent="0.3">
      <c r="AN11816">
        <v>11812</v>
      </c>
      <c r="AO11816" s="11">
        <v>28308.98</v>
      </c>
      <c r="AP11816" s="9">
        <v>3.4699875416013843</v>
      </c>
    </row>
    <row r="11817" spans="40:42" x14ac:dyDescent="0.3">
      <c r="AN11817">
        <v>11813</v>
      </c>
      <c r="AO11817" s="11">
        <v>27424.33</v>
      </c>
      <c r="AP11817" s="9">
        <v>3.3698853282416774</v>
      </c>
    </row>
    <row r="11818" spans="40:42" x14ac:dyDescent="0.3">
      <c r="AN11818">
        <v>11814</v>
      </c>
      <c r="AO11818" s="11">
        <v>19986.11</v>
      </c>
      <c r="AP11818" s="9">
        <v>3.2936301415549916</v>
      </c>
    </row>
    <row r="11819" spans="40:42" x14ac:dyDescent="0.3">
      <c r="AN11819">
        <v>11815</v>
      </c>
      <c r="AO11819" s="11">
        <v>29159.89</v>
      </c>
      <c r="AP11819" s="9">
        <v>3.4333525991651688</v>
      </c>
    </row>
    <row r="11820" spans="40:42" x14ac:dyDescent="0.3">
      <c r="AN11820">
        <v>11816</v>
      </c>
      <c r="AO11820" s="11">
        <v>37043.300000000003</v>
      </c>
      <c r="AP11820" s="9">
        <v>3.7772056985732365</v>
      </c>
    </row>
    <row r="11821" spans="40:42" x14ac:dyDescent="0.3">
      <c r="AN11821">
        <v>11817</v>
      </c>
      <c r="AO11821" s="11">
        <v>31405.21</v>
      </c>
      <c r="AP11821" s="9">
        <v>3.5915525030913882</v>
      </c>
    </row>
    <row r="11822" spans="40:42" x14ac:dyDescent="0.3">
      <c r="AN11822">
        <v>11818</v>
      </c>
      <c r="AO11822" s="11">
        <v>24076.11</v>
      </c>
      <c r="AP11822" s="9">
        <v>2.9454312541045837</v>
      </c>
    </row>
    <row r="11823" spans="40:42" x14ac:dyDescent="0.3">
      <c r="AN11823">
        <v>11819</v>
      </c>
      <c r="AO11823" s="11">
        <v>20425.55</v>
      </c>
      <c r="AP11823" s="9">
        <v>2.8629772568599523</v>
      </c>
    </row>
    <row r="11824" spans="40:42" x14ac:dyDescent="0.3">
      <c r="AN11824">
        <v>11820</v>
      </c>
      <c r="AO11824" s="11">
        <v>46865.35</v>
      </c>
      <c r="AP11824" s="9">
        <v>3.6825476699003157</v>
      </c>
    </row>
    <row r="11825" spans="40:42" x14ac:dyDescent="0.3">
      <c r="AN11825">
        <v>11821</v>
      </c>
      <c r="AO11825" s="11">
        <v>30812.83</v>
      </c>
      <c r="AP11825" s="9">
        <v>3.8164470860419994</v>
      </c>
    </row>
    <row r="11826" spans="40:42" x14ac:dyDescent="0.3">
      <c r="AN11826">
        <v>11822</v>
      </c>
      <c r="AO11826" s="11">
        <v>39421.22</v>
      </c>
      <c r="AP11826" s="9">
        <v>3.2410880403811886</v>
      </c>
    </row>
    <row r="11827" spans="40:42" x14ac:dyDescent="0.3">
      <c r="AN11827">
        <v>11823</v>
      </c>
      <c r="AO11827" s="11">
        <v>34189.03</v>
      </c>
      <c r="AP11827" s="9">
        <v>3.785526579169443</v>
      </c>
    </row>
    <row r="11828" spans="40:42" x14ac:dyDescent="0.3">
      <c r="AN11828">
        <v>11824</v>
      </c>
      <c r="AO11828" s="11">
        <v>18749</v>
      </c>
      <c r="AP11828" s="9">
        <v>3.5080027613965412</v>
      </c>
    </row>
    <row r="11829" spans="40:42" x14ac:dyDescent="0.3">
      <c r="AN11829">
        <v>11825</v>
      </c>
      <c r="AO11829" s="11">
        <v>34500.400000000001</v>
      </c>
      <c r="AP11829" s="9">
        <v>3.7722985475218076</v>
      </c>
    </row>
    <row r="11830" spans="40:42" x14ac:dyDescent="0.3">
      <c r="AN11830">
        <v>11826</v>
      </c>
      <c r="AO11830" s="11">
        <v>21178.45</v>
      </c>
      <c r="AP11830" s="9">
        <v>3.227877212735569</v>
      </c>
    </row>
    <row r="11831" spans="40:42" x14ac:dyDescent="0.3">
      <c r="AN11831">
        <v>11827</v>
      </c>
      <c r="AO11831" s="11">
        <v>35484.639999999999</v>
      </c>
      <c r="AP11831" s="9">
        <v>3.6500468577689213</v>
      </c>
    </row>
    <row r="11832" spans="40:42" x14ac:dyDescent="0.3">
      <c r="AN11832">
        <v>11828</v>
      </c>
      <c r="AO11832" s="11">
        <v>26251.45</v>
      </c>
      <c r="AP11832" s="9">
        <v>4.2485172226505341</v>
      </c>
    </row>
    <row r="11833" spans="40:42" x14ac:dyDescent="0.3">
      <c r="AN11833">
        <v>11829</v>
      </c>
      <c r="AO11833" s="11">
        <v>21796.27</v>
      </c>
      <c r="AP11833" s="9">
        <v>2.9662401534374636</v>
      </c>
    </row>
    <row r="11834" spans="40:42" x14ac:dyDescent="0.3">
      <c r="AN11834">
        <v>11830</v>
      </c>
      <c r="AO11834" s="11">
        <v>21350.52</v>
      </c>
      <c r="AP11834" s="9">
        <v>3.4795764855656977</v>
      </c>
    </row>
    <row r="11835" spans="40:42" x14ac:dyDescent="0.3">
      <c r="AN11835">
        <v>11831</v>
      </c>
      <c r="AO11835" s="11">
        <v>16195.09</v>
      </c>
      <c r="AP11835" s="9">
        <v>3.1296931647577746</v>
      </c>
    </row>
    <row r="11836" spans="40:42" x14ac:dyDescent="0.3">
      <c r="AN11836">
        <v>11832</v>
      </c>
      <c r="AO11836" s="11">
        <v>24015.22</v>
      </c>
      <c r="AP11836" s="9">
        <v>2.8814329011773649</v>
      </c>
    </row>
    <row r="11837" spans="40:42" x14ac:dyDescent="0.3">
      <c r="AN11837">
        <v>11833</v>
      </c>
      <c r="AO11837" s="11">
        <v>33620.300000000003</v>
      </c>
      <c r="AP11837" s="9">
        <v>3.4738934105722259</v>
      </c>
    </row>
    <row r="11838" spans="40:42" x14ac:dyDescent="0.3">
      <c r="AN11838">
        <v>11834</v>
      </c>
      <c r="AO11838" s="11">
        <v>44827.58</v>
      </c>
      <c r="AP11838" s="9">
        <v>3.8029466057020751</v>
      </c>
    </row>
    <row r="11839" spans="40:42" x14ac:dyDescent="0.3">
      <c r="AN11839">
        <v>11835</v>
      </c>
      <c r="AO11839" s="11">
        <v>36917.589999999997</v>
      </c>
      <c r="AP11839" s="9">
        <v>3.4403308481644315</v>
      </c>
    </row>
    <row r="11840" spans="40:42" x14ac:dyDescent="0.3">
      <c r="AN11840">
        <v>11836</v>
      </c>
      <c r="AO11840" s="11">
        <v>24516.14</v>
      </c>
      <c r="AP11840" s="9">
        <v>3.6071972825588623</v>
      </c>
    </row>
    <row r="11841" spans="40:42" x14ac:dyDescent="0.3">
      <c r="AN11841">
        <v>11837</v>
      </c>
      <c r="AO11841" s="11">
        <v>36022.080000000002</v>
      </c>
      <c r="AP11841" s="9">
        <v>4.0147249224565407</v>
      </c>
    </row>
    <row r="11842" spans="40:42" x14ac:dyDescent="0.3">
      <c r="AN11842">
        <v>11838</v>
      </c>
      <c r="AO11842" s="11">
        <v>22597.23</v>
      </c>
      <c r="AP11842" s="9">
        <v>3.0231301817914562</v>
      </c>
    </row>
    <row r="11843" spans="40:42" x14ac:dyDescent="0.3">
      <c r="AN11843">
        <v>11839</v>
      </c>
      <c r="AO11843" s="11">
        <v>19221.810000000001</v>
      </c>
      <c r="AP11843" s="9">
        <v>3.1926841128448062</v>
      </c>
    </row>
    <row r="11844" spans="40:42" x14ac:dyDescent="0.3">
      <c r="AN11844">
        <v>11840</v>
      </c>
      <c r="AO11844" s="11">
        <v>44423.45</v>
      </c>
      <c r="AP11844" s="9">
        <v>4.2562535800619639</v>
      </c>
    </row>
    <row r="11845" spans="40:42" x14ac:dyDescent="0.3">
      <c r="AN11845">
        <v>11841</v>
      </c>
      <c r="AO11845" s="11">
        <v>50116.12</v>
      </c>
      <c r="AP11845" s="9">
        <v>3.9553809262608439</v>
      </c>
    </row>
    <row r="11846" spans="40:42" x14ac:dyDescent="0.3">
      <c r="AN11846">
        <v>11842</v>
      </c>
      <c r="AO11846" s="11">
        <v>29009.77</v>
      </c>
      <c r="AP11846" s="9">
        <v>3.3066664522916782</v>
      </c>
    </row>
    <row r="11847" spans="40:42" x14ac:dyDescent="0.3">
      <c r="AN11847">
        <v>11843</v>
      </c>
      <c r="AO11847" s="11">
        <v>23395.599999999999</v>
      </c>
      <c r="AP11847" s="9">
        <v>3.3211673252755851</v>
      </c>
    </row>
    <row r="11848" spans="40:42" x14ac:dyDescent="0.3">
      <c r="AN11848">
        <v>11844</v>
      </c>
      <c r="AO11848" s="11">
        <v>32942.959999999999</v>
      </c>
      <c r="AP11848" s="9">
        <v>3.7228564604213572</v>
      </c>
    </row>
    <row r="11849" spans="40:42" x14ac:dyDescent="0.3">
      <c r="AN11849">
        <v>11845</v>
      </c>
      <c r="AO11849" s="11">
        <v>22387.35</v>
      </c>
      <c r="AP11849" s="9">
        <v>4.0151417384145107</v>
      </c>
    </row>
    <row r="11850" spans="40:42" x14ac:dyDescent="0.3">
      <c r="AN11850">
        <v>11846</v>
      </c>
      <c r="AO11850" s="11">
        <v>28155.29</v>
      </c>
      <c r="AP11850" s="9">
        <v>3.606451576023574</v>
      </c>
    </row>
    <row r="11851" spans="40:42" x14ac:dyDescent="0.3">
      <c r="AN11851">
        <v>11847</v>
      </c>
      <c r="AO11851" s="11">
        <v>44492.27</v>
      </c>
      <c r="AP11851" s="9">
        <v>3.0975383401803387</v>
      </c>
    </row>
    <row r="11852" spans="40:42" x14ac:dyDescent="0.3">
      <c r="AN11852">
        <v>11848</v>
      </c>
      <c r="AO11852" s="11">
        <v>29958.07</v>
      </c>
      <c r="AP11852" s="9">
        <v>3.7492587055948174</v>
      </c>
    </row>
    <row r="11853" spans="40:42" x14ac:dyDescent="0.3">
      <c r="AN11853">
        <v>11849</v>
      </c>
      <c r="AO11853" s="11">
        <v>22291.24</v>
      </c>
      <c r="AP11853" s="9">
        <v>2.7263881961760932</v>
      </c>
    </row>
    <row r="11854" spans="40:42" x14ac:dyDescent="0.3">
      <c r="AN11854">
        <v>11850</v>
      </c>
      <c r="AO11854" s="11">
        <v>20039.61</v>
      </c>
      <c r="AP11854" s="9">
        <v>2.9880120257269476</v>
      </c>
    </row>
    <row r="11855" spans="40:42" x14ac:dyDescent="0.3">
      <c r="AN11855">
        <v>11851</v>
      </c>
      <c r="AO11855" s="11">
        <v>32034.25</v>
      </c>
      <c r="AP11855" s="9">
        <v>3.5513592752177936</v>
      </c>
    </row>
    <row r="11856" spans="40:42" x14ac:dyDescent="0.3">
      <c r="AN11856">
        <v>11852</v>
      </c>
      <c r="AO11856" s="11">
        <v>44074.95</v>
      </c>
      <c r="AP11856" s="9">
        <v>3.286620681736439</v>
      </c>
    </row>
    <row r="11857" spans="40:42" x14ac:dyDescent="0.3">
      <c r="AN11857">
        <v>11853</v>
      </c>
      <c r="AO11857" s="11">
        <v>22355.7</v>
      </c>
      <c r="AP11857" s="9">
        <v>2.9190259311835427</v>
      </c>
    </row>
    <row r="11858" spans="40:42" x14ac:dyDescent="0.3">
      <c r="AN11858">
        <v>11854</v>
      </c>
      <c r="AO11858" s="11">
        <v>33168.39</v>
      </c>
      <c r="AP11858" s="9">
        <v>3.4785916549416447</v>
      </c>
    </row>
    <row r="11859" spans="40:42" x14ac:dyDescent="0.3">
      <c r="AN11859">
        <v>11855</v>
      </c>
      <c r="AO11859" s="11">
        <v>15335.87</v>
      </c>
      <c r="AP11859" s="9">
        <v>3.1288748112749629</v>
      </c>
    </row>
    <row r="11860" spans="40:42" x14ac:dyDescent="0.3">
      <c r="AN11860">
        <v>11856</v>
      </c>
      <c r="AO11860" s="11">
        <v>33701.86</v>
      </c>
      <c r="AP11860" s="9">
        <v>3.81433631831425</v>
      </c>
    </row>
    <row r="11861" spans="40:42" x14ac:dyDescent="0.3">
      <c r="AN11861">
        <v>11857</v>
      </c>
      <c r="AO11861" s="11">
        <v>30819.040000000001</v>
      </c>
      <c r="AP11861" s="9">
        <v>3.4431048826897963</v>
      </c>
    </row>
    <row r="11862" spans="40:42" x14ac:dyDescent="0.3">
      <c r="AN11862">
        <v>11858</v>
      </c>
      <c r="AO11862" s="11">
        <v>30406.04</v>
      </c>
      <c r="AP11862" s="9">
        <v>3.1097373449987873</v>
      </c>
    </row>
    <row r="11863" spans="40:42" x14ac:dyDescent="0.3">
      <c r="AN11863">
        <v>11859</v>
      </c>
      <c r="AO11863" s="11">
        <v>24831</v>
      </c>
      <c r="AP11863" s="9">
        <v>4.3206000287298973</v>
      </c>
    </row>
    <row r="11864" spans="40:42" x14ac:dyDescent="0.3">
      <c r="AN11864">
        <v>11860</v>
      </c>
      <c r="AO11864" s="11">
        <v>18864.099999999999</v>
      </c>
      <c r="AP11864" s="9">
        <v>2.8419727565309927</v>
      </c>
    </row>
    <row r="11865" spans="40:42" x14ac:dyDescent="0.3">
      <c r="AN11865">
        <v>11861</v>
      </c>
      <c r="AO11865" s="11">
        <v>41124.33</v>
      </c>
      <c r="AP11865" s="9">
        <v>3.6550990500437877</v>
      </c>
    </row>
    <row r="11866" spans="40:42" x14ac:dyDescent="0.3">
      <c r="AN11866">
        <v>11862</v>
      </c>
      <c r="AO11866" s="11">
        <v>30947.65</v>
      </c>
      <c r="AP11866" s="9">
        <v>4.7186312558312515</v>
      </c>
    </row>
    <row r="11867" spans="40:42" x14ac:dyDescent="0.3">
      <c r="AN11867">
        <v>11863</v>
      </c>
      <c r="AO11867" s="11">
        <v>24064.5</v>
      </c>
      <c r="AP11867" s="9">
        <v>2.8387868940575824</v>
      </c>
    </row>
    <row r="11868" spans="40:42" x14ac:dyDescent="0.3">
      <c r="AN11868">
        <v>11864</v>
      </c>
      <c r="AO11868" s="11">
        <v>20721.400000000001</v>
      </c>
      <c r="AP11868" s="9">
        <v>3.68982164765956</v>
      </c>
    </row>
    <row r="11869" spans="40:42" x14ac:dyDescent="0.3">
      <c r="AN11869">
        <v>11865</v>
      </c>
      <c r="AO11869" s="11">
        <v>28765.14</v>
      </c>
      <c r="AP11869" s="9">
        <v>3.3122968432082112</v>
      </c>
    </row>
    <row r="11870" spans="40:42" x14ac:dyDescent="0.3">
      <c r="AN11870">
        <v>11866</v>
      </c>
      <c r="AO11870" s="11">
        <v>26296.87</v>
      </c>
      <c r="AP11870" s="9">
        <v>3.5875783747282806</v>
      </c>
    </row>
    <row r="11871" spans="40:42" x14ac:dyDescent="0.3">
      <c r="AN11871">
        <v>11867</v>
      </c>
      <c r="AO11871" s="11">
        <v>37088.230000000003</v>
      </c>
      <c r="AP11871" s="9">
        <v>3.4422564069110395</v>
      </c>
    </row>
    <row r="11872" spans="40:42" x14ac:dyDescent="0.3">
      <c r="AN11872">
        <v>11868</v>
      </c>
      <c r="AO11872" s="11">
        <v>19586.38</v>
      </c>
      <c r="AP11872" s="9">
        <v>2.9552160741630007</v>
      </c>
    </row>
    <row r="11873" spans="40:42" x14ac:dyDescent="0.3">
      <c r="AN11873">
        <v>11869</v>
      </c>
      <c r="AO11873" s="11">
        <v>26077.34</v>
      </c>
      <c r="AP11873" s="9">
        <v>3.1704630068026072</v>
      </c>
    </row>
    <row r="11874" spans="40:42" x14ac:dyDescent="0.3">
      <c r="AN11874">
        <v>11870</v>
      </c>
      <c r="AO11874" s="11">
        <v>14787.44</v>
      </c>
      <c r="AP11874" s="9">
        <v>2.8168802278995986</v>
      </c>
    </row>
    <row r="11875" spans="40:42" x14ac:dyDescent="0.3">
      <c r="AN11875">
        <v>11871</v>
      </c>
      <c r="AO11875" s="11">
        <v>42559.91</v>
      </c>
      <c r="AP11875" s="9">
        <v>3.1552457632807185</v>
      </c>
    </row>
    <row r="11876" spans="40:42" x14ac:dyDescent="0.3">
      <c r="AN11876">
        <v>11872</v>
      </c>
      <c r="AO11876" s="11">
        <v>20231.7</v>
      </c>
      <c r="AP11876" s="9">
        <v>3.460895682805893</v>
      </c>
    </row>
    <row r="11877" spans="40:42" x14ac:dyDescent="0.3">
      <c r="AN11877">
        <v>11873</v>
      </c>
      <c r="AO11877" s="11">
        <v>37139.39</v>
      </c>
      <c r="AP11877" s="9">
        <v>3.8918701639166895</v>
      </c>
    </row>
    <row r="11878" spans="40:42" x14ac:dyDescent="0.3">
      <c r="AN11878">
        <v>11874</v>
      </c>
      <c r="AO11878" s="11">
        <v>25301.31</v>
      </c>
      <c r="AP11878" s="9">
        <v>3.8976996320725603</v>
      </c>
    </row>
    <row r="11879" spans="40:42" x14ac:dyDescent="0.3">
      <c r="AN11879">
        <v>11875</v>
      </c>
      <c r="AO11879" s="11">
        <v>30915.200000000001</v>
      </c>
      <c r="AP11879" s="9">
        <v>4.1209222740417806</v>
      </c>
    </row>
    <row r="11880" spans="40:42" x14ac:dyDescent="0.3">
      <c r="AN11880">
        <v>11876</v>
      </c>
      <c r="AO11880" s="11">
        <v>31126.41</v>
      </c>
      <c r="AP11880" s="9">
        <v>3.3470546007846087</v>
      </c>
    </row>
    <row r="11881" spans="40:42" x14ac:dyDescent="0.3">
      <c r="AN11881">
        <v>11877</v>
      </c>
      <c r="AO11881" s="11">
        <v>21748.58</v>
      </c>
      <c r="AP11881" s="9">
        <v>3.4484583915099711</v>
      </c>
    </row>
    <row r="11882" spans="40:42" x14ac:dyDescent="0.3">
      <c r="AN11882">
        <v>11878</v>
      </c>
      <c r="AO11882" s="11">
        <v>34820.71</v>
      </c>
      <c r="AP11882" s="9">
        <v>4.2060346635156298</v>
      </c>
    </row>
    <row r="11883" spans="40:42" x14ac:dyDescent="0.3">
      <c r="AN11883">
        <v>11879</v>
      </c>
      <c r="AO11883" s="11">
        <v>28974.22</v>
      </c>
      <c r="AP11883" s="9">
        <v>3.4927356061078969</v>
      </c>
    </row>
    <row r="11884" spans="40:42" x14ac:dyDescent="0.3">
      <c r="AN11884">
        <v>11880</v>
      </c>
      <c r="AO11884" s="11">
        <v>30361.35</v>
      </c>
      <c r="AP11884" s="9">
        <v>3.1932406664811084</v>
      </c>
    </row>
    <row r="11885" spans="40:42" x14ac:dyDescent="0.3">
      <c r="AN11885">
        <v>11881</v>
      </c>
      <c r="AO11885" s="11">
        <v>28128.74</v>
      </c>
      <c r="AP11885" s="9">
        <v>3.3349774198892095</v>
      </c>
    </row>
    <row r="11886" spans="40:42" x14ac:dyDescent="0.3">
      <c r="AN11886">
        <v>11882</v>
      </c>
      <c r="AO11886" s="11">
        <v>26748.01</v>
      </c>
      <c r="AP11886" s="9">
        <v>2.6415287037545565</v>
      </c>
    </row>
    <row r="11887" spans="40:42" x14ac:dyDescent="0.3">
      <c r="AN11887">
        <v>11883</v>
      </c>
      <c r="AO11887" s="11">
        <v>35116.1</v>
      </c>
      <c r="AP11887" s="9">
        <v>3.5150166582512652</v>
      </c>
    </row>
    <row r="11888" spans="40:42" x14ac:dyDescent="0.3">
      <c r="AN11888">
        <v>11884</v>
      </c>
      <c r="AO11888" s="11">
        <v>28697.32</v>
      </c>
      <c r="AP11888" s="9">
        <v>3.435890735234703</v>
      </c>
    </row>
    <row r="11889" spans="40:42" x14ac:dyDescent="0.3">
      <c r="AN11889">
        <v>11885</v>
      </c>
      <c r="AO11889" s="11">
        <v>23909.85</v>
      </c>
      <c r="AP11889" s="9">
        <v>3.3157526872838869</v>
      </c>
    </row>
    <row r="11890" spans="40:42" x14ac:dyDescent="0.3">
      <c r="AN11890">
        <v>11886</v>
      </c>
      <c r="AO11890" s="11">
        <v>23029.33</v>
      </c>
      <c r="AP11890" s="9">
        <v>3.4890302592153852</v>
      </c>
    </row>
    <row r="11891" spans="40:42" x14ac:dyDescent="0.3">
      <c r="AN11891">
        <v>11887</v>
      </c>
      <c r="AO11891" s="11">
        <v>21675.87</v>
      </c>
      <c r="AP11891" s="9">
        <v>3.7399411491173367</v>
      </c>
    </row>
    <row r="11892" spans="40:42" x14ac:dyDescent="0.3">
      <c r="AN11892">
        <v>11888</v>
      </c>
      <c r="AO11892" s="11">
        <v>18406.59</v>
      </c>
      <c r="AP11892" s="9">
        <v>2.9858989036101558</v>
      </c>
    </row>
    <row r="11893" spans="40:42" x14ac:dyDescent="0.3">
      <c r="AN11893">
        <v>11889</v>
      </c>
      <c r="AO11893" s="11">
        <v>25495.48</v>
      </c>
      <c r="AP11893" s="9">
        <v>3.2673493130925197</v>
      </c>
    </row>
    <row r="11894" spans="40:42" x14ac:dyDescent="0.3">
      <c r="AN11894">
        <v>11890</v>
      </c>
      <c r="AO11894" s="11">
        <v>28464.2</v>
      </c>
      <c r="AP11894" s="9">
        <v>3.4475742838870809</v>
      </c>
    </row>
    <row r="11895" spans="40:42" x14ac:dyDescent="0.3">
      <c r="AN11895">
        <v>11891</v>
      </c>
      <c r="AO11895" s="11">
        <v>24912.44</v>
      </c>
      <c r="AP11895" s="9">
        <v>3.1670307824328185</v>
      </c>
    </row>
    <row r="11896" spans="40:42" x14ac:dyDescent="0.3">
      <c r="AN11896">
        <v>11892</v>
      </c>
      <c r="AO11896" s="11">
        <v>28951.54</v>
      </c>
      <c r="AP11896" s="9">
        <v>3.1142400815800984</v>
      </c>
    </row>
    <row r="11897" spans="40:42" x14ac:dyDescent="0.3">
      <c r="AN11897">
        <v>11893</v>
      </c>
      <c r="AO11897" s="11">
        <v>37019.26</v>
      </c>
      <c r="AP11897" s="9">
        <v>3.4447027788241806</v>
      </c>
    </row>
    <row r="11898" spans="40:42" x14ac:dyDescent="0.3">
      <c r="AN11898">
        <v>11894</v>
      </c>
      <c r="AO11898" s="11">
        <v>25831.58</v>
      </c>
      <c r="AP11898" s="9">
        <v>3.3384600530356479</v>
      </c>
    </row>
    <row r="11899" spans="40:42" x14ac:dyDescent="0.3">
      <c r="AN11899">
        <v>11895</v>
      </c>
      <c r="AO11899" s="11">
        <v>38406.76</v>
      </c>
      <c r="AP11899" s="9">
        <v>3.8028367549137925</v>
      </c>
    </row>
    <row r="11900" spans="40:42" x14ac:dyDescent="0.3">
      <c r="AN11900">
        <v>11896</v>
      </c>
      <c r="AO11900" s="11">
        <v>20222.78</v>
      </c>
      <c r="AP11900" s="9">
        <v>3.6221966822040752</v>
      </c>
    </row>
    <row r="11901" spans="40:42" x14ac:dyDescent="0.3">
      <c r="AN11901">
        <v>11897</v>
      </c>
      <c r="AO11901" s="11">
        <v>24648.15</v>
      </c>
      <c r="AP11901" s="9">
        <v>3.8130771170772877</v>
      </c>
    </row>
    <row r="11902" spans="40:42" x14ac:dyDescent="0.3">
      <c r="AN11902">
        <v>11898</v>
      </c>
      <c r="AO11902" s="11">
        <v>19467.11</v>
      </c>
      <c r="AP11902" s="9">
        <v>3.2367957471839026</v>
      </c>
    </row>
    <row r="11903" spans="40:42" x14ac:dyDescent="0.3">
      <c r="AN11903">
        <v>11899</v>
      </c>
      <c r="AO11903" s="11">
        <v>25132.47</v>
      </c>
      <c r="AP11903" s="9">
        <v>3.7571917187932078</v>
      </c>
    </row>
    <row r="11904" spans="40:42" x14ac:dyDescent="0.3">
      <c r="AN11904">
        <v>11900</v>
      </c>
      <c r="AO11904" s="11">
        <v>28426.080000000002</v>
      </c>
      <c r="AP11904" s="9">
        <v>3.6379683916355439</v>
      </c>
    </row>
    <row r="11905" spans="40:42" x14ac:dyDescent="0.3">
      <c r="AN11905">
        <v>11901</v>
      </c>
      <c r="AO11905" s="11">
        <v>44589.919999999998</v>
      </c>
      <c r="AP11905" s="9">
        <v>3.8597654653008107</v>
      </c>
    </row>
    <row r="11906" spans="40:42" x14ac:dyDescent="0.3">
      <c r="AN11906">
        <v>11902</v>
      </c>
      <c r="AO11906" s="11">
        <v>19530.45</v>
      </c>
      <c r="AP11906" s="9">
        <v>3.2589583279494443</v>
      </c>
    </row>
    <row r="11907" spans="40:42" x14ac:dyDescent="0.3">
      <c r="AN11907">
        <v>11903</v>
      </c>
      <c r="AO11907" s="11">
        <v>23685.09</v>
      </c>
      <c r="AP11907" s="9">
        <v>3.4219125229878462</v>
      </c>
    </row>
    <row r="11908" spans="40:42" x14ac:dyDescent="0.3">
      <c r="AN11908">
        <v>11904</v>
      </c>
      <c r="AO11908" s="11">
        <v>22175.93</v>
      </c>
      <c r="AP11908" s="9">
        <v>2.9053566797482637</v>
      </c>
    </row>
    <row r="11909" spans="40:42" x14ac:dyDescent="0.3">
      <c r="AN11909">
        <v>11905</v>
      </c>
      <c r="AO11909" s="11">
        <v>25936.5</v>
      </c>
      <c r="AP11909" s="9">
        <v>3.1406207127283476</v>
      </c>
    </row>
    <row r="11910" spans="40:42" x14ac:dyDescent="0.3">
      <c r="AN11910">
        <v>11906</v>
      </c>
      <c r="AO11910" s="11">
        <v>23055.08</v>
      </c>
      <c r="AP11910" s="9">
        <v>3.2884556189695209</v>
      </c>
    </row>
    <row r="11911" spans="40:42" x14ac:dyDescent="0.3">
      <c r="AN11911">
        <v>11907</v>
      </c>
      <c r="AO11911" s="11">
        <v>41579.68</v>
      </c>
      <c r="AP11911" s="9">
        <v>3.6377779364996297</v>
      </c>
    </row>
    <row r="11912" spans="40:42" x14ac:dyDescent="0.3">
      <c r="AN11912">
        <v>11908</v>
      </c>
      <c r="AO11912" s="11">
        <v>20195.439999999999</v>
      </c>
      <c r="AP11912" s="9">
        <v>3.0169079445083136</v>
      </c>
    </row>
    <row r="11913" spans="40:42" x14ac:dyDescent="0.3">
      <c r="AN11913">
        <v>11909</v>
      </c>
      <c r="AO11913" s="11">
        <v>33709.040000000001</v>
      </c>
      <c r="AP11913" s="9">
        <v>3.9724573635230285</v>
      </c>
    </row>
    <row r="11914" spans="40:42" x14ac:dyDescent="0.3">
      <c r="AN11914">
        <v>11910</v>
      </c>
      <c r="AO11914" s="11">
        <v>33501.42</v>
      </c>
      <c r="AP11914" s="9">
        <v>3.0710391631084031</v>
      </c>
    </row>
    <row r="11915" spans="40:42" x14ac:dyDescent="0.3">
      <c r="AN11915">
        <v>11911</v>
      </c>
      <c r="AO11915" s="11">
        <v>20995.16</v>
      </c>
      <c r="AP11915" s="9">
        <v>3.1452755039106299</v>
      </c>
    </row>
    <row r="11916" spans="40:42" x14ac:dyDescent="0.3">
      <c r="AN11916">
        <v>11912</v>
      </c>
      <c r="AO11916" s="11">
        <v>20808.66</v>
      </c>
      <c r="AP11916" s="9">
        <v>2.9844394733676793</v>
      </c>
    </row>
    <row r="11917" spans="40:42" x14ac:dyDescent="0.3">
      <c r="AN11917">
        <v>11913</v>
      </c>
      <c r="AO11917" s="11">
        <v>33057.68</v>
      </c>
      <c r="AP11917" s="9">
        <v>3.7519653650885481</v>
      </c>
    </row>
    <row r="11918" spans="40:42" x14ac:dyDescent="0.3">
      <c r="AN11918">
        <v>11914</v>
      </c>
      <c r="AO11918" s="11">
        <v>37431.68</v>
      </c>
      <c r="AP11918" s="9">
        <v>4.4302655597032476</v>
      </c>
    </row>
    <row r="11919" spans="40:42" x14ac:dyDescent="0.3">
      <c r="AN11919">
        <v>11915</v>
      </c>
      <c r="AO11919" s="11">
        <v>22506.22</v>
      </c>
      <c r="AP11919" s="9">
        <v>3.2918630096089458</v>
      </c>
    </row>
    <row r="11920" spans="40:42" x14ac:dyDescent="0.3">
      <c r="AN11920">
        <v>11916</v>
      </c>
      <c r="AO11920" s="11">
        <v>15174.2</v>
      </c>
      <c r="AP11920" s="9">
        <v>2.9093436895367266</v>
      </c>
    </row>
    <row r="11921" spans="40:42" x14ac:dyDescent="0.3">
      <c r="AN11921">
        <v>11917</v>
      </c>
      <c r="AO11921" s="11">
        <v>36978.15</v>
      </c>
      <c r="AP11921" s="9">
        <v>4.1348905709647861</v>
      </c>
    </row>
    <row r="11922" spans="40:42" x14ac:dyDescent="0.3">
      <c r="AN11922">
        <v>11918</v>
      </c>
      <c r="AO11922" s="11">
        <v>19928.88</v>
      </c>
      <c r="AP11922" s="9">
        <v>3.2402619859800308</v>
      </c>
    </row>
    <row r="11923" spans="40:42" x14ac:dyDescent="0.3">
      <c r="AN11923">
        <v>11919</v>
      </c>
      <c r="AO11923" s="11">
        <v>26191.52</v>
      </c>
      <c r="AP11923" s="9">
        <v>2.8433726864919713</v>
      </c>
    </row>
    <row r="11924" spans="40:42" x14ac:dyDescent="0.3">
      <c r="AN11924">
        <v>11920</v>
      </c>
      <c r="AO11924" s="11">
        <v>18084.93</v>
      </c>
      <c r="AP11924" s="9">
        <v>4.0291084287854293</v>
      </c>
    </row>
    <row r="11925" spans="40:42" x14ac:dyDescent="0.3">
      <c r="AN11925">
        <v>11921</v>
      </c>
      <c r="AO11925" s="11">
        <v>19586.080000000002</v>
      </c>
      <c r="AP11925" s="9">
        <v>3.2228039193219682</v>
      </c>
    </row>
    <row r="11926" spans="40:42" x14ac:dyDescent="0.3">
      <c r="AN11926">
        <v>11922</v>
      </c>
      <c r="AO11926" s="11">
        <v>24823.56</v>
      </c>
      <c r="AP11926" s="9">
        <v>3.4266406547060386</v>
      </c>
    </row>
    <row r="11927" spans="40:42" x14ac:dyDescent="0.3">
      <c r="AN11927">
        <v>11923</v>
      </c>
      <c r="AO11927" s="11">
        <v>45530.63</v>
      </c>
      <c r="AP11927" s="9">
        <v>4.6484635901853713</v>
      </c>
    </row>
    <row r="11928" spans="40:42" x14ac:dyDescent="0.3">
      <c r="AN11928">
        <v>11924</v>
      </c>
      <c r="AO11928" s="11">
        <v>20213.8</v>
      </c>
      <c r="AP11928" s="9">
        <v>3.0395849708184981</v>
      </c>
    </row>
    <row r="11929" spans="40:42" x14ac:dyDescent="0.3">
      <c r="AN11929">
        <v>11925</v>
      </c>
      <c r="AO11929" s="11">
        <v>33919.86</v>
      </c>
      <c r="AP11929" s="9">
        <v>3.7014818493783399</v>
      </c>
    </row>
    <row r="11930" spans="40:42" x14ac:dyDescent="0.3">
      <c r="AN11930">
        <v>11926</v>
      </c>
      <c r="AO11930" s="11">
        <v>26354.77</v>
      </c>
      <c r="AP11930" s="9">
        <v>3.4102580665722462</v>
      </c>
    </row>
    <row r="11931" spans="40:42" x14ac:dyDescent="0.3">
      <c r="AN11931">
        <v>11927</v>
      </c>
      <c r="AO11931" s="11">
        <v>33728.400000000001</v>
      </c>
      <c r="AP11931" s="9">
        <v>3.4174139338838625</v>
      </c>
    </row>
    <row r="11932" spans="40:42" x14ac:dyDescent="0.3">
      <c r="AN11932">
        <v>11928</v>
      </c>
      <c r="AO11932" s="11">
        <v>31896.959999999999</v>
      </c>
      <c r="AP11932" s="9">
        <v>3.4906057866144464</v>
      </c>
    </row>
    <row r="11933" spans="40:42" x14ac:dyDescent="0.3">
      <c r="AN11933">
        <v>11929</v>
      </c>
      <c r="AO11933" s="11">
        <v>19415.86</v>
      </c>
      <c r="AP11933" s="9">
        <v>3.2291790771351114</v>
      </c>
    </row>
    <row r="11934" spans="40:42" x14ac:dyDescent="0.3">
      <c r="AN11934">
        <v>11930</v>
      </c>
      <c r="AO11934" s="11">
        <v>19349.310000000001</v>
      </c>
      <c r="AP11934" s="9">
        <v>3.216393519151127</v>
      </c>
    </row>
    <row r="11935" spans="40:42" x14ac:dyDescent="0.3">
      <c r="AN11935">
        <v>11931</v>
      </c>
      <c r="AO11935" s="11">
        <v>17861.68</v>
      </c>
      <c r="AP11935" s="9">
        <v>3.1896503807899634</v>
      </c>
    </row>
    <row r="11936" spans="40:42" x14ac:dyDescent="0.3">
      <c r="AN11936">
        <v>11932</v>
      </c>
      <c r="AO11936" s="11">
        <v>26435.16</v>
      </c>
      <c r="AP11936" s="9">
        <v>3.1744476735279017</v>
      </c>
    </row>
    <row r="11937" spans="40:42" x14ac:dyDescent="0.3">
      <c r="AN11937">
        <v>11933</v>
      </c>
      <c r="AO11937" s="11">
        <v>17210.37</v>
      </c>
      <c r="AP11937" s="9">
        <v>2.99534701572433</v>
      </c>
    </row>
    <row r="11938" spans="40:42" x14ac:dyDescent="0.3">
      <c r="AN11938">
        <v>11934</v>
      </c>
      <c r="AO11938" s="11">
        <v>19883.73</v>
      </c>
      <c r="AP11938" s="9">
        <v>3.117400247870445</v>
      </c>
    </row>
    <row r="11939" spans="40:42" x14ac:dyDescent="0.3">
      <c r="AN11939">
        <v>11935</v>
      </c>
      <c r="AO11939" s="11">
        <v>27426.080000000002</v>
      </c>
      <c r="AP11939" s="9">
        <v>3.2115069329768606</v>
      </c>
    </row>
    <row r="11940" spans="40:42" x14ac:dyDescent="0.3">
      <c r="AN11940">
        <v>11936</v>
      </c>
      <c r="AO11940" s="11">
        <v>35423.910000000003</v>
      </c>
      <c r="AP11940" s="9">
        <v>4.0093615710805217</v>
      </c>
    </row>
    <row r="11941" spans="40:42" x14ac:dyDescent="0.3">
      <c r="AN11941">
        <v>11937</v>
      </c>
      <c r="AO11941" s="11">
        <v>29170.65</v>
      </c>
      <c r="AP11941" s="9">
        <v>3.2641076449200499</v>
      </c>
    </row>
    <row r="11942" spans="40:42" x14ac:dyDescent="0.3">
      <c r="AN11942">
        <v>11938</v>
      </c>
      <c r="AO11942" s="11">
        <v>24847.62</v>
      </c>
      <c r="AP11942" s="9">
        <v>3.9350322892947087</v>
      </c>
    </row>
    <row r="11943" spans="40:42" x14ac:dyDescent="0.3">
      <c r="AN11943">
        <v>11939</v>
      </c>
      <c r="AO11943" s="11">
        <v>26568.66</v>
      </c>
      <c r="AP11943" s="9">
        <v>3.2750706086088122</v>
      </c>
    </row>
    <row r="11944" spans="40:42" x14ac:dyDescent="0.3">
      <c r="AN11944">
        <v>11940</v>
      </c>
      <c r="AO11944" s="11">
        <v>42580.55</v>
      </c>
      <c r="AP11944" s="9">
        <v>4.0429856297437174</v>
      </c>
    </row>
    <row r="11945" spans="40:42" x14ac:dyDescent="0.3">
      <c r="AN11945">
        <v>11941</v>
      </c>
      <c r="AO11945" s="11">
        <v>30783.14</v>
      </c>
      <c r="AP11945" s="9">
        <v>3.6683518141259528</v>
      </c>
    </row>
    <row r="11946" spans="40:42" x14ac:dyDescent="0.3">
      <c r="AN11946">
        <v>11942</v>
      </c>
      <c r="AO11946" s="11">
        <v>31654.36</v>
      </c>
      <c r="AP11946" s="9">
        <v>4.1927030455020047</v>
      </c>
    </row>
    <row r="11947" spans="40:42" x14ac:dyDescent="0.3">
      <c r="AN11947">
        <v>11943</v>
      </c>
      <c r="AO11947" s="11">
        <v>24852.720000000001</v>
      </c>
      <c r="AP11947" s="9">
        <v>3.5479819047285024</v>
      </c>
    </row>
    <row r="11948" spans="40:42" x14ac:dyDescent="0.3">
      <c r="AN11948">
        <v>11944</v>
      </c>
      <c r="AO11948" s="11">
        <v>35974.239999999998</v>
      </c>
      <c r="AP11948" s="9">
        <v>3.3943389627863212</v>
      </c>
    </row>
    <row r="11949" spans="40:42" x14ac:dyDescent="0.3">
      <c r="AN11949">
        <v>11945</v>
      </c>
      <c r="AO11949" s="11">
        <v>19556.759999999998</v>
      </c>
      <c r="AP11949" s="9">
        <v>3.2986738158089319</v>
      </c>
    </row>
    <row r="11950" spans="40:42" x14ac:dyDescent="0.3">
      <c r="AN11950">
        <v>11946</v>
      </c>
      <c r="AO11950" s="11">
        <v>24614.13</v>
      </c>
      <c r="AP11950" s="9">
        <v>3.7587294685842059</v>
      </c>
    </row>
    <row r="11951" spans="40:42" x14ac:dyDescent="0.3">
      <c r="AN11951">
        <v>11947</v>
      </c>
      <c r="AO11951" s="11">
        <v>20055.689999999999</v>
      </c>
      <c r="AP11951" s="9">
        <v>3.6004130540936594</v>
      </c>
    </row>
    <row r="11952" spans="40:42" x14ac:dyDescent="0.3">
      <c r="AN11952">
        <v>11948</v>
      </c>
      <c r="AO11952" s="11">
        <v>20179.27</v>
      </c>
      <c r="AP11952" s="9">
        <v>3.8336486993954706</v>
      </c>
    </row>
    <row r="11953" spans="40:42" x14ac:dyDescent="0.3">
      <c r="AN11953">
        <v>11949</v>
      </c>
      <c r="AO11953" s="11">
        <v>41114.15</v>
      </c>
      <c r="AP11953" s="9">
        <v>3.7253399575516579</v>
      </c>
    </row>
    <row r="11954" spans="40:42" x14ac:dyDescent="0.3">
      <c r="AN11954">
        <v>11950</v>
      </c>
      <c r="AO11954" s="11">
        <v>26403.05</v>
      </c>
      <c r="AP11954" s="9">
        <v>3.4297159200308007</v>
      </c>
    </row>
    <row r="11955" spans="40:42" x14ac:dyDescent="0.3">
      <c r="AN11955">
        <v>11951</v>
      </c>
      <c r="AO11955" s="11">
        <v>29137.279999999999</v>
      </c>
      <c r="AP11955" s="9">
        <v>3.5868055645124297</v>
      </c>
    </row>
    <row r="11956" spans="40:42" x14ac:dyDescent="0.3">
      <c r="AN11956">
        <v>11952</v>
      </c>
      <c r="AO11956" s="11">
        <v>16650.05</v>
      </c>
      <c r="AP11956" s="9">
        <v>2.9660809394081986</v>
      </c>
    </row>
    <row r="11957" spans="40:42" x14ac:dyDescent="0.3">
      <c r="AN11957">
        <v>11953</v>
      </c>
      <c r="AO11957" s="11">
        <v>26228.97</v>
      </c>
      <c r="AP11957" s="9">
        <v>3.9179344325402869</v>
      </c>
    </row>
    <row r="11958" spans="40:42" x14ac:dyDescent="0.3">
      <c r="AN11958">
        <v>11954</v>
      </c>
      <c r="AO11958" s="11">
        <v>31386.75</v>
      </c>
      <c r="AP11958" s="9">
        <v>2.9791570438250199</v>
      </c>
    </row>
    <row r="11959" spans="40:42" x14ac:dyDescent="0.3">
      <c r="AN11959">
        <v>11955</v>
      </c>
      <c r="AO11959" s="11">
        <v>20573.41</v>
      </c>
      <c r="AP11959" s="9">
        <v>2.651033879678474</v>
      </c>
    </row>
    <row r="11960" spans="40:42" x14ac:dyDescent="0.3">
      <c r="AN11960">
        <v>11956</v>
      </c>
      <c r="AO11960" s="11">
        <v>20928.419999999998</v>
      </c>
      <c r="AP11960" s="9">
        <v>3.14590254898369</v>
      </c>
    </row>
    <row r="11961" spans="40:42" x14ac:dyDescent="0.3">
      <c r="AN11961">
        <v>11957</v>
      </c>
      <c r="AO11961" s="11">
        <v>21979.68</v>
      </c>
      <c r="AP11961" s="9">
        <v>3.0172953441148618</v>
      </c>
    </row>
    <row r="11962" spans="40:42" x14ac:dyDescent="0.3">
      <c r="AN11962">
        <v>11958</v>
      </c>
      <c r="AO11962" s="11">
        <v>39133.19</v>
      </c>
      <c r="AP11962" s="9">
        <v>3.3944584303745819</v>
      </c>
    </row>
    <row r="11963" spans="40:42" x14ac:dyDescent="0.3">
      <c r="AN11963">
        <v>11959</v>
      </c>
      <c r="AO11963" s="11">
        <v>15517.35</v>
      </c>
      <c r="AP11963" s="9">
        <v>2.8871756585381907</v>
      </c>
    </row>
    <row r="11964" spans="40:42" x14ac:dyDescent="0.3">
      <c r="AN11964">
        <v>11960</v>
      </c>
      <c r="AO11964" s="11">
        <v>39101.71</v>
      </c>
      <c r="AP11964" s="9">
        <v>4.2148489604740291</v>
      </c>
    </row>
    <row r="11965" spans="40:42" x14ac:dyDescent="0.3">
      <c r="AN11965">
        <v>11961</v>
      </c>
      <c r="AO11965" s="11">
        <v>32104.97</v>
      </c>
      <c r="AP11965" s="9">
        <v>3.348456926463383</v>
      </c>
    </row>
    <row r="11966" spans="40:42" x14ac:dyDescent="0.3">
      <c r="AN11966">
        <v>11962</v>
      </c>
      <c r="AO11966" s="11">
        <v>18732.810000000001</v>
      </c>
      <c r="AP11966" s="9">
        <v>2.9533500141654634</v>
      </c>
    </row>
    <row r="11967" spans="40:42" x14ac:dyDescent="0.3">
      <c r="AN11967">
        <v>11963</v>
      </c>
      <c r="AO11967" s="11">
        <v>30472.959999999999</v>
      </c>
      <c r="AP11967" s="9">
        <v>4.1172025895981381</v>
      </c>
    </row>
    <row r="11968" spans="40:42" x14ac:dyDescent="0.3">
      <c r="AN11968">
        <v>11964</v>
      </c>
      <c r="AO11968" s="11">
        <v>43902</v>
      </c>
      <c r="AP11968" s="9">
        <v>3.9506816311354394</v>
      </c>
    </row>
    <row r="11969" spans="40:42" x14ac:dyDescent="0.3">
      <c r="AN11969">
        <v>11965</v>
      </c>
      <c r="AO11969" s="11">
        <v>31354.639999999999</v>
      </c>
      <c r="AP11969" s="9">
        <v>4.339204628636919</v>
      </c>
    </row>
    <row r="11970" spans="40:42" x14ac:dyDescent="0.3">
      <c r="AN11970">
        <v>11966</v>
      </c>
      <c r="AO11970" s="11">
        <v>41180.160000000003</v>
      </c>
      <c r="AP11970" s="9">
        <v>3.783726253882266</v>
      </c>
    </row>
    <row r="11971" spans="40:42" x14ac:dyDescent="0.3">
      <c r="AN11971">
        <v>11967</v>
      </c>
      <c r="AO11971" s="11">
        <v>20217.39</v>
      </c>
      <c r="AP11971" s="9">
        <v>3.6197296087530302</v>
      </c>
    </row>
    <row r="11972" spans="40:42" x14ac:dyDescent="0.3">
      <c r="AN11972">
        <v>11968</v>
      </c>
      <c r="AO11972" s="11">
        <v>47705.43</v>
      </c>
      <c r="AP11972" s="9">
        <v>4.0072723169819566</v>
      </c>
    </row>
    <row r="11973" spans="40:42" x14ac:dyDescent="0.3">
      <c r="AN11973">
        <v>11969</v>
      </c>
      <c r="AO11973" s="11">
        <v>26969.85</v>
      </c>
      <c r="AP11973" s="9">
        <v>3.1613938265611812</v>
      </c>
    </row>
    <row r="11974" spans="40:42" x14ac:dyDescent="0.3">
      <c r="AN11974">
        <v>11970</v>
      </c>
      <c r="AO11974" s="11">
        <v>32064.38</v>
      </c>
      <c r="AP11974" s="9">
        <v>3.3850192829723431</v>
      </c>
    </row>
    <row r="11975" spans="40:42" x14ac:dyDescent="0.3">
      <c r="AN11975">
        <v>11971</v>
      </c>
      <c r="AO11975" s="11">
        <v>27921.81</v>
      </c>
      <c r="AP11975" s="9">
        <v>3.4156136250401889</v>
      </c>
    </row>
    <row r="11976" spans="40:42" x14ac:dyDescent="0.3">
      <c r="AN11976">
        <v>11972</v>
      </c>
      <c r="AO11976" s="11">
        <v>40989.980000000003</v>
      </c>
      <c r="AP11976" s="9">
        <v>3.0635169248899641</v>
      </c>
    </row>
    <row r="11977" spans="40:42" x14ac:dyDescent="0.3">
      <c r="AN11977">
        <v>11973</v>
      </c>
      <c r="AO11977" s="11">
        <v>24955.29</v>
      </c>
      <c r="AP11977" s="9">
        <v>3.1093937680945838</v>
      </c>
    </row>
    <row r="11978" spans="40:42" x14ac:dyDescent="0.3">
      <c r="AN11978">
        <v>11974</v>
      </c>
      <c r="AO11978" s="11">
        <v>25667.73</v>
      </c>
      <c r="AP11978" s="9">
        <v>3.2077727733394226</v>
      </c>
    </row>
    <row r="11979" spans="40:42" x14ac:dyDescent="0.3">
      <c r="AN11979">
        <v>11975</v>
      </c>
      <c r="AO11979" s="11">
        <v>17214.150000000001</v>
      </c>
      <c r="AP11979" s="9">
        <v>3.4240857190719076</v>
      </c>
    </row>
    <row r="11980" spans="40:42" x14ac:dyDescent="0.3">
      <c r="AN11980">
        <v>11976</v>
      </c>
      <c r="AO11980" s="11">
        <v>26021.29</v>
      </c>
      <c r="AP11980" s="9">
        <v>3.117505464103679</v>
      </c>
    </row>
    <row r="11981" spans="40:42" x14ac:dyDescent="0.3">
      <c r="AN11981">
        <v>11977</v>
      </c>
      <c r="AO11981" s="11">
        <v>21173.46</v>
      </c>
      <c r="AP11981" s="9">
        <v>2.9591044153189991</v>
      </c>
    </row>
    <row r="11982" spans="40:42" x14ac:dyDescent="0.3">
      <c r="AN11982">
        <v>11978</v>
      </c>
      <c r="AO11982" s="11">
        <v>27364.47</v>
      </c>
      <c r="AP11982" s="9">
        <v>3.1893477011458988</v>
      </c>
    </row>
    <row r="11983" spans="40:42" x14ac:dyDescent="0.3">
      <c r="AN11983">
        <v>11979</v>
      </c>
      <c r="AO11983" s="11">
        <v>19955.07</v>
      </c>
      <c r="AP11983" s="9">
        <v>3.1585662654476847</v>
      </c>
    </row>
    <row r="11984" spans="40:42" x14ac:dyDescent="0.3">
      <c r="AN11984">
        <v>11980</v>
      </c>
      <c r="AO11984" s="11">
        <v>26313.33</v>
      </c>
      <c r="AP11984" s="9">
        <v>3.2758005943773032</v>
      </c>
    </row>
    <row r="11985" spans="40:42" x14ac:dyDescent="0.3">
      <c r="AN11985">
        <v>11981</v>
      </c>
      <c r="AO11985" s="11">
        <v>43659.27</v>
      </c>
      <c r="AP11985" s="9">
        <v>3.7406841355984923</v>
      </c>
    </row>
    <row r="11986" spans="40:42" x14ac:dyDescent="0.3">
      <c r="AN11986">
        <v>11982</v>
      </c>
      <c r="AO11986" s="11">
        <v>29912.69</v>
      </c>
      <c r="AP11986" s="9">
        <v>3.2818680501249706</v>
      </c>
    </row>
    <row r="11987" spans="40:42" x14ac:dyDescent="0.3">
      <c r="AN11987">
        <v>11983</v>
      </c>
      <c r="AO11987" s="11">
        <v>23428.85</v>
      </c>
      <c r="AP11987" s="9">
        <v>3.6269340099448062</v>
      </c>
    </row>
    <row r="11988" spans="40:42" x14ac:dyDescent="0.3">
      <c r="AN11988">
        <v>11984</v>
      </c>
      <c r="AO11988" s="11">
        <v>22114.99</v>
      </c>
      <c r="AP11988" s="9">
        <v>3.5166120177073044</v>
      </c>
    </row>
    <row r="11989" spans="40:42" x14ac:dyDescent="0.3">
      <c r="AN11989">
        <v>11985</v>
      </c>
      <c r="AO11989" s="11">
        <v>35613.26</v>
      </c>
      <c r="AP11989" s="9">
        <v>4.1718917747842719</v>
      </c>
    </row>
    <row r="11990" spans="40:42" x14ac:dyDescent="0.3">
      <c r="AN11990">
        <v>11986</v>
      </c>
      <c r="AO11990" s="11">
        <v>32551.43</v>
      </c>
      <c r="AP11990" s="9">
        <v>3.9507104544970235</v>
      </c>
    </row>
    <row r="11991" spans="40:42" x14ac:dyDescent="0.3">
      <c r="AN11991">
        <v>11987</v>
      </c>
      <c r="AO11991" s="11">
        <v>21324.49</v>
      </c>
      <c r="AP11991" s="9">
        <v>3.5378422528089537</v>
      </c>
    </row>
    <row r="11992" spans="40:42" x14ac:dyDescent="0.3">
      <c r="AN11992">
        <v>11988</v>
      </c>
      <c r="AO11992" s="11">
        <v>25694.05</v>
      </c>
      <c r="AP11992" s="9">
        <v>2.9997895974289066</v>
      </c>
    </row>
    <row r="11993" spans="40:42" x14ac:dyDescent="0.3">
      <c r="AN11993">
        <v>11989</v>
      </c>
      <c r="AO11993" s="11">
        <v>23402.82</v>
      </c>
      <c r="AP11993" s="9">
        <v>3.4722107493649954</v>
      </c>
    </row>
    <row r="11994" spans="40:42" x14ac:dyDescent="0.3">
      <c r="AN11994">
        <v>11990</v>
      </c>
      <c r="AO11994" s="11">
        <v>19609.060000000001</v>
      </c>
      <c r="AP11994" s="9">
        <v>3.5210318073834745</v>
      </c>
    </row>
    <row r="11995" spans="40:42" x14ac:dyDescent="0.3">
      <c r="AN11995">
        <v>11991</v>
      </c>
      <c r="AO11995" s="11">
        <v>31095.360000000001</v>
      </c>
      <c r="AP11995" s="9">
        <v>2.9876252858241834</v>
      </c>
    </row>
    <row r="11996" spans="40:42" x14ac:dyDescent="0.3">
      <c r="AN11996">
        <v>11992</v>
      </c>
      <c r="AO11996" s="11">
        <v>20840.64</v>
      </c>
      <c r="AP11996" s="9">
        <v>3.3386523912049526</v>
      </c>
    </row>
    <row r="11997" spans="40:42" x14ac:dyDescent="0.3">
      <c r="AN11997">
        <v>11993</v>
      </c>
      <c r="AO11997" s="11">
        <v>22970.639999999999</v>
      </c>
      <c r="AP11997" s="9">
        <v>3.5325219558882863</v>
      </c>
    </row>
    <row r="11998" spans="40:42" x14ac:dyDescent="0.3">
      <c r="AN11998">
        <v>11994</v>
      </c>
      <c r="AO11998" s="11">
        <v>25990.38</v>
      </c>
      <c r="AP11998" s="9">
        <v>3.6258757274077293</v>
      </c>
    </row>
    <row r="11999" spans="40:42" x14ac:dyDescent="0.3">
      <c r="AN11999">
        <v>11995</v>
      </c>
      <c r="AO11999" s="11">
        <v>48374.45</v>
      </c>
      <c r="AP11999" s="9">
        <v>3.4981822646680274</v>
      </c>
    </row>
    <row r="12000" spans="40:42" x14ac:dyDescent="0.3">
      <c r="AN12000">
        <v>11996</v>
      </c>
      <c r="AO12000" s="11">
        <v>26571.86</v>
      </c>
      <c r="AP12000" s="9">
        <v>2.7694001480981543</v>
      </c>
    </row>
    <row r="12001" spans="40:42" x14ac:dyDescent="0.3">
      <c r="AN12001">
        <v>11997</v>
      </c>
      <c r="AO12001" s="11">
        <v>37410.559999999998</v>
      </c>
      <c r="AP12001" s="9">
        <v>4.4576738980866883</v>
      </c>
    </row>
    <row r="12002" spans="40:42" x14ac:dyDescent="0.3">
      <c r="AN12002">
        <v>11998</v>
      </c>
      <c r="AO12002" s="11">
        <v>21414.69</v>
      </c>
      <c r="AP12002" s="9">
        <v>3.3438599396708866</v>
      </c>
    </row>
    <row r="12003" spans="40:42" x14ac:dyDescent="0.3">
      <c r="AN12003">
        <v>11999</v>
      </c>
      <c r="AO12003" s="11">
        <v>22800.42</v>
      </c>
      <c r="AP12003" s="9">
        <v>3.5713525747708457</v>
      </c>
    </row>
    <row r="12004" spans="40:42" x14ac:dyDescent="0.3">
      <c r="AN12004">
        <v>12000</v>
      </c>
      <c r="AO12004" s="11">
        <v>25951.21</v>
      </c>
      <c r="AP12004" s="9">
        <v>3.6668695455378608</v>
      </c>
    </row>
    <row r="12005" spans="40:42" x14ac:dyDescent="0.3">
      <c r="AN12005">
        <v>12001</v>
      </c>
      <c r="AO12005" s="11">
        <v>20269.39</v>
      </c>
      <c r="AP12005" s="9">
        <v>3.5532047743137642</v>
      </c>
    </row>
    <row r="12006" spans="40:42" x14ac:dyDescent="0.3">
      <c r="AN12006">
        <v>12002</v>
      </c>
      <c r="AO12006" s="11">
        <v>33376.14</v>
      </c>
      <c r="AP12006" s="9">
        <v>3.5084135141308348</v>
      </c>
    </row>
    <row r="12007" spans="40:42" x14ac:dyDescent="0.3">
      <c r="AN12007">
        <v>12003</v>
      </c>
      <c r="AO12007" s="11">
        <v>24724.3</v>
      </c>
      <c r="AP12007" s="9">
        <v>3.2054890516933559</v>
      </c>
    </row>
    <row r="12008" spans="40:42" x14ac:dyDescent="0.3">
      <c r="AN12008">
        <v>12004</v>
      </c>
      <c r="AO12008" s="11">
        <v>26521.9</v>
      </c>
      <c r="AP12008" s="9">
        <v>3.1417711871317713</v>
      </c>
    </row>
    <row r="12009" spans="40:42" x14ac:dyDescent="0.3">
      <c r="AN12009">
        <v>12005</v>
      </c>
      <c r="AO12009" s="11">
        <v>35628.629999999997</v>
      </c>
      <c r="AP12009" s="9">
        <v>3.4215179365489501</v>
      </c>
    </row>
    <row r="12010" spans="40:42" x14ac:dyDescent="0.3">
      <c r="AN12010">
        <v>12006</v>
      </c>
      <c r="AO12010" s="11">
        <v>25709.79</v>
      </c>
      <c r="AP12010" s="9">
        <v>3.3713682348190011</v>
      </c>
    </row>
    <row r="12011" spans="40:42" x14ac:dyDescent="0.3">
      <c r="AN12011">
        <v>12007</v>
      </c>
      <c r="AO12011" s="11">
        <v>35642.47</v>
      </c>
      <c r="AP12011" s="9">
        <v>3.0004271975242731</v>
      </c>
    </row>
    <row r="12012" spans="40:42" x14ac:dyDescent="0.3">
      <c r="AN12012">
        <v>12008</v>
      </c>
      <c r="AO12012" s="11">
        <v>33133.760000000002</v>
      </c>
      <c r="AP12012" s="9">
        <v>3.4453268479753469</v>
      </c>
    </row>
    <row r="12013" spans="40:42" x14ac:dyDescent="0.3">
      <c r="AN12013">
        <v>12009</v>
      </c>
      <c r="AO12013" s="11">
        <v>18278.22</v>
      </c>
      <c r="AP12013" s="9">
        <v>2.7257750620636401</v>
      </c>
    </row>
    <row r="12014" spans="40:42" x14ac:dyDescent="0.3">
      <c r="AN12014">
        <v>12010</v>
      </c>
      <c r="AO12014" s="11">
        <v>32603.85</v>
      </c>
      <c r="AP12014" s="9">
        <v>2.8840352789078585</v>
      </c>
    </row>
    <row r="12015" spans="40:42" x14ac:dyDescent="0.3">
      <c r="AN12015">
        <v>12011</v>
      </c>
      <c r="AO12015" s="11">
        <v>39164.07</v>
      </c>
      <c r="AP12015" s="9">
        <v>3.3283203407846442</v>
      </c>
    </row>
    <row r="12016" spans="40:42" x14ac:dyDescent="0.3">
      <c r="AN12016">
        <v>12012</v>
      </c>
      <c r="AO12016" s="11">
        <v>17654.39</v>
      </c>
      <c r="AP12016" s="9">
        <v>3.3740467690048463</v>
      </c>
    </row>
    <row r="12017" spans="40:42" x14ac:dyDescent="0.3">
      <c r="AN12017">
        <v>12013</v>
      </c>
      <c r="AO12017" s="11">
        <v>19997.939999999999</v>
      </c>
      <c r="AP12017" s="9">
        <v>3.384216800268486</v>
      </c>
    </row>
    <row r="12018" spans="40:42" x14ac:dyDescent="0.3">
      <c r="AN12018">
        <v>12014</v>
      </c>
      <c r="AO12018" s="11">
        <v>29028.32</v>
      </c>
      <c r="AP12018" s="9">
        <v>3.9632236112258843</v>
      </c>
    </row>
    <row r="12019" spans="40:42" x14ac:dyDescent="0.3">
      <c r="AN12019">
        <v>12015</v>
      </c>
      <c r="AO12019" s="11">
        <v>20847.87</v>
      </c>
      <c r="AP12019" s="9">
        <v>3.3608771352291167</v>
      </c>
    </row>
    <row r="12020" spans="40:42" x14ac:dyDescent="0.3">
      <c r="AN12020">
        <v>12016</v>
      </c>
      <c r="AO12020" s="11">
        <v>31103.42</v>
      </c>
      <c r="AP12020" s="9">
        <v>3.1183992058523038</v>
      </c>
    </row>
    <row r="12021" spans="40:42" x14ac:dyDescent="0.3">
      <c r="AN12021">
        <v>12017</v>
      </c>
      <c r="AO12021" s="11">
        <v>33767.089999999997</v>
      </c>
      <c r="AP12021" s="9">
        <v>3.6651899156394037</v>
      </c>
    </row>
    <row r="12022" spans="40:42" x14ac:dyDescent="0.3">
      <c r="AN12022">
        <v>12018</v>
      </c>
      <c r="AO12022" s="11">
        <v>22740.47</v>
      </c>
      <c r="AP12022" s="9">
        <v>3.235656453782179</v>
      </c>
    </row>
    <row r="12023" spans="40:42" x14ac:dyDescent="0.3">
      <c r="AN12023">
        <v>12019</v>
      </c>
      <c r="AO12023" s="11">
        <v>29048.89</v>
      </c>
      <c r="AP12023" s="9">
        <v>3.4852056293576119</v>
      </c>
    </row>
    <row r="12024" spans="40:42" x14ac:dyDescent="0.3">
      <c r="AN12024">
        <v>12020</v>
      </c>
      <c r="AO12024" s="11">
        <v>29432.94</v>
      </c>
      <c r="AP12024" s="9">
        <v>3.4764471795589378</v>
      </c>
    </row>
    <row r="12025" spans="40:42" x14ac:dyDescent="0.3">
      <c r="AN12025">
        <v>12021</v>
      </c>
      <c r="AO12025" s="11">
        <v>38396.06</v>
      </c>
      <c r="AP12025" s="9">
        <v>3.8914455871110558</v>
      </c>
    </row>
    <row r="12026" spans="40:42" x14ac:dyDescent="0.3">
      <c r="AN12026">
        <v>12022</v>
      </c>
      <c r="AO12026" s="11">
        <v>44433.5</v>
      </c>
      <c r="AP12026" s="9">
        <v>3.5202937141860602</v>
      </c>
    </row>
    <row r="12027" spans="40:42" x14ac:dyDescent="0.3">
      <c r="AN12027">
        <v>12023</v>
      </c>
      <c r="AO12027" s="11">
        <v>28766.31</v>
      </c>
      <c r="AP12027" s="9">
        <v>3.4372199983984006</v>
      </c>
    </row>
    <row r="12028" spans="40:42" x14ac:dyDescent="0.3">
      <c r="AN12028">
        <v>12024</v>
      </c>
      <c r="AO12028" s="11">
        <v>33376.589999999997</v>
      </c>
      <c r="AP12028" s="9">
        <v>3.8290964351056358</v>
      </c>
    </row>
    <row r="12029" spans="40:42" x14ac:dyDescent="0.3">
      <c r="AN12029">
        <v>12025</v>
      </c>
      <c r="AO12029" s="11">
        <v>24286.43</v>
      </c>
      <c r="AP12029" s="9">
        <v>3.3803912454299492</v>
      </c>
    </row>
    <row r="12030" spans="40:42" x14ac:dyDescent="0.3">
      <c r="AN12030">
        <v>12026</v>
      </c>
      <c r="AO12030" s="11">
        <v>24102.52</v>
      </c>
      <c r="AP12030" s="9">
        <v>4.1588948019530738</v>
      </c>
    </row>
    <row r="12031" spans="40:42" x14ac:dyDescent="0.3">
      <c r="AN12031">
        <v>12027</v>
      </c>
      <c r="AO12031" s="11">
        <v>24634.38</v>
      </c>
      <c r="AP12031" s="9">
        <v>3.3020950385352799</v>
      </c>
    </row>
    <row r="12032" spans="40:42" x14ac:dyDescent="0.3">
      <c r="AN12032">
        <v>12028</v>
      </c>
      <c r="AO12032" s="11">
        <v>31869.13</v>
      </c>
      <c r="AP12032" s="9">
        <v>2.9699753350131788</v>
      </c>
    </row>
    <row r="12033" spans="40:42" x14ac:dyDescent="0.3">
      <c r="AN12033">
        <v>12029</v>
      </c>
      <c r="AO12033" s="11">
        <v>17635.22</v>
      </c>
      <c r="AP12033" s="9">
        <v>3.0691165872057944</v>
      </c>
    </row>
    <row r="12034" spans="40:42" x14ac:dyDescent="0.3">
      <c r="AN12034">
        <v>12030</v>
      </c>
      <c r="AO12034" s="11">
        <v>31024.41</v>
      </c>
      <c r="AP12034" s="9">
        <v>3.3229026073980692</v>
      </c>
    </row>
    <row r="12035" spans="40:42" x14ac:dyDescent="0.3">
      <c r="AN12035">
        <v>12031</v>
      </c>
      <c r="AO12035" s="11">
        <v>21755.61</v>
      </c>
      <c r="AP12035" s="9">
        <v>2.9777008705664882</v>
      </c>
    </row>
    <row r="12036" spans="40:42" x14ac:dyDescent="0.3">
      <c r="AN12036">
        <v>12032</v>
      </c>
      <c r="AO12036" s="11">
        <v>36384.44</v>
      </c>
      <c r="AP12036" s="9">
        <v>4.2552496621718818</v>
      </c>
    </row>
    <row r="12037" spans="40:42" x14ac:dyDescent="0.3">
      <c r="AN12037">
        <v>12033</v>
      </c>
      <c r="AO12037" s="11">
        <v>32017.3</v>
      </c>
      <c r="AP12037" s="9">
        <v>3.7004027142882592</v>
      </c>
    </row>
    <row r="12038" spans="40:42" x14ac:dyDescent="0.3">
      <c r="AN12038">
        <v>12034</v>
      </c>
      <c r="AO12038" s="11">
        <v>35394.559999999998</v>
      </c>
      <c r="AP12038" s="9">
        <v>3.7349174575315889</v>
      </c>
    </row>
    <row r="12039" spans="40:42" x14ac:dyDescent="0.3">
      <c r="AN12039">
        <v>12035</v>
      </c>
      <c r="AO12039" s="11">
        <v>17116.29</v>
      </c>
      <c r="AP12039" s="9">
        <v>2.8374029975594115</v>
      </c>
    </row>
    <row r="12040" spans="40:42" x14ac:dyDescent="0.3">
      <c r="AN12040">
        <v>12036</v>
      </c>
      <c r="AO12040" s="11">
        <v>27852.82</v>
      </c>
      <c r="AP12040" s="9">
        <v>4.0216849626103501</v>
      </c>
    </row>
    <row r="12041" spans="40:42" x14ac:dyDescent="0.3">
      <c r="AN12041">
        <v>12037</v>
      </c>
      <c r="AO12041" s="11">
        <v>40047.839999999997</v>
      </c>
      <c r="AP12041" s="9">
        <v>3.9260622234063849</v>
      </c>
    </row>
    <row r="12042" spans="40:42" x14ac:dyDescent="0.3">
      <c r="AN12042">
        <v>12038</v>
      </c>
      <c r="AO12042" s="11">
        <v>46032.38</v>
      </c>
      <c r="AP12042" s="9">
        <v>4.1479822870128471</v>
      </c>
    </row>
    <row r="12043" spans="40:42" x14ac:dyDescent="0.3">
      <c r="AN12043">
        <v>12039</v>
      </c>
      <c r="AO12043" s="11">
        <v>29091.93</v>
      </c>
      <c r="AP12043" s="9">
        <v>3.3379802970835257</v>
      </c>
    </row>
    <row r="12044" spans="40:42" x14ac:dyDescent="0.3">
      <c r="AN12044">
        <v>12040</v>
      </c>
      <c r="AO12044" s="11">
        <v>23486.71</v>
      </c>
      <c r="AP12044" s="9">
        <v>3.18566486335471</v>
      </c>
    </row>
    <row r="12045" spans="40:42" x14ac:dyDescent="0.3">
      <c r="AN12045">
        <v>12041</v>
      </c>
      <c r="AO12045" s="11">
        <v>18340.03</v>
      </c>
      <c r="AP12045" s="9">
        <v>3.313219574632785</v>
      </c>
    </row>
    <row r="12046" spans="40:42" x14ac:dyDescent="0.3">
      <c r="AN12046">
        <v>12042</v>
      </c>
      <c r="AO12046" s="11">
        <v>18187.62</v>
      </c>
      <c r="AP12046" s="9">
        <v>3.3784457059333404</v>
      </c>
    </row>
    <row r="12047" spans="40:42" x14ac:dyDescent="0.3">
      <c r="AN12047">
        <v>12043</v>
      </c>
      <c r="AO12047" s="11">
        <v>21000.1</v>
      </c>
      <c r="AP12047" s="9">
        <v>2.6827083031372885</v>
      </c>
    </row>
    <row r="12048" spans="40:42" x14ac:dyDescent="0.3">
      <c r="AN12048">
        <v>12044</v>
      </c>
      <c r="AO12048" s="11">
        <v>25240.93</v>
      </c>
      <c r="AP12048" s="9">
        <v>3.5822240040571596</v>
      </c>
    </row>
    <row r="12049" spans="40:42" x14ac:dyDescent="0.3">
      <c r="AN12049">
        <v>12045</v>
      </c>
      <c r="AO12049" s="11">
        <v>14065.77</v>
      </c>
      <c r="AP12049" s="9">
        <v>3.3385593605089028</v>
      </c>
    </row>
    <row r="12050" spans="40:42" x14ac:dyDescent="0.3">
      <c r="AN12050">
        <v>12046</v>
      </c>
      <c r="AO12050" s="11">
        <v>26063.99</v>
      </c>
      <c r="AP12050" s="9">
        <v>3.8489579696541463</v>
      </c>
    </row>
    <row r="12051" spans="40:42" x14ac:dyDescent="0.3">
      <c r="AN12051">
        <v>12047</v>
      </c>
      <c r="AO12051" s="11">
        <v>20290.18</v>
      </c>
      <c r="AP12051" s="9">
        <v>3.4115564709902415</v>
      </c>
    </row>
    <row r="12052" spans="40:42" x14ac:dyDescent="0.3">
      <c r="AN12052">
        <v>12048</v>
      </c>
      <c r="AO12052" s="11">
        <v>25833.93</v>
      </c>
      <c r="AP12052" s="9">
        <v>3.6018574554193252</v>
      </c>
    </row>
    <row r="12053" spans="40:42" x14ac:dyDescent="0.3">
      <c r="AN12053">
        <v>12049</v>
      </c>
      <c r="AO12053" s="11">
        <v>50086.21</v>
      </c>
      <c r="AP12053" s="9">
        <v>3.718603588140438</v>
      </c>
    </row>
    <row r="12054" spans="40:42" x14ac:dyDescent="0.3">
      <c r="AN12054">
        <v>12050</v>
      </c>
      <c r="AO12054" s="11">
        <v>24741.29</v>
      </c>
      <c r="AP12054" s="9">
        <v>3.2252789383372602</v>
      </c>
    </row>
    <row r="12055" spans="40:42" x14ac:dyDescent="0.3">
      <c r="AN12055">
        <v>12051</v>
      </c>
      <c r="AO12055" s="11">
        <v>23158.51</v>
      </c>
      <c r="AP12055" s="9">
        <v>3.0318504334529273</v>
      </c>
    </row>
    <row r="12056" spans="40:42" x14ac:dyDescent="0.3">
      <c r="AN12056">
        <v>12052</v>
      </c>
      <c r="AO12056" s="11">
        <v>34721.81</v>
      </c>
      <c r="AP12056" s="9">
        <v>3.5182284758051883</v>
      </c>
    </row>
    <row r="12057" spans="40:42" x14ac:dyDescent="0.3">
      <c r="AN12057">
        <v>12053</v>
      </c>
      <c r="AO12057" s="11">
        <v>19412.32</v>
      </c>
      <c r="AP12057" s="9">
        <v>2.82791545854995</v>
      </c>
    </row>
    <row r="12058" spans="40:42" x14ac:dyDescent="0.3">
      <c r="AN12058">
        <v>12054</v>
      </c>
      <c r="AO12058" s="11">
        <v>21986.99</v>
      </c>
      <c r="AP12058" s="9">
        <v>3.3300725734776764</v>
      </c>
    </row>
    <row r="12059" spans="40:42" x14ac:dyDescent="0.3">
      <c r="AN12059">
        <v>12055</v>
      </c>
      <c r="AO12059" s="11">
        <v>36890.99</v>
      </c>
      <c r="AP12059" s="9">
        <v>3.3230802988574615</v>
      </c>
    </row>
    <row r="12060" spans="40:42" x14ac:dyDescent="0.3">
      <c r="AN12060">
        <v>12056</v>
      </c>
      <c r="AO12060" s="11">
        <v>18599.2</v>
      </c>
      <c r="AP12060" s="9">
        <v>3.2819905072150615</v>
      </c>
    </row>
    <row r="12061" spans="40:42" x14ac:dyDescent="0.3">
      <c r="AN12061">
        <v>12057</v>
      </c>
      <c r="AO12061" s="11">
        <v>30200.54</v>
      </c>
      <c r="AP12061" s="9">
        <v>3.8439214637471606</v>
      </c>
    </row>
    <row r="12062" spans="40:42" x14ac:dyDescent="0.3">
      <c r="AN12062">
        <v>12058</v>
      </c>
      <c r="AO12062" s="11">
        <v>16451.900000000001</v>
      </c>
      <c r="AP12062" s="9">
        <v>3.0846559781465692</v>
      </c>
    </row>
    <row r="12063" spans="40:42" x14ac:dyDescent="0.3">
      <c r="AN12063">
        <v>12059</v>
      </c>
      <c r="AO12063" s="11">
        <v>37261.040000000001</v>
      </c>
      <c r="AP12063" s="9">
        <v>3.2607098055205808</v>
      </c>
    </row>
    <row r="12064" spans="40:42" x14ac:dyDescent="0.3">
      <c r="AN12064">
        <v>12060</v>
      </c>
      <c r="AO12064" s="11">
        <v>24165.34</v>
      </c>
      <c r="AP12064" s="9">
        <v>3.803048073999852</v>
      </c>
    </row>
    <row r="12065" spans="40:42" x14ac:dyDescent="0.3">
      <c r="AN12065">
        <v>12061</v>
      </c>
      <c r="AO12065" s="11">
        <v>28400.49</v>
      </c>
      <c r="AP12065" s="9">
        <v>3.5037105054923106</v>
      </c>
    </row>
    <row r="12066" spans="40:42" x14ac:dyDescent="0.3">
      <c r="AN12066">
        <v>12062</v>
      </c>
      <c r="AO12066" s="11">
        <v>23839.35</v>
      </c>
      <c r="AP12066" s="9">
        <v>3.3180532228489614</v>
      </c>
    </row>
    <row r="12067" spans="40:42" x14ac:dyDescent="0.3">
      <c r="AN12067">
        <v>12063</v>
      </c>
      <c r="AO12067" s="11">
        <v>18128.669999999998</v>
      </c>
      <c r="AP12067" s="9">
        <v>2.9620074308115334</v>
      </c>
    </row>
    <row r="12068" spans="40:42" x14ac:dyDescent="0.3">
      <c r="AN12068">
        <v>12064</v>
      </c>
      <c r="AO12068" s="11">
        <v>23790.97</v>
      </c>
      <c r="AP12068" s="9">
        <v>3.4004337606290642</v>
      </c>
    </row>
    <row r="12069" spans="40:42" x14ac:dyDescent="0.3">
      <c r="AN12069">
        <v>12065</v>
      </c>
      <c r="AO12069" s="11">
        <v>27296.34</v>
      </c>
      <c r="AP12069" s="9">
        <v>3.9928275583413297</v>
      </c>
    </row>
    <row r="12070" spans="40:42" x14ac:dyDescent="0.3">
      <c r="AN12070">
        <v>12066</v>
      </c>
      <c r="AO12070" s="11">
        <v>40807.24</v>
      </c>
      <c r="AP12070" s="9">
        <v>4.0675378422699797</v>
      </c>
    </row>
    <row r="12071" spans="40:42" x14ac:dyDescent="0.3">
      <c r="AN12071">
        <v>12067</v>
      </c>
      <c r="AO12071" s="11">
        <v>24017.86</v>
      </c>
      <c r="AP12071" s="9">
        <v>3.4522152016845462</v>
      </c>
    </row>
    <row r="12072" spans="40:42" x14ac:dyDescent="0.3">
      <c r="AN12072">
        <v>12068</v>
      </c>
      <c r="AO12072" s="11">
        <v>32663.94</v>
      </c>
      <c r="AP12072" s="9">
        <v>3.7692099290243859</v>
      </c>
    </row>
    <row r="12073" spans="40:42" x14ac:dyDescent="0.3">
      <c r="AN12073">
        <v>12069</v>
      </c>
      <c r="AO12073" s="11">
        <v>38980.910000000003</v>
      </c>
      <c r="AP12073" s="9">
        <v>3.6500158576800614</v>
      </c>
    </row>
    <row r="12074" spans="40:42" x14ac:dyDescent="0.3">
      <c r="AN12074">
        <v>12070</v>
      </c>
      <c r="AO12074" s="11">
        <v>27282.43</v>
      </c>
      <c r="AP12074" s="9">
        <v>3.2420385726889225</v>
      </c>
    </row>
    <row r="12075" spans="40:42" x14ac:dyDescent="0.3">
      <c r="AN12075">
        <v>12071</v>
      </c>
      <c r="AO12075" s="11">
        <v>26042.51</v>
      </c>
      <c r="AP12075" s="9">
        <v>3.4699241554364972</v>
      </c>
    </row>
    <row r="12076" spans="40:42" x14ac:dyDescent="0.3">
      <c r="AN12076">
        <v>12072</v>
      </c>
      <c r="AO12076" s="11">
        <v>27174.94</v>
      </c>
      <c r="AP12076" s="9">
        <v>3.4174526816225335</v>
      </c>
    </row>
    <row r="12077" spans="40:42" x14ac:dyDescent="0.3">
      <c r="AN12077">
        <v>12073</v>
      </c>
      <c r="AO12077" s="11">
        <v>26814.45</v>
      </c>
      <c r="AP12077" s="9">
        <v>4.2848848579816385</v>
      </c>
    </row>
    <row r="12078" spans="40:42" x14ac:dyDescent="0.3">
      <c r="AN12078">
        <v>12074</v>
      </c>
      <c r="AO12078" s="11">
        <v>48771.47</v>
      </c>
      <c r="AP12078" s="9">
        <v>3.9197132336585447</v>
      </c>
    </row>
    <row r="12079" spans="40:42" x14ac:dyDescent="0.3">
      <c r="AN12079">
        <v>12075</v>
      </c>
      <c r="AO12079" s="11">
        <v>15613.61</v>
      </c>
      <c r="AP12079" s="9">
        <v>2.7596544257030784</v>
      </c>
    </row>
    <row r="12080" spans="40:42" x14ac:dyDescent="0.3">
      <c r="AN12080">
        <v>12076</v>
      </c>
      <c r="AO12080" s="11">
        <v>23625.41</v>
      </c>
      <c r="AP12080" s="9">
        <v>2.7266029487431598</v>
      </c>
    </row>
    <row r="12081" spans="40:42" x14ac:dyDescent="0.3">
      <c r="AN12081">
        <v>12077</v>
      </c>
      <c r="AO12081" s="11">
        <v>31722.35</v>
      </c>
      <c r="AP12081" s="9">
        <v>3.6761402683690743</v>
      </c>
    </row>
    <row r="12082" spans="40:42" x14ac:dyDescent="0.3">
      <c r="AN12082">
        <v>12078</v>
      </c>
      <c r="AO12082" s="11">
        <v>46492.33</v>
      </c>
      <c r="AP12082" s="9">
        <v>4.0664250720020787</v>
      </c>
    </row>
    <row r="12083" spans="40:42" x14ac:dyDescent="0.3">
      <c r="AN12083">
        <v>12079</v>
      </c>
      <c r="AO12083" s="11">
        <v>26259.69</v>
      </c>
      <c r="AP12083" s="9">
        <v>3.0841047122508369</v>
      </c>
    </row>
    <row r="12084" spans="40:42" x14ac:dyDescent="0.3">
      <c r="AN12084">
        <v>12080</v>
      </c>
      <c r="AO12084" s="11">
        <v>27787.25</v>
      </c>
      <c r="AP12084" s="9">
        <v>3.5232352618530403</v>
      </c>
    </row>
    <row r="12085" spans="40:42" x14ac:dyDescent="0.3">
      <c r="AN12085">
        <v>12081</v>
      </c>
      <c r="AO12085" s="11">
        <v>23993.85</v>
      </c>
      <c r="AP12085" s="9">
        <v>3.3132881169762074</v>
      </c>
    </row>
    <row r="12086" spans="40:42" x14ac:dyDescent="0.3">
      <c r="AN12086">
        <v>12082</v>
      </c>
      <c r="AO12086" s="11">
        <v>23185.41</v>
      </c>
      <c r="AP12086" s="9">
        <v>3.5419148827138027</v>
      </c>
    </row>
    <row r="12087" spans="40:42" x14ac:dyDescent="0.3">
      <c r="AN12087">
        <v>12083</v>
      </c>
      <c r="AO12087" s="11">
        <v>19826.04</v>
      </c>
      <c r="AP12087" s="9">
        <v>3.8116452668657983</v>
      </c>
    </row>
    <row r="12088" spans="40:42" x14ac:dyDescent="0.3">
      <c r="AN12088">
        <v>12084</v>
      </c>
      <c r="AO12088" s="11">
        <v>30121.77</v>
      </c>
      <c r="AP12088" s="9">
        <v>3.2397651530654814</v>
      </c>
    </row>
    <row r="12089" spans="40:42" x14ac:dyDescent="0.3">
      <c r="AN12089">
        <v>12085</v>
      </c>
      <c r="AO12089" s="11">
        <v>32286.54</v>
      </c>
      <c r="AP12089" s="9">
        <v>3.1473166084042208</v>
      </c>
    </row>
    <row r="12090" spans="40:42" x14ac:dyDescent="0.3">
      <c r="AN12090">
        <v>12086</v>
      </c>
      <c r="AO12090" s="11">
        <v>27207.93</v>
      </c>
      <c r="AP12090" s="9">
        <v>3.1245458355038824</v>
      </c>
    </row>
    <row r="12091" spans="40:42" x14ac:dyDescent="0.3">
      <c r="AN12091">
        <v>12087</v>
      </c>
      <c r="AO12091" s="11">
        <v>30658.83</v>
      </c>
      <c r="AP12091" s="9">
        <v>3.2551162987781836</v>
      </c>
    </row>
    <row r="12092" spans="40:42" x14ac:dyDescent="0.3">
      <c r="AN12092">
        <v>12088</v>
      </c>
      <c r="AO12092" s="11">
        <v>36530.06</v>
      </c>
      <c r="AP12092" s="9">
        <v>3.5576960621755598</v>
      </c>
    </row>
    <row r="12093" spans="40:42" x14ac:dyDescent="0.3">
      <c r="AN12093">
        <v>12089</v>
      </c>
      <c r="AO12093" s="11">
        <v>32570.91</v>
      </c>
      <c r="AP12093" s="9">
        <v>3.5789694262841936</v>
      </c>
    </row>
    <row r="12094" spans="40:42" x14ac:dyDescent="0.3">
      <c r="AN12094">
        <v>12090</v>
      </c>
      <c r="AO12094" s="11">
        <v>20417.21</v>
      </c>
      <c r="AP12094" s="9">
        <v>3.5014041465782273</v>
      </c>
    </row>
    <row r="12095" spans="40:42" x14ac:dyDescent="0.3">
      <c r="AN12095">
        <v>12091</v>
      </c>
      <c r="AO12095" s="11">
        <v>24383.06</v>
      </c>
      <c r="AP12095" s="9">
        <v>3.3960862940458769</v>
      </c>
    </row>
    <row r="12096" spans="40:42" x14ac:dyDescent="0.3">
      <c r="AN12096">
        <v>12092</v>
      </c>
      <c r="AO12096" s="11">
        <v>45512.03</v>
      </c>
      <c r="AP12096" s="9">
        <v>3.9923324105905529</v>
      </c>
    </row>
    <row r="12097" spans="40:42" x14ac:dyDescent="0.3">
      <c r="AN12097">
        <v>12093</v>
      </c>
      <c r="AO12097" s="11">
        <v>28428.5</v>
      </c>
      <c r="AP12097" s="9">
        <v>3.2617222421380823</v>
      </c>
    </row>
    <row r="12098" spans="40:42" x14ac:dyDescent="0.3">
      <c r="AN12098">
        <v>12094</v>
      </c>
      <c r="AO12098" s="11">
        <v>19019.82</v>
      </c>
      <c r="AP12098" s="9">
        <v>2.7450757738411813</v>
      </c>
    </row>
    <row r="12099" spans="40:42" x14ac:dyDescent="0.3">
      <c r="AN12099">
        <v>12095</v>
      </c>
      <c r="AO12099" s="11">
        <v>23799.8</v>
      </c>
      <c r="AP12099" s="9">
        <v>3.1822744249604829</v>
      </c>
    </row>
    <row r="12100" spans="40:42" x14ac:dyDescent="0.3">
      <c r="AN12100">
        <v>12096</v>
      </c>
      <c r="AO12100" s="11">
        <v>23632.75</v>
      </c>
      <c r="AP12100" s="9">
        <v>3.7985864642329181</v>
      </c>
    </row>
    <row r="12101" spans="40:42" x14ac:dyDescent="0.3">
      <c r="AN12101">
        <v>12097</v>
      </c>
      <c r="AO12101" s="11">
        <v>17383.71</v>
      </c>
      <c r="AP12101" s="9">
        <v>3.0181731836805854</v>
      </c>
    </row>
    <row r="12102" spans="40:42" x14ac:dyDescent="0.3">
      <c r="AN12102">
        <v>12098</v>
      </c>
      <c r="AO12102" s="11">
        <v>24580.31</v>
      </c>
      <c r="AP12102" s="9">
        <v>3.4098054714950674</v>
      </c>
    </row>
    <row r="12103" spans="40:42" x14ac:dyDescent="0.3">
      <c r="AN12103">
        <v>12099</v>
      </c>
      <c r="AO12103" s="11">
        <v>27238.87</v>
      </c>
      <c r="AP12103" s="9">
        <v>3.4570809043008639</v>
      </c>
    </row>
    <row r="12104" spans="40:42" x14ac:dyDescent="0.3">
      <c r="AN12104">
        <v>12100</v>
      </c>
      <c r="AO12104" s="11">
        <v>19384.169999999998</v>
      </c>
      <c r="AP12104" s="9">
        <v>2.9889511204283203</v>
      </c>
    </row>
    <row r="12105" spans="40:42" x14ac:dyDescent="0.3">
      <c r="AN12105">
        <v>12101</v>
      </c>
      <c r="AO12105" s="11">
        <v>23499.69</v>
      </c>
      <c r="AP12105" s="9">
        <v>3.2727209427350181</v>
      </c>
    </row>
    <row r="12106" spans="40:42" x14ac:dyDescent="0.3">
      <c r="AN12106">
        <v>12102</v>
      </c>
      <c r="AO12106" s="11">
        <v>25935.48</v>
      </c>
      <c r="AP12106" s="9">
        <v>3.4982481433116379</v>
      </c>
    </row>
    <row r="12107" spans="40:42" x14ac:dyDescent="0.3">
      <c r="AN12107">
        <v>12103</v>
      </c>
      <c r="AO12107" s="11">
        <v>27422.41</v>
      </c>
      <c r="AP12107" s="9">
        <v>4.1011411191005065</v>
      </c>
    </row>
    <row r="12108" spans="40:42" x14ac:dyDescent="0.3">
      <c r="AN12108">
        <v>12104</v>
      </c>
      <c r="AO12108" s="11">
        <v>23045.200000000001</v>
      </c>
      <c r="AP12108" s="9">
        <v>3.5061245578923796</v>
      </c>
    </row>
    <row r="12109" spans="40:42" x14ac:dyDescent="0.3">
      <c r="AN12109">
        <v>12105</v>
      </c>
      <c r="AO12109" s="11">
        <v>28332.99</v>
      </c>
      <c r="AP12109" s="9">
        <v>3.3262906404677204</v>
      </c>
    </row>
    <row r="12110" spans="40:42" x14ac:dyDescent="0.3">
      <c r="AN12110">
        <v>12106</v>
      </c>
      <c r="AO12110" s="11">
        <v>28143.23</v>
      </c>
      <c r="AP12110" s="9">
        <v>3.4424159397874026</v>
      </c>
    </row>
    <row r="12111" spans="40:42" x14ac:dyDescent="0.3">
      <c r="AN12111">
        <v>12107</v>
      </c>
      <c r="AO12111" s="11">
        <v>32520.26</v>
      </c>
      <c r="AP12111" s="9">
        <v>4.5224194534520255</v>
      </c>
    </row>
    <row r="12112" spans="40:42" x14ac:dyDescent="0.3">
      <c r="AN12112">
        <v>12108</v>
      </c>
      <c r="AO12112" s="11">
        <v>18200.810000000001</v>
      </c>
      <c r="AP12112" s="9">
        <v>3.1757553629605297</v>
      </c>
    </row>
    <row r="12113" spans="40:42" x14ac:dyDescent="0.3">
      <c r="AN12113">
        <v>12109</v>
      </c>
      <c r="AO12113" s="11">
        <v>32151.39</v>
      </c>
      <c r="AP12113" s="9">
        <v>4.2407719106616355</v>
      </c>
    </row>
    <row r="12114" spans="40:42" x14ac:dyDescent="0.3">
      <c r="AN12114">
        <v>12110</v>
      </c>
      <c r="AO12114" s="11">
        <v>26506.48</v>
      </c>
      <c r="AP12114" s="9">
        <v>3.1829057293563907</v>
      </c>
    </row>
    <row r="12115" spans="40:42" x14ac:dyDescent="0.3">
      <c r="AN12115">
        <v>12111</v>
      </c>
      <c r="AO12115" s="11">
        <v>46816.01</v>
      </c>
      <c r="AP12115" s="9">
        <v>3.7780775436117837</v>
      </c>
    </row>
    <row r="12116" spans="40:42" x14ac:dyDescent="0.3">
      <c r="AN12116">
        <v>12112</v>
      </c>
      <c r="AO12116" s="11">
        <v>17654.53</v>
      </c>
      <c r="AP12116" s="9">
        <v>2.7424686353650225</v>
      </c>
    </row>
    <row r="12117" spans="40:42" x14ac:dyDescent="0.3">
      <c r="AN12117">
        <v>12113</v>
      </c>
      <c r="AO12117" s="11">
        <v>28408.52</v>
      </c>
      <c r="AP12117" s="9">
        <v>3.0012063654568903</v>
      </c>
    </row>
    <row r="12118" spans="40:42" x14ac:dyDescent="0.3">
      <c r="AN12118">
        <v>12114</v>
      </c>
      <c r="AO12118" s="11">
        <v>34685.4</v>
      </c>
      <c r="AP12118" s="9">
        <v>3.2225409468885258</v>
      </c>
    </row>
    <row r="12119" spans="40:42" x14ac:dyDescent="0.3">
      <c r="AN12119">
        <v>12115</v>
      </c>
      <c r="AO12119" s="11">
        <v>25981.24</v>
      </c>
      <c r="AP12119" s="9">
        <v>3.1263527870704659</v>
      </c>
    </row>
    <row r="12120" spans="40:42" x14ac:dyDescent="0.3">
      <c r="AN12120">
        <v>12116</v>
      </c>
      <c r="AO12120" s="11">
        <v>45258.879999999997</v>
      </c>
      <c r="AP12120" s="9">
        <v>3.716823618945587</v>
      </c>
    </row>
    <row r="12121" spans="40:42" x14ac:dyDescent="0.3">
      <c r="AN12121">
        <v>12117</v>
      </c>
      <c r="AO12121" s="11">
        <v>31878.83</v>
      </c>
      <c r="AP12121" s="9">
        <v>3.3822274213327845</v>
      </c>
    </row>
    <row r="12122" spans="40:42" x14ac:dyDescent="0.3">
      <c r="AN12122">
        <v>12118</v>
      </c>
      <c r="AO12122" s="11">
        <v>20333.37</v>
      </c>
      <c r="AP12122" s="9">
        <v>2.640400546564408</v>
      </c>
    </row>
    <row r="12123" spans="40:42" x14ac:dyDescent="0.3">
      <c r="AN12123">
        <v>12119</v>
      </c>
      <c r="AO12123" s="11">
        <v>40050.449999999997</v>
      </c>
      <c r="AP12123" s="9">
        <v>4.1796889548497536</v>
      </c>
    </row>
    <row r="12124" spans="40:42" x14ac:dyDescent="0.3">
      <c r="AN12124">
        <v>12120</v>
      </c>
      <c r="AO12124" s="11">
        <v>22295.37</v>
      </c>
      <c r="AP12124" s="9">
        <v>3.7288726334590168</v>
      </c>
    </row>
    <row r="12125" spans="40:42" x14ac:dyDescent="0.3">
      <c r="AN12125">
        <v>12121</v>
      </c>
      <c r="AO12125" s="11">
        <v>27090.62</v>
      </c>
      <c r="AP12125" s="9">
        <v>3.3851333565315129</v>
      </c>
    </row>
    <row r="12126" spans="40:42" x14ac:dyDescent="0.3">
      <c r="AN12126">
        <v>12122</v>
      </c>
      <c r="AO12126" s="11">
        <v>15536.32</v>
      </c>
      <c r="AP12126" s="9">
        <v>3.3287334900221688</v>
      </c>
    </row>
    <row r="12127" spans="40:42" x14ac:dyDescent="0.3">
      <c r="AN12127">
        <v>12123</v>
      </c>
      <c r="AO12127" s="11">
        <v>16214.81</v>
      </c>
      <c r="AP12127" s="9">
        <v>3.7710901376066199</v>
      </c>
    </row>
    <row r="12128" spans="40:42" x14ac:dyDescent="0.3">
      <c r="AN12128">
        <v>12124</v>
      </c>
      <c r="AO12128" s="11">
        <v>30655.21</v>
      </c>
      <c r="AP12128" s="9">
        <v>3.2255699436920415</v>
      </c>
    </row>
    <row r="12129" spans="40:42" x14ac:dyDescent="0.3">
      <c r="AN12129">
        <v>12125</v>
      </c>
      <c r="AO12129" s="11">
        <v>27974.98</v>
      </c>
      <c r="AP12129" s="9">
        <v>3.9566850817737653</v>
      </c>
    </row>
    <row r="12130" spans="40:42" x14ac:dyDescent="0.3">
      <c r="AN12130">
        <v>12126</v>
      </c>
      <c r="AO12130" s="11">
        <v>26936.5</v>
      </c>
      <c r="AP12130" s="9">
        <v>3.575938040077081</v>
      </c>
    </row>
    <row r="12131" spans="40:42" x14ac:dyDescent="0.3">
      <c r="AN12131">
        <v>12127</v>
      </c>
      <c r="AO12131" s="11">
        <v>23372.53</v>
      </c>
      <c r="AP12131" s="9">
        <v>3.1210360431043442</v>
      </c>
    </row>
    <row r="12132" spans="40:42" x14ac:dyDescent="0.3">
      <c r="AN12132">
        <v>12128</v>
      </c>
      <c r="AO12132" s="11">
        <v>31144.27</v>
      </c>
      <c r="AP12132" s="9">
        <v>3.5724760998281218</v>
      </c>
    </row>
    <row r="12133" spans="40:42" x14ac:dyDescent="0.3">
      <c r="AN12133">
        <v>12129</v>
      </c>
      <c r="AO12133" s="11">
        <v>23764.12</v>
      </c>
      <c r="AP12133" s="9">
        <v>3.1558758239265732</v>
      </c>
    </row>
    <row r="12134" spans="40:42" x14ac:dyDescent="0.3">
      <c r="AN12134">
        <v>12130</v>
      </c>
      <c r="AO12134" s="11">
        <v>23894.35</v>
      </c>
      <c r="AP12134" s="9">
        <v>4.0672384051525228</v>
      </c>
    </row>
    <row r="12135" spans="40:42" x14ac:dyDescent="0.3">
      <c r="AN12135">
        <v>12131</v>
      </c>
      <c r="AO12135" s="11">
        <v>16015.7</v>
      </c>
      <c r="AP12135" s="9">
        <v>3.0607229506923228</v>
      </c>
    </row>
    <row r="12136" spans="40:42" x14ac:dyDescent="0.3">
      <c r="AN12136">
        <v>12132</v>
      </c>
      <c r="AO12136" s="11">
        <v>22655.46</v>
      </c>
      <c r="AP12136" s="9">
        <v>3.9144754589247608</v>
      </c>
    </row>
    <row r="12137" spans="40:42" x14ac:dyDescent="0.3">
      <c r="AN12137">
        <v>12133</v>
      </c>
      <c r="AO12137" s="11">
        <v>33527.699999999997</v>
      </c>
      <c r="AP12137" s="9">
        <v>4.2706372699563584</v>
      </c>
    </row>
    <row r="12138" spans="40:42" x14ac:dyDescent="0.3">
      <c r="AN12138">
        <v>12134</v>
      </c>
      <c r="AO12138" s="11">
        <v>43038.92</v>
      </c>
      <c r="AP12138" s="9">
        <v>3.8999061513032598</v>
      </c>
    </row>
    <row r="12139" spans="40:42" x14ac:dyDescent="0.3">
      <c r="AN12139">
        <v>12135</v>
      </c>
      <c r="AO12139" s="11">
        <v>25176.6</v>
      </c>
      <c r="AP12139" s="9">
        <v>3.0238975748069192</v>
      </c>
    </row>
    <row r="12140" spans="40:42" x14ac:dyDescent="0.3">
      <c r="AN12140">
        <v>12136</v>
      </c>
      <c r="AO12140" s="11">
        <v>20545.55</v>
      </c>
      <c r="AP12140" s="9">
        <v>3.7422815495848534</v>
      </c>
    </row>
    <row r="12141" spans="40:42" x14ac:dyDescent="0.3">
      <c r="AN12141">
        <v>12137</v>
      </c>
      <c r="AO12141" s="11">
        <v>27667.62</v>
      </c>
      <c r="AP12141" s="9">
        <v>3.137643281896505</v>
      </c>
    </row>
    <row r="12142" spans="40:42" x14ac:dyDescent="0.3">
      <c r="AN12142">
        <v>12138</v>
      </c>
      <c r="AO12142" s="11">
        <v>21076.5</v>
      </c>
      <c r="AP12142" s="9">
        <v>2.9748647343567751</v>
      </c>
    </row>
    <row r="12143" spans="40:42" x14ac:dyDescent="0.3">
      <c r="AN12143">
        <v>12139</v>
      </c>
      <c r="AO12143" s="11">
        <v>31292.58</v>
      </c>
      <c r="AP12143" s="9">
        <v>3.5321130075966916</v>
      </c>
    </row>
    <row r="12144" spans="40:42" x14ac:dyDescent="0.3">
      <c r="AN12144">
        <v>12140</v>
      </c>
      <c r="AO12144" s="11">
        <v>23127.31</v>
      </c>
      <c r="AP12144" s="9">
        <v>3.7687225774432993</v>
      </c>
    </row>
    <row r="12145" spans="40:42" x14ac:dyDescent="0.3">
      <c r="AN12145">
        <v>12141</v>
      </c>
      <c r="AO12145" s="11">
        <v>20313.93</v>
      </c>
      <c r="AP12145" s="9">
        <v>3.4304036632091615</v>
      </c>
    </row>
    <row r="12146" spans="40:42" x14ac:dyDescent="0.3">
      <c r="AN12146">
        <v>12142</v>
      </c>
      <c r="AO12146" s="11">
        <v>24427.91</v>
      </c>
      <c r="AP12146" s="9">
        <v>3.3355178628929965</v>
      </c>
    </row>
    <row r="12147" spans="40:42" x14ac:dyDescent="0.3">
      <c r="AN12147">
        <v>12143</v>
      </c>
      <c r="AO12147" s="11">
        <v>19716.93</v>
      </c>
      <c r="AP12147" s="9">
        <v>3.1138964840816663</v>
      </c>
    </row>
    <row r="12148" spans="40:42" x14ac:dyDescent="0.3">
      <c r="AN12148">
        <v>12144</v>
      </c>
      <c r="AO12148" s="11">
        <v>27313.96</v>
      </c>
      <c r="AP12148" s="9">
        <v>3.2783974865055372</v>
      </c>
    </row>
    <row r="12149" spans="40:42" x14ac:dyDescent="0.3">
      <c r="AN12149">
        <v>12145</v>
      </c>
      <c r="AO12149" s="11">
        <v>26194.21</v>
      </c>
      <c r="AP12149" s="9">
        <v>3.5547066177084683</v>
      </c>
    </row>
    <row r="12150" spans="40:42" x14ac:dyDescent="0.3">
      <c r="AN12150">
        <v>12146</v>
      </c>
      <c r="AO12150" s="11">
        <v>22516.51</v>
      </c>
      <c r="AP12150" s="9">
        <v>2.8925301671254218</v>
      </c>
    </row>
    <row r="12151" spans="40:42" x14ac:dyDescent="0.3">
      <c r="AN12151">
        <v>12147</v>
      </c>
      <c r="AO12151" s="11">
        <v>25721.95</v>
      </c>
      <c r="AP12151" s="9">
        <v>3.3638348485583451</v>
      </c>
    </row>
    <row r="12152" spans="40:42" x14ac:dyDescent="0.3">
      <c r="AN12152">
        <v>12148</v>
      </c>
      <c r="AO12152" s="11">
        <v>14833.31</v>
      </c>
      <c r="AP12152" s="9">
        <v>2.8058875154432448</v>
      </c>
    </row>
    <row r="12153" spans="40:42" x14ac:dyDescent="0.3">
      <c r="AN12153">
        <v>12149</v>
      </c>
      <c r="AO12153" s="11">
        <v>22131.46</v>
      </c>
      <c r="AP12153" s="9">
        <v>2.8116842230670267</v>
      </c>
    </row>
    <row r="12154" spans="40:42" x14ac:dyDescent="0.3">
      <c r="AN12154">
        <v>12150</v>
      </c>
      <c r="AO12154" s="11">
        <v>34675.870000000003</v>
      </c>
      <c r="AP12154" s="9">
        <v>3.0978433738677071</v>
      </c>
    </row>
    <row r="12155" spans="40:42" x14ac:dyDescent="0.3">
      <c r="AN12155">
        <v>12151</v>
      </c>
      <c r="AO12155" s="11">
        <v>17672.830000000002</v>
      </c>
      <c r="AP12155" s="9">
        <v>2.7610276276506522</v>
      </c>
    </row>
    <row r="12156" spans="40:42" x14ac:dyDescent="0.3">
      <c r="AN12156">
        <v>12152</v>
      </c>
      <c r="AO12156" s="11">
        <v>38993.19</v>
      </c>
      <c r="AP12156" s="9">
        <v>4.2070602412252347</v>
      </c>
    </row>
    <row r="12157" spans="40:42" x14ac:dyDescent="0.3">
      <c r="AN12157">
        <v>12153</v>
      </c>
      <c r="AO12157" s="11">
        <v>27028.79</v>
      </c>
      <c r="AP12157" s="9">
        <v>3.3434774197466082</v>
      </c>
    </row>
    <row r="12158" spans="40:42" x14ac:dyDescent="0.3">
      <c r="AN12158">
        <v>12154</v>
      </c>
      <c r="AO12158" s="11">
        <v>26099.75</v>
      </c>
      <c r="AP12158" s="9">
        <v>3.6685174790575199</v>
      </c>
    </row>
    <row r="12159" spans="40:42" x14ac:dyDescent="0.3">
      <c r="AN12159">
        <v>12155</v>
      </c>
      <c r="AO12159" s="11">
        <v>20481.57</v>
      </c>
      <c r="AP12159" s="9">
        <v>3.4931472531962116</v>
      </c>
    </row>
    <row r="12160" spans="40:42" x14ac:dyDescent="0.3">
      <c r="AN12160">
        <v>12156</v>
      </c>
      <c r="AO12160" s="11">
        <v>26042.41</v>
      </c>
      <c r="AP12160" s="9">
        <v>2.9759811373054119</v>
      </c>
    </row>
    <row r="12161" spans="40:42" x14ac:dyDescent="0.3">
      <c r="AN12161">
        <v>12157</v>
      </c>
      <c r="AO12161" s="11">
        <v>22303.360000000001</v>
      </c>
      <c r="AP12161" s="9">
        <v>2.9709807514570015</v>
      </c>
    </row>
    <row r="12162" spans="40:42" x14ac:dyDescent="0.3">
      <c r="AN12162">
        <v>12158</v>
      </c>
      <c r="AO12162" s="11">
        <v>29333.86</v>
      </c>
      <c r="AP12162" s="9">
        <v>3.2087071132823857</v>
      </c>
    </row>
    <row r="12163" spans="40:42" x14ac:dyDescent="0.3">
      <c r="AN12163">
        <v>12159</v>
      </c>
      <c r="AO12163" s="11">
        <v>23355.49</v>
      </c>
      <c r="AP12163" s="9">
        <v>3.1193640241148675</v>
      </c>
    </row>
    <row r="12164" spans="40:42" x14ac:dyDescent="0.3">
      <c r="AN12164">
        <v>12160</v>
      </c>
      <c r="AO12164" s="11">
        <v>27336.66</v>
      </c>
      <c r="AP12164" s="9">
        <v>2.8508827137808832</v>
      </c>
    </row>
    <row r="12165" spans="40:42" x14ac:dyDescent="0.3">
      <c r="AN12165">
        <v>12161</v>
      </c>
      <c r="AO12165" s="11">
        <v>37831.120000000003</v>
      </c>
      <c r="AP12165" s="9">
        <v>3.8674570845716976</v>
      </c>
    </row>
    <row r="12166" spans="40:42" x14ac:dyDescent="0.3">
      <c r="AN12166">
        <v>12162</v>
      </c>
      <c r="AO12166" s="11">
        <v>26072.880000000001</v>
      </c>
      <c r="AP12166" s="9">
        <v>3.6827047672186008</v>
      </c>
    </row>
    <row r="12167" spans="40:42" x14ac:dyDescent="0.3">
      <c r="AN12167">
        <v>12163</v>
      </c>
      <c r="AO12167" s="11">
        <v>21555.38</v>
      </c>
      <c r="AP12167" s="9">
        <v>3.0822426708168069</v>
      </c>
    </row>
    <row r="12168" spans="40:42" x14ac:dyDescent="0.3">
      <c r="AN12168">
        <v>12164</v>
      </c>
      <c r="AO12168" s="11">
        <v>30886.1</v>
      </c>
      <c r="AP12168" s="9">
        <v>3.9243808188556697</v>
      </c>
    </row>
    <row r="12169" spans="40:42" x14ac:dyDescent="0.3">
      <c r="AN12169">
        <v>12165</v>
      </c>
      <c r="AO12169" s="11">
        <v>25671.200000000001</v>
      </c>
      <c r="AP12169" s="9">
        <v>3.9340738132706106</v>
      </c>
    </row>
    <row r="12170" spans="40:42" x14ac:dyDescent="0.3">
      <c r="AN12170">
        <v>12166</v>
      </c>
      <c r="AO12170" s="11">
        <v>23314.18</v>
      </c>
      <c r="AP12170" s="9">
        <v>4.0821774771963737</v>
      </c>
    </row>
    <row r="12171" spans="40:42" x14ac:dyDescent="0.3">
      <c r="AN12171">
        <v>12167</v>
      </c>
      <c r="AO12171" s="11">
        <v>23338.43</v>
      </c>
      <c r="AP12171" s="9">
        <v>3.3119495770072782</v>
      </c>
    </row>
    <row r="12172" spans="40:42" x14ac:dyDescent="0.3">
      <c r="AN12172">
        <v>12168</v>
      </c>
      <c r="AO12172" s="11">
        <v>15999.71</v>
      </c>
      <c r="AP12172" s="9">
        <v>3.3450730354957683</v>
      </c>
    </row>
    <row r="12173" spans="40:42" x14ac:dyDescent="0.3">
      <c r="AN12173">
        <v>12169</v>
      </c>
      <c r="AO12173" s="11">
        <v>30672.49</v>
      </c>
      <c r="AP12173" s="9">
        <v>3.1257025741398756</v>
      </c>
    </row>
    <row r="12174" spans="40:42" x14ac:dyDescent="0.3">
      <c r="AN12174">
        <v>12170</v>
      </c>
      <c r="AO12174" s="11">
        <v>43402.53</v>
      </c>
      <c r="AP12174" s="9">
        <v>4.0020204468771992</v>
      </c>
    </row>
    <row r="12175" spans="40:42" x14ac:dyDescent="0.3">
      <c r="AN12175">
        <v>12171</v>
      </c>
      <c r="AO12175" s="11">
        <v>27242.02</v>
      </c>
      <c r="AP12175" s="9">
        <v>3.3185838384021853</v>
      </c>
    </row>
    <row r="12176" spans="40:42" x14ac:dyDescent="0.3">
      <c r="AN12176">
        <v>12172</v>
      </c>
      <c r="AO12176" s="11">
        <v>23914.19</v>
      </c>
      <c r="AP12176" s="9">
        <v>3.8495429930629692</v>
      </c>
    </row>
    <row r="12177" spans="40:42" x14ac:dyDescent="0.3">
      <c r="AN12177">
        <v>12173</v>
      </c>
      <c r="AO12177" s="11">
        <v>38175.480000000003</v>
      </c>
      <c r="AP12177" s="9">
        <v>3.6608074200900154</v>
      </c>
    </row>
    <row r="12178" spans="40:42" x14ac:dyDescent="0.3">
      <c r="AN12178">
        <v>12174</v>
      </c>
      <c r="AO12178" s="11">
        <v>36656.85</v>
      </c>
      <c r="AP12178" s="9">
        <v>3.8832471877210577</v>
      </c>
    </row>
    <row r="12179" spans="40:42" x14ac:dyDescent="0.3">
      <c r="AN12179">
        <v>12175</v>
      </c>
      <c r="AO12179" s="11">
        <v>20941.54</v>
      </c>
      <c r="AP12179" s="9">
        <v>3.2090318678535277</v>
      </c>
    </row>
    <row r="12180" spans="40:42" x14ac:dyDescent="0.3">
      <c r="AN12180">
        <v>12176</v>
      </c>
      <c r="AO12180" s="11">
        <v>27646.65</v>
      </c>
      <c r="AP12180" s="9">
        <v>2.9958648153316427</v>
      </c>
    </row>
    <row r="12181" spans="40:42" x14ac:dyDescent="0.3">
      <c r="AN12181">
        <v>12177</v>
      </c>
      <c r="AO12181" s="11">
        <v>36846.959999999999</v>
      </c>
      <c r="AP12181" s="9">
        <v>3.5234000266391634</v>
      </c>
    </row>
    <row r="12182" spans="40:42" x14ac:dyDescent="0.3">
      <c r="AN12182">
        <v>12178</v>
      </c>
      <c r="AO12182" s="11">
        <v>16838.34</v>
      </c>
      <c r="AP12182" s="9">
        <v>3.019310186892787</v>
      </c>
    </row>
    <row r="12183" spans="40:42" x14ac:dyDescent="0.3">
      <c r="AN12183">
        <v>12179</v>
      </c>
      <c r="AO12183" s="11">
        <v>26646.55</v>
      </c>
      <c r="AP12183" s="9">
        <v>3.0864337638499042</v>
      </c>
    </row>
    <row r="12184" spans="40:42" x14ac:dyDescent="0.3">
      <c r="AN12184">
        <v>12180</v>
      </c>
      <c r="AO12184" s="11">
        <v>39441.050000000003</v>
      </c>
      <c r="AP12184" s="9">
        <v>3.6723053725160848</v>
      </c>
    </row>
    <row r="12185" spans="40:42" x14ac:dyDescent="0.3">
      <c r="AN12185">
        <v>12181</v>
      </c>
      <c r="AO12185" s="11">
        <v>22730.59</v>
      </c>
      <c r="AP12185" s="9">
        <v>3.2185031852598804</v>
      </c>
    </row>
    <row r="12186" spans="40:42" x14ac:dyDescent="0.3">
      <c r="AN12186">
        <v>12182</v>
      </c>
      <c r="AO12186" s="11">
        <v>29913.43</v>
      </c>
      <c r="AP12186" s="9">
        <v>3.5123601799558504</v>
      </c>
    </row>
    <row r="12187" spans="40:42" x14ac:dyDescent="0.3">
      <c r="AN12187">
        <v>12183</v>
      </c>
      <c r="AO12187" s="11">
        <v>16952.89</v>
      </c>
      <c r="AP12187" s="9">
        <v>2.8217010314547064</v>
      </c>
    </row>
    <row r="12188" spans="40:42" x14ac:dyDescent="0.3">
      <c r="AN12188">
        <v>12184</v>
      </c>
      <c r="AO12188" s="11">
        <v>24668.79</v>
      </c>
      <c r="AP12188" s="9">
        <v>3.2662744875333378</v>
      </c>
    </row>
    <row r="12189" spans="40:42" x14ac:dyDescent="0.3">
      <c r="AN12189">
        <v>12185</v>
      </c>
      <c r="AO12189" s="11">
        <v>60813.18</v>
      </c>
      <c r="AP12189" s="9">
        <v>3.9399425793917557</v>
      </c>
    </row>
    <row r="12190" spans="40:42" x14ac:dyDescent="0.3">
      <c r="AN12190">
        <v>12186</v>
      </c>
      <c r="AO12190" s="11">
        <v>29882.35</v>
      </c>
      <c r="AP12190" s="9">
        <v>3.6435242526704856</v>
      </c>
    </row>
    <row r="12191" spans="40:42" x14ac:dyDescent="0.3">
      <c r="AN12191">
        <v>12187</v>
      </c>
      <c r="AO12191" s="11">
        <v>36496.089999999997</v>
      </c>
      <c r="AP12191" s="9">
        <v>3.3507204438833775</v>
      </c>
    </row>
    <row r="12192" spans="40:42" x14ac:dyDescent="0.3">
      <c r="AN12192">
        <v>12188</v>
      </c>
      <c r="AO12192" s="11">
        <v>30747.77</v>
      </c>
      <c r="AP12192" s="9">
        <v>3.4561499609133501</v>
      </c>
    </row>
    <row r="12193" spans="40:42" x14ac:dyDescent="0.3">
      <c r="AN12193">
        <v>12189</v>
      </c>
      <c r="AO12193" s="11">
        <v>13789.31</v>
      </c>
      <c r="AP12193" s="9">
        <v>3.1705894946865656</v>
      </c>
    </row>
    <row r="12194" spans="40:42" x14ac:dyDescent="0.3">
      <c r="AN12194">
        <v>12190</v>
      </c>
      <c r="AO12194" s="11">
        <v>27494.16</v>
      </c>
      <c r="AP12194" s="9">
        <v>3.9636378669613226</v>
      </c>
    </row>
    <row r="12195" spans="40:42" x14ac:dyDescent="0.3">
      <c r="AN12195">
        <v>12191</v>
      </c>
      <c r="AO12195" s="11">
        <v>19125.509999999998</v>
      </c>
      <c r="AP12195" s="9">
        <v>3.3473560593849858</v>
      </c>
    </row>
    <row r="12196" spans="40:42" x14ac:dyDescent="0.3">
      <c r="AN12196">
        <v>12192</v>
      </c>
      <c r="AO12196" s="11">
        <v>25436.73</v>
      </c>
      <c r="AP12196" s="9">
        <v>3.0445887035893553</v>
      </c>
    </row>
    <row r="12197" spans="40:42" x14ac:dyDescent="0.3">
      <c r="AN12197">
        <v>12193</v>
      </c>
      <c r="AO12197" s="11">
        <v>26852.97</v>
      </c>
      <c r="AP12197" s="9">
        <v>3.5327765649802143</v>
      </c>
    </row>
    <row r="12198" spans="40:42" x14ac:dyDescent="0.3">
      <c r="AN12198">
        <v>12194</v>
      </c>
      <c r="AO12198" s="11">
        <v>18708.8</v>
      </c>
      <c r="AP12198" s="9">
        <v>3.1563401099761452</v>
      </c>
    </row>
    <row r="12199" spans="40:42" x14ac:dyDescent="0.3">
      <c r="AN12199">
        <v>12195</v>
      </c>
      <c r="AO12199" s="11">
        <v>17087.919999999998</v>
      </c>
      <c r="AP12199" s="9">
        <v>3.3155890616758898</v>
      </c>
    </row>
    <row r="12200" spans="40:42" x14ac:dyDescent="0.3">
      <c r="AN12200">
        <v>12196</v>
      </c>
      <c r="AO12200" s="11">
        <v>42096.06</v>
      </c>
      <c r="AP12200" s="9">
        <v>3.2968294928332642</v>
      </c>
    </row>
    <row r="12201" spans="40:42" x14ac:dyDescent="0.3">
      <c r="AN12201">
        <v>12197</v>
      </c>
      <c r="AO12201" s="11">
        <v>18172.96</v>
      </c>
      <c r="AP12201" s="9">
        <v>3.1585466099683202</v>
      </c>
    </row>
    <row r="12202" spans="40:42" x14ac:dyDescent="0.3">
      <c r="AN12202">
        <v>12198</v>
      </c>
      <c r="AO12202" s="11">
        <v>27510.12</v>
      </c>
      <c r="AP12202" s="9">
        <v>2.9565664676037744</v>
      </c>
    </row>
    <row r="12203" spans="40:42" x14ac:dyDescent="0.3">
      <c r="AN12203">
        <v>12199</v>
      </c>
      <c r="AO12203" s="11">
        <v>22545.35</v>
      </c>
      <c r="AP12203" s="9">
        <v>2.9638578729594371</v>
      </c>
    </row>
    <row r="12204" spans="40:42" x14ac:dyDescent="0.3">
      <c r="AN12204">
        <v>12200</v>
      </c>
      <c r="AO12204" s="11">
        <v>38916.9</v>
      </c>
      <c r="AP12204" s="9">
        <v>3.5372235545263702</v>
      </c>
    </row>
    <row r="12205" spans="40:42" x14ac:dyDescent="0.3">
      <c r="AN12205">
        <v>12201</v>
      </c>
      <c r="AO12205" s="11">
        <v>24031.87</v>
      </c>
      <c r="AP12205" s="9">
        <v>2.928688001688744</v>
      </c>
    </row>
    <row r="12206" spans="40:42" x14ac:dyDescent="0.3">
      <c r="AN12206">
        <v>12202</v>
      </c>
      <c r="AO12206" s="11">
        <v>34168.49</v>
      </c>
      <c r="AP12206" s="9">
        <v>3.8010874624338347</v>
      </c>
    </row>
    <row r="12207" spans="40:42" x14ac:dyDescent="0.3">
      <c r="AN12207">
        <v>12203</v>
      </c>
      <c r="AO12207" s="11">
        <v>24456.44</v>
      </c>
      <c r="AP12207" s="9">
        <v>3.1747323212576837</v>
      </c>
    </row>
    <row r="12208" spans="40:42" x14ac:dyDescent="0.3">
      <c r="AN12208">
        <v>12204</v>
      </c>
      <c r="AO12208" s="11">
        <v>32640.98</v>
      </c>
      <c r="AP12208" s="9">
        <v>3.8492784677464962</v>
      </c>
    </row>
    <row r="12209" spans="40:42" x14ac:dyDescent="0.3">
      <c r="AN12209">
        <v>12205</v>
      </c>
      <c r="AO12209" s="11">
        <v>32519.24</v>
      </c>
      <c r="AP12209" s="9">
        <v>3.1262909778723356</v>
      </c>
    </row>
    <row r="12210" spans="40:42" x14ac:dyDescent="0.3">
      <c r="AN12210">
        <v>12206</v>
      </c>
      <c r="AO12210" s="11">
        <v>26365.49</v>
      </c>
      <c r="AP12210" s="9">
        <v>2.7941609681376867</v>
      </c>
    </row>
    <row r="12211" spans="40:42" x14ac:dyDescent="0.3">
      <c r="AN12211">
        <v>12207</v>
      </c>
      <c r="AO12211" s="11">
        <v>37081.75</v>
      </c>
      <c r="AP12211" s="9">
        <v>3.7622357644579769</v>
      </c>
    </row>
    <row r="12212" spans="40:42" x14ac:dyDescent="0.3">
      <c r="AN12212">
        <v>12208</v>
      </c>
      <c r="AO12212" s="11">
        <v>17014.37</v>
      </c>
      <c r="AP12212" s="9">
        <v>3.1816701750941991</v>
      </c>
    </row>
    <row r="12213" spans="40:42" x14ac:dyDescent="0.3">
      <c r="AN12213">
        <v>12209</v>
      </c>
      <c r="AO12213" s="11">
        <v>30956.47</v>
      </c>
      <c r="AP12213" s="9">
        <v>3.2022916531729275</v>
      </c>
    </row>
    <row r="12214" spans="40:42" x14ac:dyDescent="0.3">
      <c r="AN12214">
        <v>12210</v>
      </c>
      <c r="AO12214" s="11">
        <v>29697.24</v>
      </c>
      <c r="AP12214" s="9">
        <v>3.9626508993849967</v>
      </c>
    </row>
    <row r="12215" spans="40:42" x14ac:dyDescent="0.3">
      <c r="AN12215">
        <v>12211</v>
      </c>
      <c r="AO12215" s="11">
        <v>24511.64</v>
      </c>
      <c r="AP12215" s="9">
        <v>3.1213908850654022</v>
      </c>
    </row>
    <row r="12216" spans="40:42" x14ac:dyDescent="0.3">
      <c r="AN12216">
        <v>12212</v>
      </c>
      <c r="AO12216" s="11">
        <v>31613.56</v>
      </c>
      <c r="AP12216" s="9">
        <v>3.6883661216093806</v>
      </c>
    </row>
    <row r="12217" spans="40:42" x14ac:dyDescent="0.3">
      <c r="AN12217">
        <v>12213</v>
      </c>
      <c r="AO12217" s="11">
        <v>20044.84</v>
      </c>
      <c r="AP12217" s="9">
        <v>3.162472376919093</v>
      </c>
    </row>
    <row r="12218" spans="40:42" x14ac:dyDescent="0.3">
      <c r="AN12218">
        <v>12214</v>
      </c>
      <c r="AO12218" s="11">
        <v>40370.92</v>
      </c>
      <c r="AP12218" s="9">
        <v>3.4348049451113574</v>
      </c>
    </row>
    <row r="12219" spans="40:42" x14ac:dyDescent="0.3">
      <c r="AN12219">
        <v>12215</v>
      </c>
      <c r="AO12219" s="11">
        <v>23421.919999999998</v>
      </c>
      <c r="AP12219" s="9">
        <v>3.1853952025805974</v>
      </c>
    </row>
    <row r="12220" spans="40:42" x14ac:dyDescent="0.3">
      <c r="AN12220">
        <v>12216</v>
      </c>
      <c r="AO12220" s="11">
        <v>41984.89</v>
      </c>
      <c r="AP12220" s="9">
        <v>3.4084162365755759</v>
      </c>
    </row>
    <row r="12221" spans="40:42" x14ac:dyDescent="0.3">
      <c r="AN12221">
        <v>12217</v>
      </c>
      <c r="AO12221" s="11">
        <v>17977.25</v>
      </c>
      <c r="AP12221" s="9">
        <v>3.3296228469223048</v>
      </c>
    </row>
    <row r="12222" spans="40:42" x14ac:dyDescent="0.3">
      <c r="AN12222">
        <v>12218</v>
      </c>
      <c r="AO12222" s="11">
        <v>25334.49</v>
      </c>
      <c r="AP12222" s="9">
        <v>3.0743480565073367</v>
      </c>
    </row>
    <row r="12223" spans="40:42" x14ac:dyDescent="0.3">
      <c r="AN12223">
        <v>12219</v>
      </c>
      <c r="AO12223" s="11">
        <v>17697.05</v>
      </c>
      <c r="AP12223" s="9">
        <v>2.7999962374688536</v>
      </c>
    </row>
    <row r="12224" spans="40:42" x14ac:dyDescent="0.3">
      <c r="AN12224">
        <v>12220</v>
      </c>
      <c r="AO12224" s="11">
        <v>28046.81</v>
      </c>
      <c r="AP12224" s="9">
        <v>3.7552876017028143</v>
      </c>
    </row>
    <row r="12225" spans="40:42" x14ac:dyDescent="0.3">
      <c r="AN12225">
        <v>12221</v>
      </c>
      <c r="AO12225" s="11">
        <v>24960.959999999999</v>
      </c>
      <c r="AP12225" s="9">
        <v>3.5903942583050723</v>
      </c>
    </row>
    <row r="12226" spans="40:42" x14ac:dyDescent="0.3">
      <c r="AN12226">
        <v>12222</v>
      </c>
      <c r="AO12226" s="11">
        <v>16756.48</v>
      </c>
      <c r="AP12226" s="9">
        <v>3.4183101387152335</v>
      </c>
    </row>
    <row r="12227" spans="40:42" x14ac:dyDescent="0.3">
      <c r="AN12227">
        <v>12223</v>
      </c>
      <c r="AO12227" s="11">
        <v>25399.62</v>
      </c>
      <c r="AP12227" s="9">
        <v>3.3097546103805495</v>
      </c>
    </row>
    <row r="12228" spans="40:42" x14ac:dyDescent="0.3">
      <c r="AN12228">
        <v>12224</v>
      </c>
      <c r="AO12228" s="11">
        <v>17907.21</v>
      </c>
      <c r="AP12228" s="9">
        <v>3.1669798402723925</v>
      </c>
    </row>
    <row r="12229" spans="40:42" x14ac:dyDescent="0.3">
      <c r="AN12229">
        <v>12225</v>
      </c>
      <c r="AO12229" s="11">
        <v>17850.189999999999</v>
      </c>
      <c r="AP12229" s="9">
        <v>3.1924328662494443</v>
      </c>
    </row>
    <row r="12230" spans="40:42" x14ac:dyDescent="0.3">
      <c r="AN12230">
        <v>12226</v>
      </c>
      <c r="AO12230" s="11">
        <v>40666.720000000001</v>
      </c>
      <c r="AP12230" s="9">
        <v>3.9074313276787973</v>
      </c>
    </row>
    <row r="12231" spans="40:42" x14ac:dyDescent="0.3">
      <c r="AN12231">
        <v>12227</v>
      </c>
      <c r="AO12231" s="11">
        <v>22173</v>
      </c>
      <c r="AP12231" s="9">
        <v>3.0632181298926682</v>
      </c>
    </row>
    <row r="12232" spans="40:42" x14ac:dyDescent="0.3">
      <c r="AN12232">
        <v>12228</v>
      </c>
      <c r="AO12232" s="11">
        <v>13921.24</v>
      </c>
      <c r="AP12232" s="9">
        <v>2.7699452441959469</v>
      </c>
    </row>
    <row r="12233" spans="40:42" x14ac:dyDescent="0.3">
      <c r="AN12233">
        <v>12229</v>
      </c>
      <c r="AO12233" s="11">
        <v>26716.37</v>
      </c>
      <c r="AP12233" s="9">
        <v>3.2562862007458127</v>
      </c>
    </row>
    <row r="12234" spans="40:42" x14ac:dyDescent="0.3">
      <c r="AN12234">
        <v>12230</v>
      </c>
      <c r="AO12234" s="11">
        <v>32379.88</v>
      </c>
      <c r="AP12234" s="9">
        <v>3.1979708966634961</v>
      </c>
    </row>
    <row r="12235" spans="40:42" x14ac:dyDescent="0.3">
      <c r="AN12235">
        <v>12231</v>
      </c>
      <c r="AO12235" s="11">
        <v>18612.13</v>
      </c>
      <c r="AP12235" s="9">
        <v>2.626211653503729</v>
      </c>
    </row>
    <row r="12236" spans="40:42" x14ac:dyDescent="0.3">
      <c r="AN12236">
        <v>12232</v>
      </c>
      <c r="AO12236" s="11">
        <v>35199.589999999997</v>
      </c>
      <c r="AP12236" s="9">
        <v>3.3064941518365361</v>
      </c>
    </row>
    <row r="12237" spans="40:42" x14ac:dyDescent="0.3">
      <c r="AN12237">
        <v>12233</v>
      </c>
      <c r="AO12237" s="11">
        <v>30776.12</v>
      </c>
      <c r="AP12237" s="9">
        <v>3.3750197256548282</v>
      </c>
    </row>
    <row r="12238" spans="40:42" x14ac:dyDescent="0.3">
      <c r="AN12238">
        <v>12234</v>
      </c>
      <c r="AO12238" s="11">
        <v>20202.259999999998</v>
      </c>
      <c r="AP12238" s="9">
        <v>3.9177518443270163</v>
      </c>
    </row>
    <row r="12239" spans="40:42" x14ac:dyDescent="0.3">
      <c r="AN12239">
        <v>12235</v>
      </c>
      <c r="AO12239" s="11">
        <v>21789.42</v>
      </c>
      <c r="AP12239" s="9">
        <v>3.1632737185195583</v>
      </c>
    </row>
    <row r="12240" spans="40:42" x14ac:dyDescent="0.3">
      <c r="AN12240">
        <v>12236</v>
      </c>
      <c r="AO12240" s="11">
        <v>29620.74</v>
      </c>
      <c r="AP12240" s="9">
        <v>3.1108623864312883</v>
      </c>
    </row>
    <row r="12241" spans="40:42" x14ac:dyDescent="0.3">
      <c r="AN12241">
        <v>12237</v>
      </c>
      <c r="AO12241" s="11">
        <v>18826.7</v>
      </c>
      <c r="AP12241" s="9">
        <v>3.3333944633622345</v>
      </c>
    </row>
    <row r="12242" spans="40:42" x14ac:dyDescent="0.3">
      <c r="AN12242">
        <v>12238</v>
      </c>
      <c r="AO12242" s="11">
        <v>16968.490000000002</v>
      </c>
      <c r="AP12242" s="9">
        <v>2.575026439772671</v>
      </c>
    </row>
    <row r="12243" spans="40:42" x14ac:dyDescent="0.3">
      <c r="AN12243">
        <v>12239</v>
      </c>
      <c r="AO12243" s="11">
        <v>20259.560000000001</v>
      </c>
      <c r="AP12243" s="9">
        <v>2.6474898087145102</v>
      </c>
    </row>
    <row r="12244" spans="40:42" x14ac:dyDescent="0.3">
      <c r="AN12244">
        <v>12240</v>
      </c>
      <c r="AO12244" s="11">
        <v>25185.35</v>
      </c>
      <c r="AP12244" s="9">
        <v>3.1249538761600024</v>
      </c>
    </row>
    <row r="12245" spans="40:42" x14ac:dyDescent="0.3">
      <c r="AN12245">
        <v>12241</v>
      </c>
      <c r="AO12245" s="11">
        <v>26822.55</v>
      </c>
      <c r="AP12245" s="9">
        <v>3.0898664119783055</v>
      </c>
    </row>
    <row r="12246" spans="40:42" x14ac:dyDescent="0.3">
      <c r="AN12246">
        <v>12242</v>
      </c>
      <c r="AO12246" s="11">
        <v>19652.14</v>
      </c>
      <c r="AP12246" s="9">
        <v>3.4287336412837015</v>
      </c>
    </row>
    <row r="12247" spans="40:42" x14ac:dyDescent="0.3">
      <c r="AN12247">
        <v>12243</v>
      </c>
      <c r="AO12247" s="11">
        <v>26007.27</v>
      </c>
      <c r="AP12247" s="9">
        <v>3.5301126259693913</v>
      </c>
    </row>
    <row r="12248" spans="40:42" x14ac:dyDescent="0.3">
      <c r="AN12248">
        <v>12244</v>
      </c>
      <c r="AO12248" s="11">
        <v>25911.71</v>
      </c>
      <c r="AP12248" s="9">
        <v>3.158528641398989</v>
      </c>
    </row>
    <row r="12249" spans="40:42" x14ac:dyDescent="0.3">
      <c r="AN12249">
        <v>12245</v>
      </c>
      <c r="AO12249" s="11">
        <v>36622.94</v>
      </c>
      <c r="AP12249" s="9">
        <v>4.175577497239666</v>
      </c>
    </row>
    <row r="12250" spans="40:42" x14ac:dyDescent="0.3">
      <c r="AN12250">
        <v>12246</v>
      </c>
      <c r="AO12250" s="11">
        <v>26084.77</v>
      </c>
      <c r="AP12250" s="9">
        <v>2.9738645115669664</v>
      </c>
    </row>
    <row r="12251" spans="40:42" x14ac:dyDescent="0.3">
      <c r="AN12251">
        <v>12247</v>
      </c>
      <c r="AO12251" s="11">
        <v>21087.52</v>
      </c>
      <c r="AP12251" s="9">
        <v>3.3684311696201625</v>
      </c>
    </row>
    <row r="12252" spans="40:42" x14ac:dyDescent="0.3">
      <c r="AN12252">
        <v>12248</v>
      </c>
      <c r="AO12252" s="11">
        <v>44731.23</v>
      </c>
      <c r="AP12252" s="9">
        <v>4.0238065920316632</v>
      </c>
    </row>
    <row r="12253" spans="40:42" x14ac:dyDescent="0.3">
      <c r="AN12253">
        <v>12249</v>
      </c>
      <c r="AO12253" s="11">
        <v>18573.57</v>
      </c>
      <c r="AP12253" s="9">
        <v>3.1373500754669585</v>
      </c>
    </row>
    <row r="12254" spans="40:42" x14ac:dyDescent="0.3">
      <c r="AN12254">
        <v>12250</v>
      </c>
      <c r="AO12254" s="11">
        <v>30356.85</v>
      </c>
      <c r="AP12254" s="9">
        <v>3.1294676756621627</v>
      </c>
    </row>
    <row r="12255" spans="40:42" x14ac:dyDescent="0.3">
      <c r="AN12255">
        <v>12251</v>
      </c>
      <c r="AO12255" s="11">
        <v>31284.19</v>
      </c>
      <c r="AP12255" s="9">
        <v>3.6652469671243768</v>
      </c>
    </row>
    <row r="12256" spans="40:42" x14ac:dyDescent="0.3">
      <c r="AN12256">
        <v>12252</v>
      </c>
      <c r="AO12256" s="11">
        <v>27745.77</v>
      </c>
      <c r="AP12256" s="9">
        <v>3.1094712065063064</v>
      </c>
    </row>
    <row r="12257" spans="40:42" x14ac:dyDescent="0.3">
      <c r="AN12257">
        <v>12253</v>
      </c>
      <c r="AO12257" s="11">
        <v>38451.47</v>
      </c>
      <c r="AP12257" s="9">
        <v>3.5597756062258212</v>
      </c>
    </row>
    <row r="12258" spans="40:42" x14ac:dyDescent="0.3">
      <c r="AN12258">
        <v>12254</v>
      </c>
      <c r="AO12258" s="11">
        <v>25602.67</v>
      </c>
      <c r="AP12258" s="9">
        <v>3.4263853942836291</v>
      </c>
    </row>
    <row r="12259" spans="40:42" x14ac:dyDescent="0.3">
      <c r="AN12259">
        <v>12255</v>
      </c>
      <c r="AO12259" s="11">
        <v>27407.45</v>
      </c>
      <c r="AP12259" s="9">
        <v>3.7992861061052117</v>
      </c>
    </row>
    <row r="12260" spans="40:42" x14ac:dyDescent="0.3">
      <c r="AN12260">
        <v>12256</v>
      </c>
      <c r="AO12260" s="11">
        <v>14292.15</v>
      </c>
      <c r="AP12260" s="9">
        <v>2.8106940045895783</v>
      </c>
    </row>
    <row r="12261" spans="40:42" x14ac:dyDescent="0.3">
      <c r="AN12261">
        <v>12257</v>
      </c>
      <c r="AO12261" s="11">
        <v>29108.07</v>
      </c>
      <c r="AP12261" s="9">
        <v>2.9756047017960721</v>
      </c>
    </row>
    <row r="12262" spans="40:42" x14ac:dyDescent="0.3">
      <c r="AN12262">
        <v>12258</v>
      </c>
      <c r="AO12262" s="11">
        <v>16664.84</v>
      </c>
      <c r="AP12262" s="9">
        <v>3.2374969490345502</v>
      </c>
    </row>
    <row r="12263" spans="40:42" x14ac:dyDescent="0.3">
      <c r="AN12263">
        <v>12259</v>
      </c>
      <c r="AO12263" s="11">
        <v>19854.400000000001</v>
      </c>
      <c r="AP12263" s="9">
        <v>3.1726751520374115</v>
      </c>
    </row>
    <row r="12264" spans="40:42" x14ac:dyDescent="0.3">
      <c r="AN12264">
        <v>12260</v>
      </c>
      <c r="AO12264" s="11">
        <v>17016.09</v>
      </c>
      <c r="AP12264" s="9">
        <v>3.504627740587559</v>
      </c>
    </row>
    <row r="12265" spans="40:42" x14ac:dyDescent="0.3">
      <c r="AN12265">
        <v>12261</v>
      </c>
      <c r="AO12265" s="11">
        <v>25839.26</v>
      </c>
      <c r="AP12265" s="9">
        <v>3.5621801395955948</v>
      </c>
    </row>
    <row r="12266" spans="40:42" x14ac:dyDescent="0.3">
      <c r="AN12266">
        <v>12262</v>
      </c>
      <c r="AO12266" s="11">
        <v>23987.77</v>
      </c>
      <c r="AP12266" s="9">
        <v>3.672276959704293</v>
      </c>
    </row>
    <row r="12267" spans="40:42" x14ac:dyDescent="0.3">
      <c r="AN12267">
        <v>12263</v>
      </c>
      <c r="AO12267" s="11">
        <v>24154.59</v>
      </c>
      <c r="AP12267" s="9">
        <v>3.5887129885332612</v>
      </c>
    </row>
    <row r="12268" spans="40:42" x14ac:dyDescent="0.3">
      <c r="AN12268">
        <v>12264</v>
      </c>
      <c r="AO12268" s="11">
        <v>32732.92</v>
      </c>
      <c r="AP12268" s="9">
        <v>3.8892718383714211</v>
      </c>
    </row>
    <row r="12269" spans="40:42" x14ac:dyDescent="0.3">
      <c r="AN12269">
        <v>12265</v>
      </c>
      <c r="AO12269" s="11">
        <v>18177</v>
      </c>
      <c r="AP12269" s="9">
        <v>3.534415806894434</v>
      </c>
    </row>
    <row r="12270" spans="40:42" x14ac:dyDescent="0.3">
      <c r="AN12270">
        <v>12266</v>
      </c>
      <c r="AO12270" s="11">
        <v>28940.03</v>
      </c>
      <c r="AP12270" s="9">
        <v>3.2450233589835413</v>
      </c>
    </row>
    <row r="12271" spans="40:42" x14ac:dyDescent="0.3">
      <c r="AN12271">
        <v>12267</v>
      </c>
      <c r="AO12271" s="11">
        <v>27805.64</v>
      </c>
      <c r="AP12271" s="9">
        <v>3.2542468330215293</v>
      </c>
    </row>
    <row r="12272" spans="40:42" x14ac:dyDescent="0.3">
      <c r="AN12272">
        <v>12268</v>
      </c>
      <c r="AO12272" s="11">
        <v>22922.87</v>
      </c>
      <c r="AP12272" s="9">
        <v>3.6304300585537241</v>
      </c>
    </row>
    <row r="12273" spans="40:42" x14ac:dyDescent="0.3">
      <c r="AN12273">
        <v>12269</v>
      </c>
      <c r="AO12273" s="11">
        <v>33718.050000000003</v>
      </c>
      <c r="AP12273" s="9">
        <v>3.8699688265267875</v>
      </c>
    </row>
    <row r="12274" spans="40:42" x14ac:dyDescent="0.3">
      <c r="AN12274">
        <v>12270</v>
      </c>
      <c r="AO12274" s="11">
        <v>25624.69</v>
      </c>
      <c r="AP12274" s="9">
        <v>2.5821573919205085</v>
      </c>
    </row>
    <row r="12275" spans="40:42" x14ac:dyDescent="0.3">
      <c r="AN12275">
        <v>12271</v>
      </c>
      <c r="AO12275" s="11">
        <v>20568.919999999998</v>
      </c>
      <c r="AP12275" s="9">
        <v>4.1674886146696837</v>
      </c>
    </row>
    <row r="12276" spans="40:42" x14ac:dyDescent="0.3">
      <c r="AN12276">
        <v>12272</v>
      </c>
      <c r="AO12276" s="11">
        <v>26283.98</v>
      </c>
      <c r="AP12276" s="9">
        <v>2.7519576771017253</v>
      </c>
    </row>
    <row r="12277" spans="40:42" x14ac:dyDescent="0.3">
      <c r="AN12277">
        <v>12273</v>
      </c>
      <c r="AO12277" s="11">
        <v>26675.41</v>
      </c>
      <c r="AP12277" s="9">
        <v>3.6116336462099969</v>
      </c>
    </row>
    <row r="12278" spans="40:42" x14ac:dyDescent="0.3">
      <c r="AN12278">
        <v>12274</v>
      </c>
      <c r="AO12278" s="11">
        <v>20663.03</v>
      </c>
      <c r="AP12278" s="9">
        <v>3.3940420781133755</v>
      </c>
    </row>
    <row r="12279" spans="40:42" x14ac:dyDescent="0.3">
      <c r="AN12279">
        <v>12275</v>
      </c>
      <c r="AO12279" s="11">
        <v>25256.93</v>
      </c>
      <c r="AP12279" s="9">
        <v>3.3414152265976789</v>
      </c>
    </row>
    <row r="12280" spans="40:42" x14ac:dyDescent="0.3">
      <c r="AN12280">
        <v>12276</v>
      </c>
      <c r="AO12280" s="11">
        <v>34984.080000000002</v>
      </c>
      <c r="AP12280" s="9">
        <v>3.4658081478009168</v>
      </c>
    </row>
    <row r="12281" spans="40:42" x14ac:dyDescent="0.3">
      <c r="AN12281">
        <v>12277</v>
      </c>
      <c r="AO12281" s="11">
        <v>16197.38</v>
      </c>
      <c r="AP12281" s="9">
        <v>2.744617198667227</v>
      </c>
    </row>
    <row r="12282" spans="40:42" x14ac:dyDescent="0.3">
      <c r="AN12282">
        <v>12278</v>
      </c>
      <c r="AO12282" s="11">
        <v>26350.41</v>
      </c>
      <c r="AP12282" s="9">
        <v>3.1167286344737111</v>
      </c>
    </row>
    <row r="12283" spans="40:42" x14ac:dyDescent="0.3">
      <c r="AN12283">
        <v>12279</v>
      </c>
      <c r="AO12283" s="11">
        <v>29979.86</v>
      </c>
      <c r="AP12283" s="9">
        <v>4.2935594197656286</v>
      </c>
    </row>
    <row r="12284" spans="40:42" x14ac:dyDescent="0.3">
      <c r="AN12284">
        <v>12280</v>
      </c>
      <c r="AO12284" s="11">
        <v>32924.230000000003</v>
      </c>
      <c r="AP12284" s="9">
        <v>4.0709408444423536</v>
      </c>
    </row>
    <row r="12285" spans="40:42" x14ac:dyDescent="0.3">
      <c r="AN12285">
        <v>12281</v>
      </c>
      <c r="AO12285" s="11">
        <v>24261.48</v>
      </c>
      <c r="AP12285" s="9">
        <v>3.2741130375617589</v>
      </c>
    </row>
    <row r="12286" spans="40:42" x14ac:dyDescent="0.3">
      <c r="AN12286">
        <v>12282</v>
      </c>
      <c r="AO12286" s="11">
        <v>26025.87</v>
      </c>
      <c r="AP12286" s="9">
        <v>3.4969765731982432</v>
      </c>
    </row>
    <row r="12287" spans="40:42" x14ac:dyDescent="0.3">
      <c r="AN12287">
        <v>12283</v>
      </c>
      <c r="AO12287" s="11">
        <v>30652.21</v>
      </c>
      <c r="AP12287" s="9">
        <v>4.3173386712116741</v>
      </c>
    </row>
    <row r="12288" spans="40:42" x14ac:dyDescent="0.3">
      <c r="AN12288">
        <v>12284</v>
      </c>
      <c r="AO12288" s="11">
        <v>31309.48</v>
      </c>
      <c r="AP12288" s="9">
        <v>3.6513512784804876</v>
      </c>
    </row>
    <row r="12289" spans="40:42" x14ac:dyDescent="0.3">
      <c r="AN12289">
        <v>12285</v>
      </c>
      <c r="AO12289" s="11">
        <v>25309.01</v>
      </c>
      <c r="AP12289" s="9">
        <v>3.6480066435486362</v>
      </c>
    </row>
    <row r="12290" spans="40:42" x14ac:dyDescent="0.3">
      <c r="AN12290">
        <v>12286</v>
      </c>
      <c r="AO12290" s="11">
        <v>41037.86</v>
      </c>
      <c r="AP12290" s="9">
        <v>3.2269609068082894</v>
      </c>
    </row>
    <row r="12291" spans="40:42" x14ac:dyDescent="0.3">
      <c r="AN12291">
        <v>12287</v>
      </c>
      <c r="AO12291" s="11">
        <v>21799.66</v>
      </c>
      <c r="AP12291" s="9">
        <v>3.1307050302108235</v>
      </c>
    </row>
    <row r="12292" spans="40:42" x14ac:dyDescent="0.3">
      <c r="AN12292">
        <v>12288</v>
      </c>
      <c r="AO12292" s="11">
        <v>19696.439999999999</v>
      </c>
      <c r="AP12292" s="9">
        <v>2.8705258721127191</v>
      </c>
    </row>
    <row r="12293" spans="40:42" x14ac:dyDescent="0.3">
      <c r="AN12293">
        <v>12289</v>
      </c>
      <c r="AO12293" s="11">
        <v>33261.06</v>
      </c>
      <c r="AP12293" s="9">
        <v>3.4704812341718503</v>
      </c>
    </row>
    <row r="12294" spans="40:42" x14ac:dyDescent="0.3">
      <c r="AN12294">
        <v>12290</v>
      </c>
      <c r="AO12294" s="11">
        <v>46804.05</v>
      </c>
      <c r="AP12294" s="9">
        <v>3.9075623895532372</v>
      </c>
    </row>
    <row r="12295" spans="40:42" x14ac:dyDescent="0.3">
      <c r="AN12295">
        <v>12291</v>
      </c>
      <c r="AO12295" s="11">
        <v>19570.53</v>
      </c>
      <c r="AP12295" s="9">
        <v>3.3355233510744844</v>
      </c>
    </row>
    <row r="12296" spans="40:42" x14ac:dyDescent="0.3">
      <c r="AN12296">
        <v>12292</v>
      </c>
      <c r="AO12296" s="11">
        <v>26099.3</v>
      </c>
      <c r="AP12296" s="9">
        <v>2.8740728159346336</v>
      </c>
    </row>
    <row r="12297" spans="40:42" x14ac:dyDescent="0.3">
      <c r="AN12297">
        <v>12293</v>
      </c>
      <c r="AO12297" s="11">
        <v>28964.17</v>
      </c>
      <c r="AP12297" s="9">
        <v>3.3678515379476015</v>
      </c>
    </row>
    <row r="12298" spans="40:42" x14ac:dyDescent="0.3">
      <c r="AN12298">
        <v>12294</v>
      </c>
      <c r="AO12298" s="11">
        <v>45900.44</v>
      </c>
      <c r="AP12298" s="9">
        <v>3.9106337176645121</v>
      </c>
    </row>
    <row r="12299" spans="40:42" x14ac:dyDescent="0.3">
      <c r="AN12299">
        <v>12295</v>
      </c>
      <c r="AO12299" s="11">
        <v>33777.47</v>
      </c>
      <c r="AP12299" s="9">
        <v>4.1396655372475069</v>
      </c>
    </row>
    <row r="12300" spans="40:42" x14ac:dyDescent="0.3">
      <c r="AN12300">
        <v>12296</v>
      </c>
      <c r="AO12300" s="11">
        <v>42976.83</v>
      </c>
      <c r="AP12300" s="9">
        <v>4.2905399995884146</v>
      </c>
    </row>
    <row r="12301" spans="40:42" x14ac:dyDescent="0.3">
      <c r="AN12301">
        <v>12297</v>
      </c>
      <c r="AO12301" s="11">
        <v>20386.91</v>
      </c>
      <c r="AP12301" s="9">
        <v>3.2532206509953925</v>
      </c>
    </row>
    <row r="12302" spans="40:42" x14ac:dyDescent="0.3">
      <c r="AN12302">
        <v>12298</v>
      </c>
      <c r="AO12302" s="11">
        <v>30350.97</v>
      </c>
      <c r="AP12302" s="9">
        <v>3.601740170650666</v>
      </c>
    </row>
    <row r="12303" spans="40:42" x14ac:dyDescent="0.3">
      <c r="AN12303">
        <v>12299</v>
      </c>
      <c r="AO12303" s="11">
        <v>21651.73</v>
      </c>
      <c r="AP12303" s="9">
        <v>3.4444380507747066</v>
      </c>
    </row>
    <row r="12304" spans="40:42" x14ac:dyDescent="0.3">
      <c r="AN12304">
        <v>12300</v>
      </c>
      <c r="AO12304" s="11">
        <v>25946.98</v>
      </c>
      <c r="AP12304" s="9">
        <v>2.9772486076663549</v>
      </c>
    </row>
    <row r="12305" spans="40:42" x14ac:dyDescent="0.3">
      <c r="AN12305">
        <v>12301</v>
      </c>
      <c r="AO12305" s="11">
        <v>24214.22</v>
      </c>
      <c r="AP12305" s="9">
        <v>3.608720036387941</v>
      </c>
    </row>
    <row r="12306" spans="40:42" x14ac:dyDescent="0.3">
      <c r="AN12306">
        <v>12302</v>
      </c>
      <c r="AO12306" s="11">
        <v>26560.05</v>
      </c>
      <c r="AP12306" s="9">
        <v>3.4725750779894913</v>
      </c>
    </row>
    <row r="12307" spans="40:42" x14ac:dyDescent="0.3">
      <c r="AN12307">
        <v>12303</v>
      </c>
      <c r="AO12307" s="11">
        <v>23817.35</v>
      </c>
      <c r="AP12307" s="9">
        <v>2.9899235687855379</v>
      </c>
    </row>
    <row r="12308" spans="40:42" x14ac:dyDescent="0.3">
      <c r="AN12308">
        <v>12304</v>
      </c>
      <c r="AO12308" s="11">
        <v>14794.7</v>
      </c>
      <c r="AP12308" s="9">
        <v>2.9857115417736289</v>
      </c>
    </row>
    <row r="12309" spans="40:42" x14ac:dyDescent="0.3">
      <c r="AN12309">
        <v>12305</v>
      </c>
      <c r="AO12309" s="11">
        <v>32437.41</v>
      </c>
      <c r="AP12309" s="9">
        <v>3.9328804875531107</v>
      </c>
    </row>
    <row r="12310" spans="40:42" x14ac:dyDescent="0.3">
      <c r="AN12310">
        <v>12306</v>
      </c>
      <c r="AO12310" s="11">
        <v>26056.46</v>
      </c>
      <c r="AP12310" s="9">
        <v>3.4094855222093674</v>
      </c>
    </row>
    <row r="12311" spans="40:42" x14ac:dyDescent="0.3">
      <c r="AN12311">
        <v>12307</v>
      </c>
      <c r="AO12311" s="11">
        <v>31210.36</v>
      </c>
      <c r="AP12311" s="9">
        <v>3.5794855910722445</v>
      </c>
    </row>
    <row r="12312" spans="40:42" x14ac:dyDescent="0.3">
      <c r="AN12312">
        <v>12308</v>
      </c>
      <c r="AO12312" s="11">
        <v>31235.25</v>
      </c>
      <c r="AP12312" s="9">
        <v>3.650628454417959</v>
      </c>
    </row>
    <row r="12313" spans="40:42" x14ac:dyDescent="0.3">
      <c r="AN12313">
        <v>12309</v>
      </c>
      <c r="AO12313" s="11">
        <v>20339.830000000002</v>
      </c>
      <c r="AP12313" s="9">
        <v>2.8508777413590618</v>
      </c>
    </row>
    <row r="12314" spans="40:42" x14ac:dyDescent="0.3">
      <c r="AN12314">
        <v>12310</v>
      </c>
      <c r="AO12314" s="11">
        <v>16775.47</v>
      </c>
      <c r="AP12314" s="9">
        <v>2.8816679219203714</v>
      </c>
    </row>
    <row r="12315" spans="40:42" x14ac:dyDescent="0.3">
      <c r="AN12315">
        <v>12311</v>
      </c>
      <c r="AO12315" s="11">
        <v>34323.06</v>
      </c>
      <c r="AP12315" s="9">
        <v>3.7313128678059195</v>
      </c>
    </row>
    <row r="12316" spans="40:42" x14ac:dyDescent="0.3">
      <c r="AN12316">
        <v>12312</v>
      </c>
      <c r="AO12316" s="11">
        <v>21577.59</v>
      </c>
      <c r="AP12316" s="9">
        <v>3.3816983715070239</v>
      </c>
    </row>
    <row r="12317" spans="40:42" x14ac:dyDescent="0.3">
      <c r="AN12317">
        <v>12313</v>
      </c>
      <c r="AO12317" s="11">
        <v>22517.91</v>
      </c>
      <c r="AP12317" s="9">
        <v>3.4668698017047097</v>
      </c>
    </row>
    <row r="12318" spans="40:42" x14ac:dyDescent="0.3">
      <c r="AN12318">
        <v>12314</v>
      </c>
      <c r="AO12318" s="11">
        <v>23694.5</v>
      </c>
      <c r="AP12318" s="9">
        <v>3.6672227744061909</v>
      </c>
    </row>
    <row r="12319" spans="40:42" x14ac:dyDescent="0.3">
      <c r="AN12319">
        <v>12315</v>
      </c>
      <c r="AO12319" s="11">
        <v>21964.84</v>
      </c>
      <c r="AP12319" s="9">
        <v>3.9631743847357859</v>
      </c>
    </row>
    <row r="12320" spans="40:42" x14ac:dyDescent="0.3">
      <c r="AN12320">
        <v>12316</v>
      </c>
      <c r="AO12320" s="11">
        <v>19412.29</v>
      </c>
      <c r="AP12320" s="9">
        <v>3.1407819250198914</v>
      </c>
    </row>
    <row r="12321" spans="40:42" x14ac:dyDescent="0.3">
      <c r="AN12321">
        <v>12317</v>
      </c>
      <c r="AO12321" s="11">
        <v>24745.27</v>
      </c>
      <c r="AP12321" s="9">
        <v>3.0324852216894431</v>
      </c>
    </row>
    <row r="12322" spans="40:42" x14ac:dyDescent="0.3">
      <c r="AN12322">
        <v>12318</v>
      </c>
      <c r="AO12322" s="11">
        <v>30806.34</v>
      </c>
      <c r="AP12322" s="9">
        <v>3.6249618370591268</v>
      </c>
    </row>
    <row r="12323" spans="40:42" x14ac:dyDescent="0.3">
      <c r="AN12323">
        <v>12319</v>
      </c>
      <c r="AO12323" s="11">
        <v>42997.82</v>
      </c>
      <c r="AP12323" s="9">
        <v>3.1790027055284775</v>
      </c>
    </row>
    <row r="12324" spans="40:42" x14ac:dyDescent="0.3">
      <c r="AN12324">
        <v>12320</v>
      </c>
      <c r="AO12324" s="11">
        <v>33227.78</v>
      </c>
      <c r="AP12324" s="9">
        <v>3.3389595747160712</v>
      </c>
    </row>
    <row r="12325" spans="40:42" x14ac:dyDescent="0.3">
      <c r="AN12325">
        <v>12321</v>
      </c>
      <c r="AO12325" s="11">
        <v>33218.120000000003</v>
      </c>
      <c r="AP12325" s="9">
        <v>2.9821207506771685</v>
      </c>
    </row>
    <row r="12326" spans="40:42" x14ac:dyDescent="0.3">
      <c r="AN12326">
        <v>12322</v>
      </c>
      <c r="AO12326" s="11">
        <v>32988.19</v>
      </c>
      <c r="AP12326" s="9">
        <v>3.6838804877422655</v>
      </c>
    </row>
    <row r="12327" spans="40:42" x14ac:dyDescent="0.3">
      <c r="AN12327">
        <v>12323</v>
      </c>
      <c r="AO12327" s="11">
        <v>35655.47</v>
      </c>
      <c r="AP12327" s="9">
        <v>3.6938221356826171</v>
      </c>
    </row>
    <row r="12328" spans="40:42" x14ac:dyDescent="0.3">
      <c r="AN12328">
        <v>12324</v>
      </c>
      <c r="AO12328" s="11">
        <v>30901.8</v>
      </c>
      <c r="AP12328" s="9">
        <v>3.3045886288965343</v>
      </c>
    </row>
    <row r="12329" spans="40:42" x14ac:dyDescent="0.3">
      <c r="AN12329">
        <v>12325</v>
      </c>
      <c r="AO12329" s="11">
        <v>26134.82</v>
      </c>
      <c r="AP12329" s="9">
        <v>2.9179283756656189</v>
      </c>
    </row>
    <row r="12330" spans="40:42" x14ac:dyDescent="0.3">
      <c r="AN12330">
        <v>12326</v>
      </c>
      <c r="AO12330" s="11">
        <v>23520.87</v>
      </c>
      <c r="AP12330" s="9">
        <v>3.4562895834064493</v>
      </c>
    </row>
    <row r="12331" spans="40:42" x14ac:dyDescent="0.3">
      <c r="AN12331">
        <v>12327</v>
      </c>
      <c r="AO12331" s="11">
        <v>27185.93</v>
      </c>
      <c r="AP12331" s="9">
        <v>3.0190621690375186</v>
      </c>
    </row>
    <row r="12332" spans="40:42" x14ac:dyDescent="0.3">
      <c r="AN12332">
        <v>12328</v>
      </c>
      <c r="AO12332" s="11">
        <v>29263.919999999998</v>
      </c>
      <c r="AP12332" s="9">
        <v>3.3848121761380621</v>
      </c>
    </row>
    <row r="12333" spans="40:42" x14ac:dyDescent="0.3">
      <c r="AN12333">
        <v>12329</v>
      </c>
      <c r="AO12333" s="11">
        <v>16550.990000000002</v>
      </c>
      <c r="AP12333" s="9">
        <v>2.7153201290741298</v>
      </c>
    </row>
    <row r="12334" spans="40:42" x14ac:dyDescent="0.3">
      <c r="AN12334">
        <v>12330</v>
      </c>
      <c r="AO12334" s="11">
        <v>23176.03</v>
      </c>
      <c r="AP12334" s="9">
        <v>2.9232764325695371</v>
      </c>
    </row>
    <row r="12335" spans="40:42" x14ac:dyDescent="0.3">
      <c r="AN12335">
        <v>12331</v>
      </c>
      <c r="AO12335" s="11">
        <v>23411.99</v>
      </c>
      <c r="AP12335" s="9">
        <v>3.369155573957928</v>
      </c>
    </row>
    <row r="12336" spans="40:42" x14ac:dyDescent="0.3">
      <c r="AN12336">
        <v>12332</v>
      </c>
      <c r="AO12336" s="11">
        <v>22168.07</v>
      </c>
      <c r="AP12336" s="9">
        <v>2.8843246810836249</v>
      </c>
    </row>
    <row r="12337" spans="40:42" x14ac:dyDescent="0.3">
      <c r="AN12337">
        <v>12333</v>
      </c>
      <c r="AO12337" s="11">
        <v>27943.95</v>
      </c>
      <c r="AP12337" s="9">
        <v>3.3335284821565976</v>
      </c>
    </row>
    <row r="12338" spans="40:42" x14ac:dyDescent="0.3">
      <c r="AN12338">
        <v>12334</v>
      </c>
      <c r="AO12338" s="11">
        <v>34816.129999999997</v>
      </c>
      <c r="AP12338" s="9">
        <v>3.0791108316970668</v>
      </c>
    </row>
    <row r="12339" spans="40:42" x14ac:dyDescent="0.3">
      <c r="AN12339">
        <v>12335</v>
      </c>
      <c r="AO12339" s="11">
        <v>25435.05</v>
      </c>
      <c r="AP12339" s="9">
        <v>2.9459378911547907</v>
      </c>
    </row>
    <row r="12340" spans="40:42" x14ac:dyDescent="0.3">
      <c r="AN12340">
        <v>12336</v>
      </c>
      <c r="AO12340" s="11">
        <v>35495.980000000003</v>
      </c>
      <c r="AP12340" s="9">
        <v>3.0121921417215942</v>
      </c>
    </row>
    <row r="12341" spans="40:42" x14ac:dyDescent="0.3">
      <c r="AN12341">
        <v>12337</v>
      </c>
      <c r="AO12341" s="11">
        <v>27477.78</v>
      </c>
      <c r="AP12341" s="9">
        <v>2.9445907619296716</v>
      </c>
    </row>
    <row r="12342" spans="40:42" x14ac:dyDescent="0.3">
      <c r="AN12342">
        <v>12338</v>
      </c>
      <c r="AO12342" s="11">
        <v>17166.29</v>
      </c>
      <c r="AP12342" s="9">
        <v>3.3567001956059697</v>
      </c>
    </row>
    <row r="12343" spans="40:42" x14ac:dyDescent="0.3">
      <c r="AN12343">
        <v>12339</v>
      </c>
      <c r="AO12343" s="11">
        <v>29918.25</v>
      </c>
      <c r="AP12343" s="9">
        <v>3.4898019802871274</v>
      </c>
    </row>
    <row r="12344" spans="40:42" x14ac:dyDescent="0.3">
      <c r="AN12344">
        <v>12340</v>
      </c>
      <c r="AO12344" s="11">
        <v>22152.27</v>
      </c>
      <c r="AP12344" s="9">
        <v>3.7340343411606334</v>
      </c>
    </row>
    <row r="12345" spans="40:42" x14ac:dyDescent="0.3">
      <c r="AN12345">
        <v>12341</v>
      </c>
      <c r="AO12345" s="11">
        <v>26850.12</v>
      </c>
      <c r="AP12345" s="9">
        <v>3.2894004608404468</v>
      </c>
    </row>
    <row r="12346" spans="40:42" x14ac:dyDescent="0.3">
      <c r="AN12346">
        <v>12342</v>
      </c>
      <c r="AO12346" s="11">
        <v>47056.51</v>
      </c>
      <c r="AP12346" s="9">
        <v>3.6089609456640201</v>
      </c>
    </row>
    <row r="12347" spans="40:42" x14ac:dyDescent="0.3">
      <c r="AN12347">
        <v>12343</v>
      </c>
      <c r="AO12347" s="11">
        <v>30171.74</v>
      </c>
      <c r="AP12347" s="9">
        <v>3.3585732405956001</v>
      </c>
    </row>
    <row r="12348" spans="40:42" x14ac:dyDescent="0.3">
      <c r="AN12348">
        <v>12344</v>
      </c>
      <c r="AO12348" s="11">
        <v>28347.71</v>
      </c>
      <c r="AP12348" s="9">
        <v>3.366027886802601</v>
      </c>
    </row>
    <row r="12349" spans="40:42" x14ac:dyDescent="0.3">
      <c r="AN12349">
        <v>12345</v>
      </c>
      <c r="AO12349" s="11">
        <v>30612.92</v>
      </c>
      <c r="AP12349" s="9">
        <v>2.9597661766121113</v>
      </c>
    </row>
    <row r="12350" spans="40:42" x14ac:dyDescent="0.3">
      <c r="AN12350">
        <v>12346</v>
      </c>
      <c r="AO12350" s="11">
        <v>25250.29</v>
      </c>
      <c r="AP12350" s="9">
        <v>2.9533764903284929</v>
      </c>
    </row>
    <row r="12351" spans="40:42" x14ac:dyDescent="0.3">
      <c r="AN12351">
        <v>12347</v>
      </c>
      <c r="AO12351" s="11">
        <v>35267.730000000003</v>
      </c>
      <c r="AP12351" s="9">
        <v>3.5290116913240781</v>
      </c>
    </row>
    <row r="12352" spans="40:42" x14ac:dyDescent="0.3">
      <c r="AN12352">
        <v>12348</v>
      </c>
      <c r="AO12352" s="11">
        <v>28092.05</v>
      </c>
      <c r="AP12352" s="9">
        <v>3.6618660311807685</v>
      </c>
    </row>
    <row r="12353" spans="40:42" x14ac:dyDescent="0.3">
      <c r="AN12353">
        <v>12349</v>
      </c>
      <c r="AO12353" s="11">
        <v>27741.38</v>
      </c>
      <c r="AP12353" s="9">
        <v>3.7677952416867342</v>
      </c>
    </row>
    <row r="12354" spans="40:42" x14ac:dyDescent="0.3">
      <c r="AN12354">
        <v>12350</v>
      </c>
      <c r="AO12354" s="11">
        <v>41750.949999999997</v>
      </c>
      <c r="AP12354" s="9">
        <v>4.7056747800579259</v>
      </c>
    </row>
    <row r="12355" spans="40:42" x14ac:dyDescent="0.3">
      <c r="AN12355">
        <v>12351</v>
      </c>
      <c r="AO12355" s="11">
        <v>22076.46</v>
      </c>
      <c r="AP12355" s="9">
        <v>3.2541699933987314</v>
      </c>
    </row>
    <row r="12356" spans="40:42" x14ac:dyDescent="0.3">
      <c r="AN12356">
        <v>12352</v>
      </c>
      <c r="AO12356" s="11">
        <v>28645.27</v>
      </c>
      <c r="AP12356" s="9">
        <v>3.3695795815489258</v>
      </c>
    </row>
    <row r="12357" spans="40:42" x14ac:dyDescent="0.3">
      <c r="AN12357">
        <v>12353</v>
      </c>
      <c r="AO12357" s="11">
        <v>26810.69</v>
      </c>
      <c r="AP12357" s="9">
        <v>3.31823906245531</v>
      </c>
    </row>
    <row r="12358" spans="40:42" x14ac:dyDescent="0.3">
      <c r="AN12358">
        <v>12354</v>
      </c>
      <c r="AO12358" s="11">
        <v>21497.25</v>
      </c>
      <c r="AP12358" s="9">
        <v>3.9372441013669404</v>
      </c>
    </row>
    <row r="12359" spans="40:42" x14ac:dyDescent="0.3">
      <c r="AN12359">
        <v>12355</v>
      </c>
      <c r="AO12359" s="11">
        <v>21132.78</v>
      </c>
      <c r="AP12359" s="9">
        <v>3.3514223342465153</v>
      </c>
    </row>
    <row r="12360" spans="40:42" x14ac:dyDescent="0.3">
      <c r="AN12360">
        <v>12356</v>
      </c>
      <c r="AO12360" s="11">
        <v>24701.42</v>
      </c>
      <c r="AP12360" s="9">
        <v>3.2159836147211784</v>
      </c>
    </row>
    <row r="12361" spans="40:42" x14ac:dyDescent="0.3">
      <c r="AN12361">
        <v>12357</v>
      </c>
      <c r="AO12361" s="11">
        <v>21528.46</v>
      </c>
      <c r="AP12361" s="9">
        <v>3.0314762390869205</v>
      </c>
    </row>
    <row r="12362" spans="40:42" x14ac:dyDescent="0.3">
      <c r="AN12362">
        <v>12358</v>
      </c>
      <c r="AO12362" s="11">
        <v>30500.12</v>
      </c>
      <c r="AP12362" s="9">
        <v>3.1650716893461253</v>
      </c>
    </row>
    <row r="12363" spans="40:42" x14ac:dyDescent="0.3">
      <c r="AN12363">
        <v>12359</v>
      </c>
      <c r="AO12363" s="11">
        <v>39441.42</v>
      </c>
      <c r="AP12363" s="9">
        <v>3.7001427939923537</v>
      </c>
    </row>
    <row r="12364" spans="40:42" x14ac:dyDescent="0.3">
      <c r="AN12364">
        <v>12360</v>
      </c>
      <c r="AO12364" s="11">
        <v>29136.240000000002</v>
      </c>
      <c r="AP12364" s="9">
        <v>3.2163006884179004</v>
      </c>
    </row>
    <row r="12365" spans="40:42" x14ac:dyDescent="0.3">
      <c r="AN12365">
        <v>12361</v>
      </c>
      <c r="AO12365" s="11">
        <v>27440.880000000001</v>
      </c>
      <c r="AP12365" s="9">
        <v>4.0168935413454632</v>
      </c>
    </row>
    <row r="12366" spans="40:42" x14ac:dyDescent="0.3">
      <c r="AN12366">
        <v>12362</v>
      </c>
      <c r="AO12366" s="11">
        <v>23797.27</v>
      </c>
      <c r="AP12366" s="9">
        <v>2.5226491576152874</v>
      </c>
    </row>
    <row r="12367" spans="40:42" x14ac:dyDescent="0.3">
      <c r="AN12367">
        <v>12363</v>
      </c>
      <c r="AO12367" s="11">
        <v>31542.7</v>
      </c>
      <c r="AP12367" s="9">
        <v>3.677584969734216</v>
      </c>
    </row>
    <row r="12368" spans="40:42" x14ac:dyDescent="0.3">
      <c r="AN12368">
        <v>12364</v>
      </c>
      <c r="AO12368" s="11">
        <v>30239.21</v>
      </c>
      <c r="AP12368" s="9">
        <v>3.7795015253641089</v>
      </c>
    </row>
    <row r="12369" spans="40:42" x14ac:dyDescent="0.3">
      <c r="AN12369">
        <v>12365</v>
      </c>
      <c r="AO12369" s="11">
        <v>28032.61</v>
      </c>
      <c r="AP12369" s="9">
        <v>3.3297091926836755</v>
      </c>
    </row>
    <row r="12370" spans="40:42" x14ac:dyDescent="0.3">
      <c r="AN12370">
        <v>12366</v>
      </c>
      <c r="AO12370" s="11">
        <v>20075.98</v>
      </c>
      <c r="AP12370" s="9">
        <v>3.2757238255857413</v>
      </c>
    </row>
    <row r="12371" spans="40:42" x14ac:dyDescent="0.3">
      <c r="AN12371">
        <v>12367</v>
      </c>
      <c r="AO12371" s="11">
        <v>26761.16</v>
      </c>
      <c r="AP12371" s="9">
        <v>3.9384801176574173</v>
      </c>
    </row>
    <row r="12372" spans="40:42" x14ac:dyDescent="0.3">
      <c r="AN12372">
        <v>12368</v>
      </c>
      <c r="AO12372" s="11">
        <v>20874.04</v>
      </c>
      <c r="AP12372" s="9">
        <v>3.1270544456771803</v>
      </c>
    </row>
    <row r="12373" spans="40:42" x14ac:dyDescent="0.3">
      <c r="AN12373">
        <v>12369</v>
      </c>
      <c r="AO12373" s="11">
        <v>45017.41</v>
      </c>
      <c r="AP12373" s="9">
        <v>4.0751533573938836</v>
      </c>
    </row>
    <row r="12374" spans="40:42" x14ac:dyDescent="0.3">
      <c r="AN12374">
        <v>12370</v>
      </c>
      <c r="AO12374" s="11">
        <v>40082.239999999998</v>
      </c>
      <c r="AP12374" s="9">
        <v>3.9564715595049558</v>
      </c>
    </row>
    <row r="12375" spans="40:42" x14ac:dyDescent="0.3">
      <c r="AN12375">
        <v>12371</v>
      </c>
      <c r="AO12375" s="11">
        <v>16617.810000000001</v>
      </c>
      <c r="AP12375" s="9">
        <v>3.2079122497113599</v>
      </c>
    </row>
    <row r="12376" spans="40:42" x14ac:dyDescent="0.3">
      <c r="AN12376">
        <v>12372</v>
      </c>
      <c r="AO12376" s="11">
        <v>19707.79</v>
      </c>
      <c r="AP12376" s="9">
        <v>2.7432591904326133</v>
      </c>
    </row>
    <row r="12377" spans="40:42" x14ac:dyDescent="0.3">
      <c r="AN12377">
        <v>12373</v>
      </c>
      <c r="AO12377" s="11">
        <v>24779.67</v>
      </c>
      <c r="AP12377" s="9">
        <v>2.8106643702141638</v>
      </c>
    </row>
    <row r="12378" spans="40:42" x14ac:dyDescent="0.3">
      <c r="AN12378">
        <v>12374</v>
      </c>
      <c r="AO12378" s="11">
        <v>18952.8</v>
      </c>
      <c r="AP12378" s="9">
        <v>3.0739239312254147</v>
      </c>
    </row>
    <row r="12379" spans="40:42" x14ac:dyDescent="0.3">
      <c r="AN12379">
        <v>12375</v>
      </c>
      <c r="AO12379" s="11">
        <v>38153.480000000003</v>
      </c>
      <c r="AP12379" s="9">
        <v>3.8615942033731145</v>
      </c>
    </row>
    <row r="12380" spans="40:42" x14ac:dyDescent="0.3">
      <c r="AN12380">
        <v>12376</v>
      </c>
      <c r="AO12380" s="11">
        <v>45569.65</v>
      </c>
      <c r="AP12380" s="9">
        <v>3.8131425668829806</v>
      </c>
    </row>
    <row r="12381" spans="40:42" x14ac:dyDescent="0.3">
      <c r="AN12381">
        <v>12377</v>
      </c>
      <c r="AO12381" s="11">
        <v>33549.58</v>
      </c>
      <c r="AP12381" s="9">
        <v>3.5251651065736729</v>
      </c>
    </row>
    <row r="12382" spans="40:42" x14ac:dyDescent="0.3">
      <c r="AN12382">
        <v>12378</v>
      </c>
      <c r="AO12382" s="11">
        <v>16566.740000000002</v>
      </c>
      <c r="AP12382" s="9">
        <v>2.3263643806286569</v>
      </c>
    </row>
    <row r="12383" spans="40:42" x14ac:dyDescent="0.3">
      <c r="AN12383">
        <v>12379</v>
      </c>
      <c r="AO12383" s="11">
        <v>20989.49</v>
      </c>
      <c r="AP12383" s="9">
        <v>2.9954706716683104</v>
      </c>
    </row>
    <row r="12384" spans="40:42" x14ac:dyDescent="0.3">
      <c r="AN12384">
        <v>12380</v>
      </c>
      <c r="AO12384" s="11">
        <v>28842.51</v>
      </c>
      <c r="AP12384" s="9">
        <v>3.6972050636612255</v>
      </c>
    </row>
    <row r="12385" spans="40:42" x14ac:dyDescent="0.3">
      <c r="AN12385">
        <v>12381</v>
      </c>
      <c r="AO12385" s="11">
        <v>40908.230000000003</v>
      </c>
      <c r="AP12385" s="9">
        <v>3.0950359891142596</v>
      </c>
    </row>
    <row r="12386" spans="40:42" x14ac:dyDescent="0.3">
      <c r="AN12386">
        <v>12382</v>
      </c>
      <c r="AO12386" s="11">
        <v>24467.919999999998</v>
      </c>
      <c r="AP12386" s="9">
        <v>3.3343086437230207</v>
      </c>
    </row>
    <row r="12387" spans="40:42" x14ac:dyDescent="0.3">
      <c r="AN12387">
        <v>12383</v>
      </c>
      <c r="AO12387" s="11">
        <v>21202.68</v>
      </c>
      <c r="AP12387" s="9">
        <v>3.3784680881174265</v>
      </c>
    </row>
    <row r="12388" spans="40:42" x14ac:dyDescent="0.3">
      <c r="AN12388">
        <v>12384</v>
      </c>
      <c r="AO12388" s="11">
        <v>34838.959999999999</v>
      </c>
      <c r="AP12388" s="9">
        <v>3.2627883667421305</v>
      </c>
    </row>
    <row r="12389" spans="40:42" x14ac:dyDescent="0.3">
      <c r="AN12389">
        <v>12385</v>
      </c>
      <c r="AO12389" s="11">
        <v>50152.74</v>
      </c>
      <c r="AP12389" s="9">
        <v>3.5573693075014856</v>
      </c>
    </row>
    <row r="12390" spans="40:42" x14ac:dyDescent="0.3">
      <c r="AN12390">
        <v>12386</v>
      </c>
      <c r="AO12390" s="11">
        <v>30861.32</v>
      </c>
      <c r="AP12390" s="9">
        <v>3.9188984688664004</v>
      </c>
    </row>
    <row r="12391" spans="40:42" x14ac:dyDescent="0.3">
      <c r="AN12391">
        <v>12387</v>
      </c>
      <c r="AO12391" s="11">
        <v>26889.39</v>
      </c>
      <c r="AP12391" s="9">
        <v>3.3232300799989805</v>
      </c>
    </row>
    <row r="12392" spans="40:42" x14ac:dyDescent="0.3">
      <c r="AN12392">
        <v>12388</v>
      </c>
      <c r="AO12392" s="11">
        <v>27415.69</v>
      </c>
      <c r="AP12392" s="9">
        <v>2.6652065298967766</v>
      </c>
    </row>
    <row r="12393" spans="40:42" x14ac:dyDescent="0.3">
      <c r="AN12393">
        <v>12389</v>
      </c>
      <c r="AO12393" s="11">
        <v>21715.88</v>
      </c>
      <c r="AP12393" s="9">
        <v>3.4114505912610915</v>
      </c>
    </row>
    <row r="12394" spans="40:42" x14ac:dyDescent="0.3">
      <c r="AN12394">
        <v>12390</v>
      </c>
      <c r="AO12394" s="11">
        <v>33202.01</v>
      </c>
      <c r="AP12394" s="9">
        <v>3.4117194248787217</v>
      </c>
    </row>
    <row r="12395" spans="40:42" x14ac:dyDescent="0.3">
      <c r="AN12395">
        <v>12391</v>
      </c>
      <c r="AO12395" s="11">
        <v>27598.04</v>
      </c>
      <c r="AP12395" s="9">
        <v>3.2176333822449723</v>
      </c>
    </row>
    <row r="12396" spans="40:42" x14ac:dyDescent="0.3">
      <c r="AN12396">
        <v>12392</v>
      </c>
      <c r="AO12396" s="11">
        <v>21420.89</v>
      </c>
      <c r="AP12396" s="9">
        <v>3.3819556945432518</v>
      </c>
    </row>
    <row r="12397" spans="40:42" x14ac:dyDescent="0.3">
      <c r="AN12397">
        <v>12393</v>
      </c>
      <c r="AO12397" s="11">
        <v>30082.45</v>
      </c>
      <c r="AP12397" s="9">
        <v>3.6589413025959181</v>
      </c>
    </row>
    <row r="12398" spans="40:42" x14ac:dyDescent="0.3">
      <c r="AN12398">
        <v>12394</v>
      </c>
      <c r="AO12398" s="11">
        <v>34213.47</v>
      </c>
      <c r="AP12398" s="9">
        <v>3.6364592216437348</v>
      </c>
    </row>
    <row r="12399" spans="40:42" x14ac:dyDescent="0.3">
      <c r="AN12399">
        <v>12395</v>
      </c>
      <c r="AO12399" s="11">
        <v>30520.27</v>
      </c>
      <c r="AP12399" s="9">
        <v>3.6756005248536603</v>
      </c>
    </row>
    <row r="12400" spans="40:42" x14ac:dyDescent="0.3">
      <c r="AN12400">
        <v>12396</v>
      </c>
      <c r="AO12400" s="11">
        <v>30725.63</v>
      </c>
      <c r="AP12400" s="9">
        <v>3.7700098128098132</v>
      </c>
    </row>
    <row r="12401" spans="40:42" x14ac:dyDescent="0.3">
      <c r="AN12401">
        <v>12397</v>
      </c>
      <c r="AO12401" s="11">
        <v>18998.72</v>
      </c>
      <c r="AP12401" s="9">
        <v>2.7047668496386716</v>
      </c>
    </row>
    <row r="12402" spans="40:42" x14ac:dyDescent="0.3">
      <c r="AN12402">
        <v>12398</v>
      </c>
      <c r="AO12402" s="11">
        <v>30152.92</v>
      </c>
      <c r="AP12402" s="9">
        <v>3.2342647736648025</v>
      </c>
    </row>
    <row r="12403" spans="40:42" x14ac:dyDescent="0.3">
      <c r="AN12403">
        <v>12399</v>
      </c>
      <c r="AO12403" s="11">
        <v>22766.49</v>
      </c>
      <c r="AP12403" s="9">
        <v>3.0221304805046372</v>
      </c>
    </row>
    <row r="12404" spans="40:42" x14ac:dyDescent="0.3">
      <c r="AN12404">
        <v>12400</v>
      </c>
      <c r="AO12404" s="11">
        <v>24308.97</v>
      </c>
      <c r="AP12404" s="9">
        <v>3.9638015244495954</v>
      </c>
    </row>
    <row r="12405" spans="40:42" x14ac:dyDescent="0.3">
      <c r="AN12405">
        <v>12401</v>
      </c>
      <c r="AO12405" s="11">
        <v>22548.74</v>
      </c>
      <c r="AP12405" s="9">
        <v>3.1886739758195333</v>
      </c>
    </row>
    <row r="12406" spans="40:42" x14ac:dyDescent="0.3">
      <c r="AN12406">
        <v>12402</v>
      </c>
      <c r="AO12406" s="11">
        <v>35075.29</v>
      </c>
      <c r="AP12406" s="9">
        <v>3.449752582788423</v>
      </c>
    </row>
    <row r="12407" spans="40:42" x14ac:dyDescent="0.3">
      <c r="AN12407">
        <v>12403</v>
      </c>
      <c r="AO12407" s="11">
        <v>19117.41</v>
      </c>
      <c r="AP12407" s="9">
        <v>4.1220992971724693</v>
      </c>
    </row>
    <row r="12408" spans="40:42" x14ac:dyDescent="0.3">
      <c r="AN12408">
        <v>12404</v>
      </c>
      <c r="AO12408" s="11">
        <v>18435.62</v>
      </c>
      <c r="AP12408" s="9">
        <v>3.4316702816589788</v>
      </c>
    </row>
    <row r="12409" spans="40:42" x14ac:dyDescent="0.3">
      <c r="AN12409">
        <v>12405</v>
      </c>
      <c r="AO12409" s="11">
        <v>27284.04</v>
      </c>
      <c r="AP12409" s="9">
        <v>3.3119008964705601</v>
      </c>
    </row>
    <row r="12410" spans="40:42" x14ac:dyDescent="0.3">
      <c r="AN12410">
        <v>12406</v>
      </c>
      <c r="AO12410" s="11">
        <v>39303.760000000002</v>
      </c>
      <c r="AP12410" s="9">
        <v>4.1991800929411314</v>
      </c>
    </row>
    <row r="12411" spans="40:42" x14ac:dyDescent="0.3">
      <c r="AN12411">
        <v>12407</v>
      </c>
      <c r="AO12411" s="11">
        <v>31659.599999999999</v>
      </c>
      <c r="AP12411" s="9">
        <v>2.9362193465839024</v>
      </c>
    </row>
    <row r="12412" spans="40:42" x14ac:dyDescent="0.3">
      <c r="AN12412">
        <v>12408</v>
      </c>
      <c r="AO12412" s="11">
        <v>32004.32</v>
      </c>
      <c r="AP12412" s="9">
        <v>3.2638938816612786</v>
      </c>
    </row>
    <row r="12413" spans="40:42" x14ac:dyDescent="0.3">
      <c r="AN12413">
        <v>12409</v>
      </c>
      <c r="AO12413" s="11">
        <v>23696.21</v>
      </c>
      <c r="AP12413" s="9">
        <v>3.2070255011852407</v>
      </c>
    </row>
    <row r="12414" spans="40:42" x14ac:dyDescent="0.3">
      <c r="AN12414">
        <v>12410</v>
      </c>
      <c r="AO12414" s="11">
        <v>28789.52</v>
      </c>
      <c r="AP12414" s="9">
        <v>4.0350657250553112</v>
      </c>
    </row>
    <row r="12415" spans="40:42" x14ac:dyDescent="0.3">
      <c r="AN12415">
        <v>12411</v>
      </c>
      <c r="AO12415" s="11">
        <v>10768.65</v>
      </c>
      <c r="AP12415" s="9">
        <v>2.8380408222296647</v>
      </c>
    </row>
    <row r="12416" spans="40:42" x14ac:dyDescent="0.3">
      <c r="AN12416">
        <v>12412</v>
      </c>
      <c r="AO12416" s="11">
        <v>23334.74</v>
      </c>
      <c r="AP12416" s="9">
        <v>3.5876722499869347</v>
      </c>
    </row>
    <row r="12417" spans="40:42" x14ac:dyDescent="0.3">
      <c r="AN12417">
        <v>12413</v>
      </c>
      <c r="AO12417" s="11">
        <v>17762.71</v>
      </c>
      <c r="AP12417" s="9">
        <v>2.7888362348564737</v>
      </c>
    </row>
    <row r="12418" spans="40:42" x14ac:dyDescent="0.3">
      <c r="AN12418">
        <v>12414</v>
      </c>
      <c r="AO12418" s="11">
        <v>22469.49</v>
      </c>
      <c r="AP12418" s="9">
        <v>3.0245001824077584</v>
      </c>
    </row>
    <row r="12419" spans="40:42" x14ac:dyDescent="0.3">
      <c r="AN12419">
        <v>12415</v>
      </c>
      <c r="AO12419" s="11">
        <v>30980.42</v>
      </c>
      <c r="AP12419" s="9">
        <v>3.701867189561606</v>
      </c>
    </row>
    <row r="12420" spans="40:42" x14ac:dyDescent="0.3">
      <c r="AN12420">
        <v>12416</v>
      </c>
      <c r="AO12420" s="11">
        <v>18710.29</v>
      </c>
      <c r="AP12420" s="9">
        <v>3.4898270827330693</v>
      </c>
    </row>
    <row r="12421" spans="40:42" x14ac:dyDescent="0.3">
      <c r="AN12421">
        <v>12417</v>
      </c>
      <c r="AO12421" s="11">
        <v>27991.47</v>
      </c>
      <c r="AP12421" s="9">
        <v>3.1791380536814149</v>
      </c>
    </row>
    <row r="12422" spans="40:42" x14ac:dyDescent="0.3">
      <c r="AN12422">
        <v>12418</v>
      </c>
      <c r="AO12422" s="11">
        <v>20647.990000000002</v>
      </c>
      <c r="AP12422" s="9">
        <v>3.4629447702998175</v>
      </c>
    </row>
    <row r="12423" spans="40:42" x14ac:dyDescent="0.3">
      <c r="AN12423">
        <v>12419</v>
      </c>
      <c r="AO12423" s="11">
        <v>13485.19</v>
      </c>
      <c r="AP12423" s="9">
        <v>3.181660468513599</v>
      </c>
    </row>
    <row r="12424" spans="40:42" x14ac:dyDescent="0.3">
      <c r="AN12424">
        <v>12420</v>
      </c>
      <c r="AO12424" s="11">
        <v>26395.39</v>
      </c>
      <c r="AP12424" s="9">
        <v>3.5581307182247341</v>
      </c>
    </row>
    <row r="12425" spans="40:42" x14ac:dyDescent="0.3">
      <c r="AN12425">
        <v>12421</v>
      </c>
      <c r="AO12425" s="11">
        <v>28422.51</v>
      </c>
      <c r="AP12425" s="9">
        <v>3.1114870096177314</v>
      </c>
    </row>
    <row r="12426" spans="40:42" x14ac:dyDescent="0.3">
      <c r="AN12426">
        <v>12422</v>
      </c>
      <c r="AO12426" s="11">
        <v>26696.62</v>
      </c>
      <c r="AP12426" s="9">
        <v>3.9981533379838643</v>
      </c>
    </row>
    <row r="12427" spans="40:42" x14ac:dyDescent="0.3">
      <c r="AN12427">
        <v>12423</v>
      </c>
      <c r="AO12427" s="11">
        <v>37619.279999999999</v>
      </c>
      <c r="AP12427" s="9">
        <v>4.241013749888773</v>
      </c>
    </row>
    <row r="12428" spans="40:42" x14ac:dyDescent="0.3">
      <c r="AN12428">
        <v>12424</v>
      </c>
      <c r="AO12428" s="11">
        <v>21079.7</v>
      </c>
      <c r="AP12428" s="9">
        <v>2.8442074597819116</v>
      </c>
    </row>
    <row r="12429" spans="40:42" x14ac:dyDescent="0.3">
      <c r="AN12429">
        <v>12425</v>
      </c>
      <c r="AO12429" s="11">
        <v>24433.06</v>
      </c>
      <c r="AP12429" s="9">
        <v>3.2462496656596413</v>
      </c>
    </row>
    <row r="12430" spans="40:42" x14ac:dyDescent="0.3">
      <c r="AN12430">
        <v>12426</v>
      </c>
      <c r="AO12430" s="11">
        <v>22439.31</v>
      </c>
      <c r="AP12430" s="9">
        <v>2.9259380869056848</v>
      </c>
    </row>
    <row r="12431" spans="40:42" x14ac:dyDescent="0.3">
      <c r="AN12431">
        <v>12427</v>
      </c>
      <c r="AO12431" s="11">
        <v>30138.18</v>
      </c>
      <c r="AP12431" s="9">
        <v>2.9916326850675197</v>
      </c>
    </row>
    <row r="12432" spans="40:42" x14ac:dyDescent="0.3">
      <c r="AN12432">
        <v>12428</v>
      </c>
      <c r="AO12432" s="11">
        <v>32573.85</v>
      </c>
      <c r="AP12432" s="9">
        <v>3.7251423512207462</v>
      </c>
    </row>
    <row r="12433" spans="40:42" x14ac:dyDescent="0.3">
      <c r="AN12433">
        <v>12429</v>
      </c>
      <c r="AO12433" s="11">
        <v>34365</v>
      </c>
      <c r="AP12433" s="9">
        <v>3.8277820315710285</v>
      </c>
    </row>
    <row r="12434" spans="40:42" x14ac:dyDescent="0.3">
      <c r="AN12434">
        <v>12430</v>
      </c>
      <c r="AO12434" s="11">
        <v>16957.18</v>
      </c>
      <c r="AP12434" s="9">
        <v>3.2676198233558886</v>
      </c>
    </row>
    <row r="12435" spans="40:42" x14ac:dyDescent="0.3">
      <c r="AN12435">
        <v>12431</v>
      </c>
      <c r="AO12435" s="11">
        <v>27875.34</v>
      </c>
      <c r="AP12435" s="9">
        <v>2.9418357953068606</v>
      </c>
    </row>
    <row r="12436" spans="40:42" x14ac:dyDescent="0.3">
      <c r="AN12436">
        <v>12432</v>
      </c>
      <c r="AO12436" s="11">
        <v>30312.83</v>
      </c>
      <c r="AP12436" s="9">
        <v>3.7050663166778572</v>
      </c>
    </row>
    <row r="12437" spans="40:42" x14ac:dyDescent="0.3">
      <c r="AN12437">
        <v>12433</v>
      </c>
      <c r="AO12437" s="11">
        <v>28487.33</v>
      </c>
      <c r="AP12437" s="9">
        <v>3.278488793223107</v>
      </c>
    </row>
    <row r="12438" spans="40:42" x14ac:dyDescent="0.3">
      <c r="AN12438">
        <v>12434</v>
      </c>
      <c r="AO12438" s="11">
        <v>49417.23</v>
      </c>
      <c r="AP12438" s="9">
        <v>4.0198818174825615</v>
      </c>
    </row>
    <row r="12439" spans="40:42" x14ac:dyDescent="0.3">
      <c r="AN12439">
        <v>12435</v>
      </c>
      <c r="AO12439" s="11">
        <v>25541.67</v>
      </c>
      <c r="AP12439" s="9">
        <v>3.4608502926621809</v>
      </c>
    </row>
    <row r="12440" spans="40:42" x14ac:dyDescent="0.3">
      <c r="AN12440">
        <v>12436</v>
      </c>
      <c r="AO12440" s="11">
        <v>24184.400000000001</v>
      </c>
      <c r="AP12440" s="9">
        <v>4.1828522632627338</v>
      </c>
    </row>
    <row r="12441" spans="40:42" x14ac:dyDescent="0.3">
      <c r="AN12441">
        <v>12437</v>
      </c>
      <c r="AO12441" s="11">
        <v>50540.62</v>
      </c>
      <c r="AP12441" s="9">
        <v>4.2363265142249924</v>
      </c>
    </row>
    <row r="12442" spans="40:42" x14ac:dyDescent="0.3">
      <c r="AN12442">
        <v>12438</v>
      </c>
      <c r="AO12442" s="11">
        <v>31517.96</v>
      </c>
      <c r="AP12442" s="9">
        <v>3.5397940377094068</v>
      </c>
    </row>
    <row r="12443" spans="40:42" x14ac:dyDescent="0.3">
      <c r="AN12443">
        <v>12439</v>
      </c>
      <c r="AO12443" s="11">
        <v>26794.36</v>
      </c>
      <c r="AP12443" s="9">
        <v>3.2071526530645418</v>
      </c>
    </row>
    <row r="12444" spans="40:42" x14ac:dyDescent="0.3">
      <c r="AN12444">
        <v>12440</v>
      </c>
      <c r="AO12444" s="11">
        <v>26087.75</v>
      </c>
      <c r="AP12444" s="9">
        <v>3.0724890200659511</v>
      </c>
    </row>
    <row r="12445" spans="40:42" x14ac:dyDescent="0.3">
      <c r="AN12445">
        <v>12441</v>
      </c>
      <c r="AO12445" s="11">
        <v>20169.849999999999</v>
      </c>
      <c r="AP12445" s="9">
        <v>3.6186689764713673</v>
      </c>
    </row>
    <row r="12446" spans="40:42" x14ac:dyDescent="0.3">
      <c r="AN12446">
        <v>12442</v>
      </c>
      <c r="AO12446" s="11">
        <v>23922.560000000001</v>
      </c>
      <c r="AP12446" s="9">
        <v>3.004417755716728</v>
      </c>
    </row>
    <row r="12447" spans="40:42" x14ac:dyDescent="0.3">
      <c r="AN12447">
        <v>12443</v>
      </c>
      <c r="AO12447" s="11">
        <v>21858.81</v>
      </c>
      <c r="AP12447" s="9">
        <v>3.5040713643880479</v>
      </c>
    </row>
    <row r="12448" spans="40:42" x14ac:dyDescent="0.3">
      <c r="AN12448">
        <v>12444</v>
      </c>
      <c r="AO12448" s="11">
        <v>30343.08</v>
      </c>
      <c r="AP12448" s="9">
        <v>3.4698135577388598</v>
      </c>
    </row>
    <row r="12449" spans="40:42" x14ac:dyDescent="0.3">
      <c r="AN12449">
        <v>12445</v>
      </c>
      <c r="AO12449" s="11">
        <v>27872.13</v>
      </c>
      <c r="AP12449" s="9">
        <v>3.3250151422706509</v>
      </c>
    </row>
    <row r="12450" spans="40:42" x14ac:dyDescent="0.3">
      <c r="AN12450">
        <v>12446</v>
      </c>
      <c r="AO12450" s="11">
        <v>26702.59</v>
      </c>
      <c r="AP12450" s="9">
        <v>3.1930713541533109</v>
      </c>
    </row>
    <row r="12451" spans="40:42" x14ac:dyDescent="0.3">
      <c r="AN12451">
        <v>12447</v>
      </c>
      <c r="AO12451" s="11">
        <v>28788.77</v>
      </c>
      <c r="AP12451" s="9">
        <v>3.5691805716455303</v>
      </c>
    </row>
    <row r="12452" spans="40:42" x14ac:dyDescent="0.3">
      <c r="AN12452">
        <v>12448</v>
      </c>
      <c r="AO12452" s="11">
        <v>26287.599999999999</v>
      </c>
      <c r="AP12452" s="9">
        <v>3.9161622487836691</v>
      </c>
    </row>
    <row r="12453" spans="40:42" x14ac:dyDescent="0.3">
      <c r="AN12453">
        <v>12449</v>
      </c>
      <c r="AO12453" s="11">
        <v>18889.310000000001</v>
      </c>
      <c r="AP12453" s="9">
        <v>2.843401902858008</v>
      </c>
    </row>
    <row r="12454" spans="40:42" x14ac:dyDescent="0.3">
      <c r="AN12454">
        <v>12450</v>
      </c>
      <c r="AO12454" s="11">
        <v>25893.19</v>
      </c>
      <c r="AP12454" s="9">
        <v>3.8896360595497836</v>
      </c>
    </row>
    <row r="12455" spans="40:42" x14ac:dyDescent="0.3">
      <c r="AN12455">
        <v>12451</v>
      </c>
      <c r="AO12455" s="11">
        <v>24695.9</v>
      </c>
      <c r="AP12455" s="9">
        <v>2.8408039702386563</v>
      </c>
    </row>
    <row r="12456" spans="40:42" x14ac:dyDescent="0.3">
      <c r="AN12456">
        <v>12452</v>
      </c>
      <c r="AO12456" s="11">
        <v>15553.39</v>
      </c>
      <c r="AP12456" s="9">
        <v>3.5109609365980097</v>
      </c>
    </row>
    <row r="12457" spans="40:42" x14ac:dyDescent="0.3">
      <c r="AN12457">
        <v>12453</v>
      </c>
      <c r="AO12457" s="11">
        <v>27599.87</v>
      </c>
      <c r="AP12457" s="9">
        <v>3.5887802863296852</v>
      </c>
    </row>
    <row r="12458" spans="40:42" x14ac:dyDescent="0.3">
      <c r="AN12458">
        <v>12454</v>
      </c>
      <c r="AO12458" s="11">
        <v>22588.31</v>
      </c>
      <c r="AP12458" s="9">
        <v>3.6103135421343038</v>
      </c>
    </row>
    <row r="12459" spans="40:42" x14ac:dyDescent="0.3">
      <c r="AN12459">
        <v>12455</v>
      </c>
      <c r="AO12459" s="11">
        <v>18386.96</v>
      </c>
      <c r="AP12459" s="9">
        <v>3.3778810100766838</v>
      </c>
    </row>
    <row r="12460" spans="40:42" x14ac:dyDescent="0.3">
      <c r="AN12460">
        <v>12456</v>
      </c>
      <c r="AO12460" s="11">
        <v>17124.150000000001</v>
      </c>
      <c r="AP12460" s="9">
        <v>3.097836733966544</v>
      </c>
    </row>
    <row r="12461" spans="40:42" x14ac:dyDescent="0.3">
      <c r="AN12461">
        <v>12457</v>
      </c>
      <c r="AO12461" s="11">
        <v>22788.51</v>
      </c>
      <c r="AP12461" s="9">
        <v>3.9118530200252999</v>
      </c>
    </row>
    <row r="12462" spans="40:42" x14ac:dyDescent="0.3">
      <c r="AN12462">
        <v>12458</v>
      </c>
      <c r="AO12462" s="11">
        <v>31419.85</v>
      </c>
      <c r="AP12462" s="9">
        <v>3.4660667850049571</v>
      </c>
    </row>
    <row r="12463" spans="40:42" x14ac:dyDescent="0.3">
      <c r="AN12463">
        <v>12459</v>
      </c>
      <c r="AO12463" s="11">
        <v>22141.62</v>
      </c>
      <c r="AP12463" s="9">
        <v>3.2257886881968507</v>
      </c>
    </row>
    <row r="12464" spans="40:42" x14ac:dyDescent="0.3">
      <c r="AN12464">
        <v>12460</v>
      </c>
      <c r="AO12464" s="11">
        <v>24171.49</v>
      </c>
      <c r="AP12464" s="9">
        <v>3.936425922768529</v>
      </c>
    </row>
    <row r="12465" spans="40:42" x14ac:dyDescent="0.3">
      <c r="AN12465">
        <v>12461</v>
      </c>
      <c r="AO12465" s="11">
        <v>24575.77</v>
      </c>
      <c r="AP12465" s="9">
        <v>3.7409189374294045</v>
      </c>
    </row>
    <row r="12466" spans="40:42" x14ac:dyDescent="0.3">
      <c r="AN12466">
        <v>12462</v>
      </c>
      <c r="AO12466" s="11">
        <v>21493.34</v>
      </c>
      <c r="AP12466" s="9">
        <v>3.1290132118807845</v>
      </c>
    </row>
    <row r="12467" spans="40:42" x14ac:dyDescent="0.3">
      <c r="AN12467">
        <v>12463</v>
      </c>
      <c r="AO12467" s="11">
        <v>35952.639999999999</v>
      </c>
      <c r="AP12467" s="9">
        <v>3.5331081259380031</v>
      </c>
    </row>
    <row r="12468" spans="40:42" x14ac:dyDescent="0.3">
      <c r="AN12468">
        <v>12464</v>
      </c>
      <c r="AO12468" s="11">
        <v>23900.97</v>
      </c>
      <c r="AP12468" s="9">
        <v>3.4472998276124445</v>
      </c>
    </row>
    <row r="12469" spans="40:42" x14ac:dyDescent="0.3">
      <c r="AN12469">
        <v>12465</v>
      </c>
      <c r="AO12469" s="11">
        <v>38391.919999999998</v>
      </c>
      <c r="AP12469" s="9">
        <v>3.2777173407476612</v>
      </c>
    </row>
    <row r="12470" spans="40:42" x14ac:dyDescent="0.3">
      <c r="AN12470">
        <v>12466</v>
      </c>
      <c r="AO12470" s="11">
        <v>29890.13</v>
      </c>
      <c r="AP12470" s="9">
        <v>3.2896829441432782</v>
      </c>
    </row>
    <row r="12471" spans="40:42" x14ac:dyDescent="0.3">
      <c r="AN12471">
        <v>12467</v>
      </c>
      <c r="AO12471" s="11">
        <v>27445.64</v>
      </c>
      <c r="AP12471" s="9">
        <v>3.2144401451079867</v>
      </c>
    </row>
    <row r="12472" spans="40:42" x14ac:dyDescent="0.3">
      <c r="AN12472">
        <v>12468</v>
      </c>
      <c r="AO12472" s="11">
        <v>28663.45</v>
      </c>
      <c r="AP12472" s="9">
        <v>3.4582803311392292</v>
      </c>
    </row>
    <row r="12473" spans="40:42" x14ac:dyDescent="0.3">
      <c r="AN12473">
        <v>12469</v>
      </c>
      <c r="AO12473" s="11">
        <v>24547.279999999999</v>
      </c>
      <c r="AP12473" s="9">
        <v>3.7949477253731896</v>
      </c>
    </row>
    <row r="12474" spans="40:42" x14ac:dyDescent="0.3">
      <c r="AN12474">
        <v>12470</v>
      </c>
      <c r="AO12474" s="11">
        <v>30276.7</v>
      </c>
      <c r="AP12474" s="9">
        <v>4.3255399855616945</v>
      </c>
    </row>
    <row r="12475" spans="40:42" x14ac:dyDescent="0.3">
      <c r="AN12475">
        <v>12471</v>
      </c>
      <c r="AO12475" s="11">
        <v>16881.13</v>
      </c>
      <c r="AP12475" s="9">
        <v>3.097859042124568</v>
      </c>
    </row>
    <row r="12476" spans="40:42" x14ac:dyDescent="0.3">
      <c r="AN12476">
        <v>12472</v>
      </c>
      <c r="AO12476" s="11">
        <v>28155.53</v>
      </c>
      <c r="AP12476" s="9">
        <v>3.1557345618016637</v>
      </c>
    </row>
    <row r="12477" spans="40:42" x14ac:dyDescent="0.3">
      <c r="AN12477">
        <v>12473</v>
      </c>
      <c r="AO12477" s="11">
        <v>36049.07</v>
      </c>
      <c r="AP12477" s="9">
        <v>3.0512594309392167</v>
      </c>
    </row>
    <row r="12478" spans="40:42" x14ac:dyDescent="0.3">
      <c r="AN12478">
        <v>12474</v>
      </c>
      <c r="AO12478" s="11">
        <v>26293.11</v>
      </c>
      <c r="AP12478" s="9">
        <v>4.1475636220889474</v>
      </c>
    </row>
    <row r="12479" spans="40:42" x14ac:dyDescent="0.3">
      <c r="AN12479">
        <v>12475</v>
      </c>
      <c r="AO12479" s="11">
        <v>25745.040000000001</v>
      </c>
      <c r="AP12479" s="9">
        <v>3.1438959455337026</v>
      </c>
    </row>
    <row r="12480" spans="40:42" x14ac:dyDescent="0.3">
      <c r="AN12480">
        <v>12476</v>
      </c>
      <c r="AO12480" s="11">
        <v>27178.9</v>
      </c>
      <c r="AP12480" s="9">
        <v>2.9230626113991667</v>
      </c>
    </row>
    <row r="12481" spans="40:42" x14ac:dyDescent="0.3">
      <c r="AN12481">
        <v>12477</v>
      </c>
      <c r="AO12481" s="11">
        <v>28249.51</v>
      </c>
      <c r="AP12481" s="9">
        <v>2.6408922395560679</v>
      </c>
    </row>
    <row r="12482" spans="40:42" x14ac:dyDescent="0.3">
      <c r="AN12482">
        <v>12478</v>
      </c>
      <c r="AO12482" s="11">
        <v>36691.97</v>
      </c>
      <c r="AP12482" s="9">
        <v>3.3754577705680147</v>
      </c>
    </row>
    <row r="12483" spans="40:42" x14ac:dyDescent="0.3">
      <c r="AN12483">
        <v>12479</v>
      </c>
      <c r="AO12483" s="11">
        <v>20528.150000000001</v>
      </c>
      <c r="AP12483" s="9">
        <v>3.261240354632148</v>
      </c>
    </row>
    <row r="12484" spans="40:42" x14ac:dyDescent="0.3">
      <c r="AN12484">
        <v>12480</v>
      </c>
      <c r="AO12484" s="11">
        <v>19451.09</v>
      </c>
      <c r="AP12484" s="9">
        <v>3.0317296535407605</v>
      </c>
    </row>
    <row r="12485" spans="40:42" x14ac:dyDescent="0.3">
      <c r="AN12485">
        <v>12481</v>
      </c>
      <c r="AO12485" s="11">
        <v>30942.6</v>
      </c>
      <c r="AP12485" s="9">
        <v>3.2079205329993452</v>
      </c>
    </row>
    <row r="12486" spans="40:42" x14ac:dyDescent="0.3">
      <c r="AN12486">
        <v>12482</v>
      </c>
      <c r="AO12486" s="11">
        <v>24004.13</v>
      </c>
      <c r="AP12486" s="9">
        <v>3.3652228784923435</v>
      </c>
    </row>
    <row r="12487" spans="40:42" x14ac:dyDescent="0.3">
      <c r="AN12487">
        <v>12483</v>
      </c>
      <c r="AO12487" s="11">
        <v>22439.29</v>
      </c>
      <c r="AP12487" s="9">
        <v>3.6952941817027107</v>
      </c>
    </row>
    <row r="12488" spans="40:42" x14ac:dyDescent="0.3">
      <c r="AN12488">
        <v>12484</v>
      </c>
      <c r="AO12488" s="11">
        <v>22017.040000000001</v>
      </c>
      <c r="AP12488" s="9">
        <v>3.0562950398787128</v>
      </c>
    </row>
    <row r="12489" spans="40:42" x14ac:dyDescent="0.3">
      <c r="AN12489">
        <v>12485</v>
      </c>
      <c r="AO12489" s="11">
        <v>15363.78</v>
      </c>
      <c r="AP12489" s="9">
        <v>3.1113129172098848</v>
      </c>
    </row>
    <row r="12490" spans="40:42" x14ac:dyDescent="0.3">
      <c r="AN12490">
        <v>12486</v>
      </c>
      <c r="AO12490" s="11">
        <v>22776.13</v>
      </c>
      <c r="AP12490" s="9">
        <v>3.2881846879786738</v>
      </c>
    </row>
    <row r="12491" spans="40:42" x14ac:dyDescent="0.3">
      <c r="AN12491">
        <v>12487</v>
      </c>
      <c r="AO12491" s="11">
        <v>25542.65</v>
      </c>
      <c r="AP12491" s="9">
        <v>3.0906837916794938</v>
      </c>
    </row>
    <row r="12492" spans="40:42" x14ac:dyDescent="0.3">
      <c r="AN12492">
        <v>12488</v>
      </c>
      <c r="AO12492" s="11">
        <v>26604.07</v>
      </c>
      <c r="AP12492" s="9">
        <v>3.0671246694651244</v>
      </c>
    </row>
    <row r="12493" spans="40:42" x14ac:dyDescent="0.3">
      <c r="AN12493">
        <v>12489</v>
      </c>
      <c r="AO12493" s="11">
        <v>27947.87</v>
      </c>
      <c r="AP12493" s="9">
        <v>3.5119784683802409</v>
      </c>
    </row>
    <row r="12494" spans="40:42" x14ac:dyDescent="0.3">
      <c r="AN12494">
        <v>12490</v>
      </c>
      <c r="AO12494" s="11">
        <v>32026.14</v>
      </c>
      <c r="AP12494" s="9">
        <v>3.2759115267262788</v>
      </c>
    </row>
    <row r="12495" spans="40:42" x14ac:dyDescent="0.3">
      <c r="AN12495">
        <v>12491</v>
      </c>
      <c r="AO12495" s="11">
        <v>28063.78</v>
      </c>
      <c r="AP12495" s="9">
        <v>3.3689356704429252</v>
      </c>
    </row>
    <row r="12496" spans="40:42" x14ac:dyDescent="0.3">
      <c r="AN12496">
        <v>12492</v>
      </c>
      <c r="AO12496" s="11">
        <v>28229.51</v>
      </c>
      <c r="AP12496" s="9">
        <v>3.7333601793897047</v>
      </c>
    </row>
    <row r="12497" spans="40:42" x14ac:dyDescent="0.3">
      <c r="AN12497">
        <v>12493</v>
      </c>
      <c r="AO12497" s="11">
        <v>25287.78</v>
      </c>
      <c r="AP12497" s="9">
        <v>3.0968431135265955</v>
      </c>
    </row>
    <row r="12498" spans="40:42" x14ac:dyDescent="0.3">
      <c r="AN12498">
        <v>12494</v>
      </c>
      <c r="AO12498" s="11">
        <v>15362.34</v>
      </c>
      <c r="AP12498" s="9">
        <v>3.161605976016475</v>
      </c>
    </row>
    <row r="12499" spans="40:42" x14ac:dyDescent="0.3">
      <c r="AN12499">
        <v>12495</v>
      </c>
      <c r="AO12499" s="11">
        <v>20655.59</v>
      </c>
      <c r="AP12499" s="9">
        <v>2.8219021650915521</v>
      </c>
    </row>
    <row r="12500" spans="40:42" x14ac:dyDescent="0.3">
      <c r="AN12500">
        <v>12496</v>
      </c>
      <c r="AO12500" s="11">
        <v>25008.7</v>
      </c>
      <c r="AP12500" s="9">
        <v>3.3205566764521395</v>
      </c>
    </row>
    <row r="12501" spans="40:42" x14ac:dyDescent="0.3">
      <c r="AN12501">
        <v>12497</v>
      </c>
      <c r="AO12501" s="11">
        <v>38122.35</v>
      </c>
      <c r="AP12501" s="9">
        <v>3.7550474753443153</v>
      </c>
    </row>
    <row r="12502" spans="40:42" x14ac:dyDescent="0.3">
      <c r="AN12502">
        <v>12498</v>
      </c>
      <c r="AO12502" s="11">
        <v>21956.34</v>
      </c>
      <c r="AP12502" s="9">
        <v>3.8242128824784722</v>
      </c>
    </row>
    <row r="12503" spans="40:42" x14ac:dyDescent="0.3">
      <c r="AN12503">
        <v>12499</v>
      </c>
      <c r="AO12503" s="11">
        <v>23270.78</v>
      </c>
      <c r="AP12503" s="9">
        <v>2.984426146007733</v>
      </c>
    </row>
    <row r="12504" spans="40:42" x14ac:dyDescent="0.3">
      <c r="AN12504">
        <v>12500</v>
      </c>
      <c r="AO12504" s="11">
        <v>38140.58</v>
      </c>
      <c r="AP12504" s="9">
        <v>4.1109427691037261</v>
      </c>
    </row>
    <row r="12505" spans="40:42" x14ac:dyDescent="0.3">
      <c r="AN12505">
        <v>12501</v>
      </c>
      <c r="AO12505" s="11">
        <v>18973.32</v>
      </c>
      <c r="AP12505" s="9">
        <v>3.4476831792709692</v>
      </c>
    </row>
    <row r="12506" spans="40:42" x14ac:dyDescent="0.3">
      <c r="AN12506">
        <v>12502</v>
      </c>
      <c r="AO12506" s="11">
        <v>17636.240000000002</v>
      </c>
      <c r="AP12506" s="9">
        <v>3.1739996568263797</v>
      </c>
    </row>
    <row r="12507" spans="40:42" x14ac:dyDescent="0.3">
      <c r="AN12507">
        <v>12503</v>
      </c>
      <c r="AO12507" s="11">
        <v>26978.76</v>
      </c>
      <c r="AP12507" s="9">
        <v>2.9681701842703405</v>
      </c>
    </row>
    <row r="12508" spans="40:42" x14ac:dyDescent="0.3">
      <c r="AN12508">
        <v>12504</v>
      </c>
      <c r="AO12508" s="11">
        <v>18753.41</v>
      </c>
      <c r="AP12508" s="9">
        <v>2.7891658940312061</v>
      </c>
    </row>
    <row r="12509" spans="40:42" x14ac:dyDescent="0.3">
      <c r="AN12509">
        <v>12505</v>
      </c>
      <c r="AO12509" s="11">
        <v>33761.839999999997</v>
      </c>
      <c r="AP12509" s="9">
        <v>3.3961141451328101</v>
      </c>
    </row>
    <row r="12510" spans="40:42" x14ac:dyDescent="0.3">
      <c r="AN12510">
        <v>12506</v>
      </c>
      <c r="AO12510" s="11">
        <v>30080.15</v>
      </c>
      <c r="AP12510" s="9">
        <v>3.247517741015026</v>
      </c>
    </row>
    <row r="12511" spans="40:42" x14ac:dyDescent="0.3">
      <c r="AN12511">
        <v>12507</v>
      </c>
      <c r="AO12511" s="11">
        <v>43548.98</v>
      </c>
      <c r="AP12511" s="9">
        <v>3.5489162364806597</v>
      </c>
    </row>
    <row r="12512" spans="40:42" x14ac:dyDescent="0.3">
      <c r="AN12512">
        <v>12508</v>
      </c>
      <c r="AO12512" s="11">
        <v>35832.910000000003</v>
      </c>
      <c r="AP12512" s="9">
        <v>3.5942743773421295</v>
      </c>
    </row>
    <row r="12513" spans="40:42" x14ac:dyDescent="0.3">
      <c r="AN12513">
        <v>12509</v>
      </c>
      <c r="AO12513" s="11">
        <v>28755.89</v>
      </c>
      <c r="AP12513" s="9">
        <v>3.1724073928587893</v>
      </c>
    </row>
    <row r="12514" spans="40:42" x14ac:dyDescent="0.3">
      <c r="AN12514">
        <v>12510</v>
      </c>
      <c r="AO12514" s="11">
        <v>31182.17</v>
      </c>
      <c r="AP12514" s="9">
        <v>3.0599745119859185</v>
      </c>
    </row>
    <row r="12515" spans="40:42" x14ac:dyDescent="0.3">
      <c r="AN12515">
        <v>12511</v>
      </c>
      <c r="AO12515" s="11">
        <v>21488.74</v>
      </c>
      <c r="AP12515" s="9">
        <v>3.992060925425982</v>
      </c>
    </row>
    <row r="12516" spans="40:42" x14ac:dyDescent="0.3">
      <c r="AN12516">
        <v>12512</v>
      </c>
      <c r="AO12516" s="11">
        <v>29591.25</v>
      </c>
      <c r="AP12516" s="9">
        <v>3.5915075811709669</v>
      </c>
    </row>
    <row r="12517" spans="40:42" x14ac:dyDescent="0.3">
      <c r="AN12517">
        <v>12513</v>
      </c>
      <c r="AO12517" s="11">
        <v>28813.06</v>
      </c>
      <c r="AP12517" s="9">
        <v>3.2899575755885588</v>
      </c>
    </row>
    <row r="12518" spans="40:42" x14ac:dyDescent="0.3">
      <c r="AN12518">
        <v>12514</v>
      </c>
      <c r="AO12518" s="11">
        <v>27475.34</v>
      </c>
      <c r="AP12518" s="9">
        <v>3.4708954908801535</v>
      </c>
    </row>
    <row r="12519" spans="40:42" x14ac:dyDescent="0.3">
      <c r="AN12519">
        <v>12515</v>
      </c>
      <c r="AO12519" s="11">
        <v>22188.63</v>
      </c>
      <c r="AP12519" s="9">
        <v>2.7216294734307538</v>
      </c>
    </row>
    <row r="12520" spans="40:42" x14ac:dyDescent="0.3">
      <c r="AN12520">
        <v>12516</v>
      </c>
      <c r="AO12520" s="11">
        <v>32674.75</v>
      </c>
      <c r="AP12520" s="9">
        <v>3.8737693916544962</v>
      </c>
    </row>
    <row r="12521" spans="40:42" x14ac:dyDescent="0.3">
      <c r="AN12521">
        <v>12517</v>
      </c>
      <c r="AO12521" s="11">
        <v>22184.31</v>
      </c>
      <c r="AP12521" s="9">
        <v>3.5617012153033176</v>
      </c>
    </row>
    <row r="12522" spans="40:42" x14ac:dyDescent="0.3">
      <c r="AN12522">
        <v>12518</v>
      </c>
      <c r="AO12522" s="11">
        <v>33295.74</v>
      </c>
      <c r="AP12522" s="9">
        <v>3.1850562333482024</v>
      </c>
    </row>
    <row r="12523" spans="40:42" x14ac:dyDescent="0.3">
      <c r="AN12523">
        <v>12519</v>
      </c>
      <c r="AO12523" s="11">
        <v>18816.22</v>
      </c>
      <c r="AP12523" s="9">
        <v>3.2245400338122931</v>
      </c>
    </row>
    <row r="12524" spans="40:42" x14ac:dyDescent="0.3">
      <c r="AN12524">
        <v>12520</v>
      </c>
      <c r="AO12524" s="11">
        <v>38396.28</v>
      </c>
      <c r="AP12524" s="9">
        <v>4.1437568685416588</v>
      </c>
    </row>
    <row r="12525" spans="40:42" x14ac:dyDescent="0.3">
      <c r="AN12525">
        <v>12521</v>
      </c>
      <c r="AO12525" s="11">
        <v>23848.19</v>
      </c>
      <c r="AP12525" s="9">
        <v>3.1191404457180165</v>
      </c>
    </row>
    <row r="12526" spans="40:42" x14ac:dyDescent="0.3">
      <c r="AN12526">
        <v>12522</v>
      </c>
      <c r="AO12526" s="11">
        <v>23532.5</v>
      </c>
      <c r="AP12526" s="9">
        <v>3.2990692959607295</v>
      </c>
    </row>
    <row r="12527" spans="40:42" x14ac:dyDescent="0.3">
      <c r="AN12527">
        <v>12523</v>
      </c>
      <c r="AO12527" s="11">
        <v>13757.09</v>
      </c>
      <c r="AP12527" s="9">
        <v>2.817900890701873</v>
      </c>
    </row>
    <row r="12528" spans="40:42" x14ac:dyDescent="0.3">
      <c r="AN12528">
        <v>12524</v>
      </c>
      <c r="AO12528" s="11">
        <v>22626.31</v>
      </c>
      <c r="AP12528" s="9">
        <v>3.388303283751839</v>
      </c>
    </row>
    <row r="12529" spans="40:42" x14ac:dyDescent="0.3">
      <c r="AN12529">
        <v>12525</v>
      </c>
      <c r="AO12529" s="11">
        <v>19617.75</v>
      </c>
      <c r="AP12529" s="9">
        <v>2.9965061932118369</v>
      </c>
    </row>
    <row r="12530" spans="40:42" x14ac:dyDescent="0.3">
      <c r="AN12530">
        <v>12526</v>
      </c>
      <c r="AO12530" s="11">
        <v>31321.52</v>
      </c>
      <c r="AP12530" s="9">
        <v>3.2424619838508724</v>
      </c>
    </row>
    <row r="12531" spans="40:42" x14ac:dyDescent="0.3">
      <c r="AN12531">
        <v>12527</v>
      </c>
      <c r="AO12531" s="11">
        <v>32869.24</v>
      </c>
      <c r="AP12531" s="9">
        <v>3.2210372007743051</v>
      </c>
    </row>
    <row r="12532" spans="40:42" x14ac:dyDescent="0.3">
      <c r="AN12532">
        <v>12528</v>
      </c>
      <c r="AO12532" s="11">
        <v>33084.67</v>
      </c>
      <c r="AP12532" s="9">
        <v>3.3149076476730102</v>
      </c>
    </row>
    <row r="12533" spans="40:42" x14ac:dyDescent="0.3">
      <c r="AN12533">
        <v>12529</v>
      </c>
      <c r="AO12533" s="11">
        <v>26794.34</v>
      </c>
      <c r="AP12533" s="9">
        <v>3.1997885847859671</v>
      </c>
    </row>
    <row r="12534" spans="40:42" x14ac:dyDescent="0.3">
      <c r="AN12534">
        <v>12530</v>
      </c>
      <c r="AO12534" s="11">
        <v>17929.900000000001</v>
      </c>
      <c r="AP12534" s="9">
        <v>2.9422799785862912</v>
      </c>
    </row>
    <row r="12535" spans="40:42" x14ac:dyDescent="0.3">
      <c r="AN12535">
        <v>12531</v>
      </c>
      <c r="AO12535" s="11">
        <v>28648.82</v>
      </c>
      <c r="AP12535" s="9">
        <v>3.6422747576406209</v>
      </c>
    </row>
    <row r="12536" spans="40:42" x14ac:dyDescent="0.3">
      <c r="AN12536">
        <v>12532</v>
      </c>
      <c r="AO12536" s="11">
        <v>31179.46</v>
      </c>
      <c r="AP12536" s="9">
        <v>3.0038167044556152</v>
      </c>
    </row>
    <row r="12537" spans="40:42" x14ac:dyDescent="0.3">
      <c r="AN12537">
        <v>12533</v>
      </c>
      <c r="AO12537" s="11">
        <v>25797.43</v>
      </c>
      <c r="AP12537" s="9">
        <v>2.801901669900305</v>
      </c>
    </row>
    <row r="12538" spans="40:42" x14ac:dyDescent="0.3">
      <c r="AN12538">
        <v>12534</v>
      </c>
      <c r="AO12538" s="11">
        <v>17304.46</v>
      </c>
      <c r="AP12538" s="9">
        <v>3.0829674140873453</v>
      </c>
    </row>
    <row r="12539" spans="40:42" x14ac:dyDescent="0.3">
      <c r="AN12539">
        <v>12535</v>
      </c>
      <c r="AO12539" s="11">
        <v>34965.35</v>
      </c>
      <c r="AP12539" s="9">
        <v>3.7612651845046878</v>
      </c>
    </row>
    <row r="12540" spans="40:42" x14ac:dyDescent="0.3">
      <c r="AN12540">
        <v>12536</v>
      </c>
      <c r="AO12540" s="11">
        <v>30025.53</v>
      </c>
      <c r="AP12540" s="9">
        <v>3.0709896295316903</v>
      </c>
    </row>
    <row r="12541" spans="40:42" x14ac:dyDescent="0.3">
      <c r="AN12541">
        <v>12537</v>
      </c>
      <c r="AO12541" s="11">
        <v>25268.79</v>
      </c>
      <c r="AP12541" s="9">
        <v>2.957418111973233</v>
      </c>
    </row>
    <row r="12542" spans="40:42" x14ac:dyDescent="0.3">
      <c r="AN12542">
        <v>12538</v>
      </c>
      <c r="AO12542" s="11">
        <v>49449.24</v>
      </c>
      <c r="AP12542" s="9">
        <v>4.3616224885209602</v>
      </c>
    </row>
    <row r="12543" spans="40:42" x14ac:dyDescent="0.3">
      <c r="AN12543">
        <v>12539</v>
      </c>
      <c r="AO12543" s="11">
        <v>21177.07</v>
      </c>
      <c r="AP12543" s="9">
        <v>3.0237816285847146</v>
      </c>
    </row>
    <row r="12544" spans="40:42" x14ac:dyDescent="0.3">
      <c r="AN12544">
        <v>12540</v>
      </c>
      <c r="AO12544" s="11">
        <v>34037.199999999997</v>
      </c>
      <c r="AP12544" s="9">
        <v>3.3206321503849381</v>
      </c>
    </row>
    <row r="12545" spans="40:42" x14ac:dyDescent="0.3">
      <c r="AN12545">
        <v>12541</v>
      </c>
      <c r="AO12545" s="11">
        <v>24340.9</v>
      </c>
      <c r="AP12545" s="9">
        <v>2.9627333603050809</v>
      </c>
    </row>
    <row r="12546" spans="40:42" x14ac:dyDescent="0.3">
      <c r="AN12546">
        <v>12542</v>
      </c>
      <c r="AO12546" s="11">
        <v>24073.200000000001</v>
      </c>
      <c r="AP12546" s="9">
        <v>2.8088891090680912</v>
      </c>
    </row>
    <row r="12547" spans="40:42" x14ac:dyDescent="0.3">
      <c r="AN12547">
        <v>12543</v>
      </c>
      <c r="AO12547" s="11">
        <v>22779.38</v>
      </c>
      <c r="AP12547" s="9">
        <v>3.6860785355054939</v>
      </c>
    </row>
    <row r="12548" spans="40:42" x14ac:dyDescent="0.3">
      <c r="AN12548">
        <v>12544</v>
      </c>
      <c r="AO12548" s="11">
        <v>15406.21</v>
      </c>
      <c r="AP12548" s="9">
        <v>2.7743718094469552</v>
      </c>
    </row>
    <row r="12549" spans="40:42" x14ac:dyDescent="0.3">
      <c r="AN12549">
        <v>12545</v>
      </c>
      <c r="AO12549" s="11">
        <v>19984.54</v>
      </c>
      <c r="AP12549" s="9">
        <v>2.784553090118437</v>
      </c>
    </row>
    <row r="12550" spans="40:42" x14ac:dyDescent="0.3">
      <c r="AN12550">
        <v>12546</v>
      </c>
      <c r="AO12550" s="11">
        <v>33614.6</v>
      </c>
      <c r="AP12550" s="9">
        <v>3.480149246045499</v>
      </c>
    </row>
    <row r="12551" spans="40:42" x14ac:dyDescent="0.3">
      <c r="AN12551">
        <v>12547</v>
      </c>
      <c r="AO12551" s="11">
        <v>25384.41</v>
      </c>
      <c r="AP12551" s="9">
        <v>3.2194414422121298</v>
      </c>
    </row>
    <row r="12552" spans="40:42" x14ac:dyDescent="0.3">
      <c r="AN12552">
        <v>12548</v>
      </c>
      <c r="AO12552" s="11">
        <v>25977.16</v>
      </c>
      <c r="AP12552" s="9">
        <v>4.0219812999567042</v>
      </c>
    </row>
    <row r="12553" spans="40:42" x14ac:dyDescent="0.3">
      <c r="AN12553">
        <v>12549</v>
      </c>
      <c r="AO12553" s="11">
        <v>21911.24</v>
      </c>
      <c r="AP12553" s="9">
        <v>3.7313383422009094</v>
      </c>
    </row>
    <row r="12554" spans="40:42" x14ac:dyDescent="0.3">
      <c r="AN12554">
        <v>12550</v>
      </c>
      <c r="AO12554" s="11">
        <v>32699.85</v>
      </c>
      <c r="AP12554" s="9">
        <v>3.4550422179547953</v>
      </c>
    </row>
    <row r="12555" spans="40:42" x14ac:dyDescent="0.3">
      <c r="AN12555">
        <v>12551</v>
      </c>
      <c r="AO12555" s="11">
        <v>29977.55</v>
      </c>
      <c r="AP12555" s="9">
        <v>2.9864598705875118</v>
      </c>
    </row>
    <row r="12556" spans="40:42" x14ac:dyDescent="0.3">
      <c r="AN12556">
        <v>12552</v>
      </c>
      <c r="AO12556" s="11">
        <v>24387.599999999999</v>
      </c>
      <c r="AP12556" s="9">
        <v>2.8235769080082345</v>
      </c>
    </row>
    <row r="12557" spans="40:42" x14ac:dyDescent="0.3">
      <c r="AN12557">
        <v>12553</v>
      </c>
      <c r="AO12557" s="11">
        <v>22396.1</v>
      </c>
      <c r="AP12557" s="9">
        <v>3.4102729353293921</v>
      </c>
    </row>
    <row r="12558" spans="40:42" x14ac:dyDescent="0.3">
      <c r="AN12558">
        <v>12554</v>
      </c>
      <c r="AO12558" s="11">
        <v>18345.490000000002</v>
      </c>
      <c r="AP12558" s="9">
        <v>2.9222179461828115</v>
      </c>
    </row>
    <row r="12559" spans="40:42" x14ac:dyDescent="0.3">
      <c r="AN12559">
        <v>12555</v>
      </c>
      <c r="AO12559" s="11">
        <v>31815.1</v>
      </c>
      <c r="AP12559" s="9">
        <v>3.7342248702397298</v>
      </c>
    </row>
    <row r="12560" spans="40:42" x14ac:dyDescent="0.3">
      <c r="AN12560">
        <v>12556</v>
      </c>
      <c r="AO12560" s="11">
        <v>19876.89</v>
      </c>
      <c r="AP12560" s="9">
        <v>3.9236455622189306</v>
      </c>
    </row>
    <row r="12561" spans="40:42" x14ac:dyDescent="0.3">
      <c r="AN12561">
        <v>12557</v>
      </c>
      <c r="AO12561" s="11">
        <v>23102.89</v>
      </c>
      <c r="AP12561" s="9">
        <v>2.478452113711227</v>
      </c>
    </row>
    <row r="12562" spans="40:42" x14ac:dyDescent="0.3">
      <c r="AN12562">
        <v>12558</v>
      </c>
      <c r="AO12562" s="11">
        <v>29111.79</v>
      </c>
      <c r="AP12562" s="9">
        <v>3.4753230111681872</v>
      </c>
    </row>
    <row r="12563" spans="40:42" x14ac:dyDescent="0.3">
      <c r="AN12563">
        <v>12559</v>
      </c>
      <c r="AO12563" s="11">
        <v>28376.35</v>
      </c>
      <c r="AP12563" s="9">
        <v>3.343034281258396</v>
      </c>
    </row>
    <row r="12564" spans="40:42" x14ac:dyDescent="0.3">
      <c r="AN12564">
        <v>12560</v>
      </c>
      <c r="AO12564" s="11">
        <v>21921.15</v>
      </c>
      <c r="AP12564" s="9">
        <v>3.8380037291575375</v>
      </c>
    </row>
    <row r="12565" spans="40:42" x14ac:dyDescent="0.3">
      <c r="AN12565">
        <v>12561</v>
      </c>
      <c r="AO12565" s="11">
        <v>37057.879999999997</v>
      </c>
      <c r="AP12565" s="9">
        <v>4.3446316596553336</v>
      </c>
    </row>
    <row r="12566" spans="40:42" x14ac:dyDescent="0.3">
      <c r="AN12566">
        <v>12562</v>
      </c>
      <c r="AO12566" s="11">
        <v>25480.37</v>
      </c>
      <c r="AP12566" s="9">
        <v>3.1138422994692627</v>
      </c>
    </row>
    <row r="12567" spans="40:42" x14ac:dyDescent="0.3">
      <c r="AN12567">
        <v>12563</v>
      </c>
      <c r="AO12567" s="11">
        <v>23849.25</v>
      </c>
      <c r="AP12567" s="9">
        <v>3.0873229744851081</v>
      </c>
    </row>
    <row r="12568" spans="40:42" x14ac:dyDescent="0.3">
      <c r="AN12568">
        <v>12564</v>
      </c>
      <c r="AO12568" s="11">
        <v>21054.42</v>
      </c>
      <c r="AP12568" s="9">
        <v>3.1775413155802648</v>
      </c>
    </row>
    <row r="12569" spans="40:42" x14ac:dyDescent="0.3">
      <c r="AN12569">
        <v>12565</v>
      </c>
      <c r="AO12569" s="11">
        <v>32181.35</v>
      </c>
      <c r="AP12569" s="9">
        <v>3.5544157210401539</v>
      </c>
    </row>
    <row r="12570" spans="40:42" x14ac:dyDescent="0.3">
      <c r="AN12570">
        <v>12566</v>
      </c>
      <c r="AO12570" s="11">
        <v>28228.68</v>
      </c>
      <c r="AP12570" s="9">
        <v>3.5936202997652749</v>
      </c>
    </row>
    <row r="12571" spans="40:42" x14ac:dyDescent="0.3">
      <c r="AN12571">
        <v>12567</v>
      </c>
      <c r="AO12571" s="11">
        <v>25005.31</v>
      </c>
      <c r="AP12571" s="9">
        <v>3.5279525683623416</v>
      </c>
    </row>
    <row r="12572" spans="40:42" x14ac:dyDescent="0.3">
      <c r="AN12572">
        <v>12568</v>
      </c>
      <c r="AO12572" s="11">
        <v>13718.65</v>
      </c>
      <c r="AP12572" s="9">
        <v>2.9891068653724093</v>
      </c>
    </row>
    <row r="12573" spans="40:42" x14ac:dyDescent="0.3">
      <c r="AN12573">
        <v>12569</v>
      </c>
      <c r="AO12573" s="11">
        <v>31147.48</v>
      </c>
      <c r="AP12573" s="9">
        <v>3.5328439243145175</v>
      </c>
    </row>
    <row r="12574" spans="40:42" x14ac:dyDescent="0.3">
      <c r="AN12574">
        <v>12570</v>
      </c>
      <c r="AO12574" s="11">
        <v>21362.9</v>
      </c>
      <c r="AP12574" s="9">
        <v>3.3910464153746265</v>
      </c>
    </row>
    <row r="12575" spans="40:42" x14ac:dyDescent="0.3">
      <c r="AN12575">
        <v>12571</v>
      </c>
      <c r="AO12575" s="11">
        <v>21874.07</v>
      </c>
      <c r="AP12575" s="9">
        <v>3.5421152679832053</v>
      </c>
    </row>
    <row r="12576" spans="40:42" x14ac:dyDescent="0.3">
      <c r="AN12576">
        <v>12572</v>
      </c>
      <c r="AO12576" s="11">
        <v>19572.02</v>
      </c>
      <c r="AP12576" s="9">
        <v>2.9950506715257643</v>
      </c>
    </row>
    <row r="12577" spans="40:42" x14ac:dyDescent="0.3">
      <c r="AN12577">
        <v>12573</v>
      </c>
      <c r="AO12577" s="11">
        <v>28395.64</v>
      </c>
      <c r="AP12577" s="9">
        <v>2.8584173015422509</v>
      </c>
    </row>
    <row r="12578" spans="40:42" x14ac:dyDescent="0.3">
      <c r="AN12578">
        <v>12574</v>
      </c>
      <c r="AO12578" s="11">
        <v>42062.2</v>
      </c>
      <c r="AP12578" s="9">
        <v>3.426357255629485</v>
      </c>
    </row>
    <row r="12579" spans="40:42" x14ac:dyDescent="0.3">
      <c r="AN12579">
        <v>12575</v>
      </c>
      <c r="AO12579" s="11">
        <v>22687.96</v>
      </c>
      <c r="AP12579" s="9">
        <v>3.4542220626877187</v>
      </c>
    </row>
    <row r="12580" spans="40:42" x14ac:dyDescent="0.3">
      <c r="AN12580">
        <v>12576</v>
      </c>
      <c r="AO12580" s="11">
        <v>13476.02</v>
      </c>
      <c r="AP12580" s="9">
        <v>3.4343923004264991</v>
      </c>
    </row>
    <row r="12581" spans="40:42" x14ac:dyDescent="0.3">
      <c r="AN12581">
        <v>12577</v>
      </c>
      <c r="AO12581" s="11">
        <v>18778.97</v>
      </c>
      <c r="AP12581" s="9">
        <v>3.4104520736770518</v>
      </c>
    </row>
    <row r="12582" spans="40:42" x14ac:dyDescent="0.3">
      <c r="AN12582">
        <v>12578</v>
      </c>
      <c r="AO12582" s="11">
        <v>26555.51</v>
      </c>
      <c r="AP12582" s="9">
        <v>3.3447895335448212</v>
      </c>
    </row>
    <row r="12583" spans="40:42" x14ac:dyDescent="0.3">
      <c r="AN12583">
        <v>12579</v>
      </c>
      <c r="AO12583" s="11">
        <v>28525.66</v>
      </c>
      <c r="AP12583" s="9">
        <v>3.8213383724715579</v>
      </c>
    </row>
    <row r="12584" spans="40:42" x14ac:dyDescent="0.3">
      <c r="AN12584">
        <v>12580</v>
      </c>
      <c r="AO12584" s="11">
        <v>25582.959999999999</v>
      </c>
      <c r="AP12584" s="9">
        <v>3.1258740954406652</v>
      </c>
    </row>
    <row r="12585" spans="40:42" x14ac:dyDescent="0.3">
      <c r="AN12585">
        <v>12581</v>
      </c>
      <c r="AO12585" s="11">
        <v>32031.75</v>
      </c>
      <c r="AP12585" s="9">
        <v>2.9876969644693649</v>
      </c>
    </row>
    <row r="12586" spans="40:42" x14ac:dyDescent="0.3">
      <c r="AN12586">
        <v>12582</v>
      </c>
      <c r="AO12586" s="11">
        <v>29359.05</v>
      </c>
      <c r="AP12586" s="9">
        <v>3.6831103631148956</v>
      </c>
    </row>
    <row r="12587" spans="40:42" x14ac:dyDescent="0.3">
      <c r="AN12587">
        <v>12583</v>
      </c>
      <c r="AO12587" s="11">
        <v>25272.28</v>
      </c>
      <c r="AP12587" s="9">
        <v>3.1209204627579323</v>
      </c>
    </row>
    <row r="12588" spans="40:42" x14ac:dyDescent="0.3">
      <c r="AN12588">
        <v>12584</v>
      </c>
      <c r="AO12588" s="11">
        <v>30908.28</v>
      </c>
      <c r="AP12588" s="9">
        <v>3.5263329176591935</v>
      </c>
    </row>
    <row r="12589" spans="40:42" x14ac:dyDescent="0.3">
      <c r="AN12589">
        <v>12585</v>
      </c>
      <c r="AO12589" s="11">
        <v>19482.13</v>
      </c>
      <c r="AP12589" s="9">
        <v>2.8509583747391964</v>
      </c>
    </row>
    <row r="12590" spans="40:42" x14ac:dyDescent="0.3">
      <c r="AN12590">
        <v>12586</v>
      </c>
      <c r="AO12590" s="11">
        <v>18301.89</v>
      </c>
      <c r="AP12590" s="9">
        <v>2.94891035377126</v>
      </c>
    </row>
    <row r="12591" spans="40:42" x14ac:dyDescent="0.3">
      <c r="AN12591">
        <v>12587</v>
      </c>
      <c r="AO12591" s="11">
        <v>23439.1</v>
      </c>
      <c r="AP12591" s="9">
        <v>3.299332822029494</v>
      </c>
    </row>
    <row r="12592" spans="40:42" x14ac:dyDescent="0.3">
      <c r="AN12592">
        <v>12588</v>
      </c>
      <c r="AO12592" s="11">
        <v>45436.72</v>
      </c>
      <c r="AP12592" s="9">
        <v>3.333974269672153</v>
      </c>
    </row>
    <row r="12593" spans="40:42" x14ac:dyDescent="0.3">
      <c r="AN12593">
        <v>12589</v>
      </c>
      <c r="AO12593" s="11">
        <v>21209.87</v>
      </c>
      <c r="AP12593" s="9">
        <v>3.0759966392842704</v>
      </c>
    </row>
    <row r="12594" spans="40:42" x14ac:dyDescent="0.3">
      <c r="AN12594">
        <v>12590</v>
      </c>
      <c r="AO12594" s="11">
        <v>29371.88</v>
      </c>
      <c r="AP12594" s="9">
        <v>3.7735466173133081</v>
      </c>
    </row>
    <row r="12595" spans="40:42" x14ac:dyDescent="0.3">
      <c r="AN12595">
        <v>12591</v>
      </c>
      <c r="AO12595" s="11">
        <v>31050.78</v>
      </c>
      <c r="AP12595" s="9">
        <v>3.5720578949440194</v>
      </c>
    </row>
    <row r="12596" spans="40:42" x14ac:dyDescent="0.3">
      <c r="AN12596">
        <v>12592</v>
      </c>
      <c r="AO12596" s="11">
        <v>24346.58</v>
      </c>
      <c r="AP12596" s="9">
        <v>3.697716972274514</v>
      </c>
    </row>
    <row r="12597" spans="40:42" x14ac:dyDescent="0.3">
      <c r="AN12597">
        <v>12593</v>
      </c>
      <c r="AO12597" s="11">
        <v>27721.49</v>
      </c>
      <c r="AP12597" s="9">
        <v>3.8870576520350868</v>
      </c>
    </row>
    <row r="12598" spans="40:42" x14ac:dyDescent="0.3">
      <c r="AN12598">
        <v>12594</v>
      </c>
      <c r="AO12598" s="11">
        <v>38668.74</v>
      </c>
      <c r="AP12598" s="9">
        <v>3.7750046589122119</v>
      </c>
    </row>
    <row r="12599" spans="40:42" x14ac:dyDescent="0.3">
      <c r="AN12599">
        <v>12595</v>
      </c>
      <c r="AO12599" s="11">
        <v>27235.599999999999</v>
      </c>
      <c r="AP12599" s="9">
        <v>3.7822807093478805</v>
      </c>
    </row>
    <row r="12600" spans="40:42" x14ac:dyDescent="0.3">
      <c r="AN12600">
        <v>12596</v>
      </c>
      <c r="AO12600" s="11">
        <v>23313.35</v>
      </c>
      <c r="AP12600" s="9">
        <v>3.3240561628368823</v>
      </c>
    </row>
    <row r="12601" spans="40:42" x14ac:dyDescent="0.3">
      <c r="AN12601">
        <v>12597</v>
      </c>
      <c r="AO12601" s="11">
        <v>27944.19</v>
      </c>
      <c r="AP12601" s="9">
        <v>3.1774523044835092</v>
      </c>
    </row>
    <row r="12602" spans="40:42" x14ac:dyDescent="0.3">
      <c r="AN12602">
        <v>12598</v>
      </c>
      <c r="AO12602" s="11">
        <v>18175.599999999999</v>
      </c>
      <c r="AP12602" s="9">
        <v>3.0583863384374643</v>
      </c>
    </row>
    <row r="12603" spans="40:42" x14ac:dyDescent="0.3">
      <c r="AN12603">
        <v>12599</v>
      </c>
      <c r="AO12603" s="11">
        <v>18378.22</v>
      </c>
      <c r="AP12603" s="9">
        <v>3.0210659934494362</v>
      </c>
    </row>
    <row r="12604" spans="40:42" x14ac:dyDescent="0.3">
      <c r="AN12604">
        <v>12600</v>
      </c>
      <c r="AO12604" s="11">
        <v>25671.86</v>
      </c>
      <c r="AP12604" s="9">
        <v>3.2850308823488126</v>
      </c>
    </row>
    <row r="12605" spans="40:42" x14ac:dyDescent="0.3">
      <c r="AN12605">
        <v>12601</v>
      </c>
      <c r="AO12605" s="11">
        <v>20916.63</v>
      </c>
      <c r="AP12605" s="9">
        <v>3.4646025949813795</v>
      </c>
    </row>
    <row r="12606" spans="40:42" x14ac:dyDescent="0.3">
      <c r="AN12606">
        <v>12602</v>
      </c>
      <c r="AO12606" s="11">
        <v>30910.639999999999</v>
      </c>
      <c r="AP12606" s="9">
        <v>3.4120921926598808</v>
      </c>
    </row>
    <row r="12607" spans="40:42" x14ac:dyDescent="0.3">
      <c r="AN12607">
        <v>12603</v>
      </c>
      <c r="AO12607" s="11">
        <v>30269.43</v>
      </c>
      <c r="AP12607" s="9">
        <v>2.8186782139404238</v>
      </c>
    </row>
    <row r="12608" spans="40:42" x14ac:dyDescent="0.3">
      <c r="AN12608">
        <v>12604</v>
      </c>
      <c r="AO12608" s="11">
        <v>32104.400000000001</v>
      </c>
      <c r="AP12608" s="9">
        <v>3.3807219609988644</v>
      </c>
    </row>
    <row r="12609" spans="40:42" x14ac:dyDescent="0.3">
      <c r="AN12609">
        <v>12605</v>
      </c>
      <c r="AO12609" s="11">
        <v>27065.29</v>
      </c>
      <c r="AP12609" s="9">
        <v>3.708237784115874</v>
      </c>
    </row>
    <row r="12610" spans="40:42" x14ac:dyDescent="0.3">
      <c r="AN12610">
        <v>12606</v>
      </c>
      <c r="AO12610" s="11">
        <v>25408.720000000001</v>
      </c>
      <c r="AP12610" s="9">
        <v>3.1462633839550147</v>
      </c>
    </row>
    <row r="12611" spans="40:42" x14ac:dyDescent="0.3">
      <c r="AN12611">
        <v>12607</v>
      </c>
      <c r="AO12611" s="11">
        <v>21377.84</v>
      </c>
      <c r="AP12611" s="9">
        <v>3.0011805571940697</v>
      </c>
    </row>
    <row r="12612" spans="40:42" x14ac:dyDescent="0.3">
      <c r="AN12612">
        <v>12608</v>
      </c>
      <c r="AO12612" s="11">
        <v>29790.63</v>
      </c>
      <c r="AP12612" s="9">
        <v>3.730046216525849</v>
      </c>
    </row>
    <row r="12613" spans="40:42" x14ac:dyDescent="0.3">
      <c r="AN12613">
        <v>12609</v>
      </c>
      <c r="AO12613" s="11">
        <v>34437.360000000001</v>
      </c>
      <c r="AP12613" s="9">
        <v>3.3510507673947987</v>
      </c>
    </row>
    <row r="12614" spans="40:42" x14ac:dyDescent="0.3">
      <c r="AN12614">
        <v>12610</v>
      </c>
      <c r="AO12614" s="11">
        <v>19233.810000000001</v>
      </c>
      <c r="AP12614" s="9">
        <v>3.3874082075000995</v>
      </c>
    </row>
    <row r="12615" spans="40:42" x14ac:dyDescent="0.3">
      <c r="AN12615">
        <v>12611</v>
      </c>
      <c r="AO12615" s="11">
        <v>25275.77</v>
      </c>
      <c r="AP12615" s="9">
        <v>3.2357012435255439</v>
      </c>
    </row>
    <row r="12616" spans="40:42" x14ac:dyDescent="0.3">
      <c r="AN12616">
        <v>12612</v>
      </c>
      <c r="AO12616" s="11">
        <v>22961.34</v>
      </c>
      <c r="AP12616" s="9">
        <v>2.7165646931998668</v>
      </c>
    </row>
    <row r="12617" spans="40:42" x14ac:dyDescent="0.3">
      <c r="AN12617">
        <v>12613</v>
      </c>
      <c r="AO12617" s="11">
        <v>31459.119999999999</v>
      </c>
      <c r="AP12617" s="9">
        <v>3.7909590835347449</v>
      </c>
    </row>
    <row r="12618" spans="40:42" x14ac:dyDescent="0.3">
      <c r="AN12618">
        <v>12614</v>
      </c>
      <c r="AO12618" s="11">
        <v>24782.55</v>
      </c>
      <c r="AP12618" s="9">
        <v>3.8577165080827065</v>
      </c>
    </row>
    <row r="12619" spans="40:42" x14ac:dyDescent="0.3">
      <c r="AN12619">
        <v>12615</v>
      </c>
      <c r="AO12619" s="11">
        <v>26140.91</v>
      </c>
      <c r="AP12619" s="9">
        <v>2.9468061252936488</v>
      </c>
    </row>
    <row r="12620" spans="40:42" x14ac:dyDescent="0.3">
      <c r="AN12620">
        <v>12616</v>
      </c>
      <c r="AO12620" s="11">
        <v>18625.63</v>
      </c>
      <c r="AP12620" s="9">
        <v>3.1119355740430317</v>
      </c>
    </row>
    <row r="12621" spans="40:42" x14ac:dyDescent="0.3">
      <c r="AN12621">
        <v>12617</v>
      </c>
      <c r="AO12621" s="11">
        <v>18281.439999999999</v>
      </c>
      <c r="AP12621" s="9">
        <v>3.1589693999730608</v>
      </c>
    </row>
    <row r="12622" spans="40:42" x14ac:dyDescent="0.3">
      <c r="AN12622">
        <v>12618</v>
      </c>
      <c r="AO12622" s="11">
        <v>27063.81</v>
      </c>
      <c r="AP12622" s="9">
        <v>3.3633487953332861</v>
      </c>
    </row>
    <row r="12623" spans="40:42" x14ac:dyDescent="0.3">
      <c r="AN12623">
        <v>12619</v>
      </c>
      <c r="AO12623" s="11">
        <v>32929.980000000003</v>
      </c>
      <c r="AP12623" s="9">
        <v>3.3982136616248049</v>
      </c>
    </row>
    <row r="12624" spans="40:42" x14ac:dyDescent="0.3">
      <c r="AN12624">
        <v>12620</v>
      </c>
      <c r="AO12624" s="11">
        <v>22225.67</v>
      </c>
      <c r="AP12624" s="9">
        <v>2.9685685275215121</v>
      </c>
    </row>
    <row r="12625" spans="40:42" x14ac:dyDescent="0.3">
      <c r="AN12625">
        <v>12621</v>
      </c>
      <c r="AO12625" s="11">
        <v>25334.61</v>
      </c>
      <c r="AP12625" s="9">
        <v>3.6982926547627977</v>
      </c>
    </row>
    <row r="12626" spans="40:42" x14ac:dyDescent="0.3">
      <c r="AN12626">
        <v>12622</v>
      </c>
      <c r="AO12626" s="11">
        <v>26325.48</v>
      </c>
      <c r="AP12626" s="9">
        <v>3.5332848133692165</v>
      </c>
    </row>
    <row r="12627" spans="40:42" x14ac:dyDescent="0.3">
      <c r="AN12627">
        <v>12623</v>
      </c>
      <c r="AO12627" s="11">
        <v>26805.86</v>
      </c>
      <c r="AP12627" s="9">
        <v>3.2302612812210123</v>
      </c>
    </row>
    <row r="12628" spans="40:42" x14ac:dyDescent="0.3">
      <c r="AN12628">
        <v>12624</v>
      </c>
      <c r="AO12628" s="11">
        <v>34755.17</v>
      </c>
      <c r="AP12628" s="9">
        <v>3.8473267651809095</v>
      </c>
    </row>
    <row r="12629" spans="40:42" x14ac:dyDescent="0.3">
      <c r="AN12629">
        <v>12625</v>
      </c>
      <c r="AO12629" s="11">
        <v>21340.36</v>
      </c>
      <c r="AP12629" s="9">
        <v>3.3099342250714243</v>
      </c>
    </row>
    <row r="12630" spans="40:42" x14ac:dyDescent="0.3">
      <c r="AN12630">
        <v>12626</v>
      </c>
      <c r="AO12630" s="11">
        <v>37197.620000000003</v>
      </c>
      <c r="AP12630" s="9">
        <v>3.8002944854487262</v>
      </c>
    </row>
    <row r="12631" spans="40:42" x14ac:dyDescent="0.3">
      <c r="AN12631">
        <v>12627</v>
      </c>
      <c r="AO12631" s="11">
        <v>33168.18</v>
      </c>
      <c r="AP12631" s="9">
        <v>3.6578141473497965</v>
      </c>
    </row>
    <row r="12632" spans="40:42" x14ac:dyDescent="0.3">
      <c r="AN12632">
        <v>12628</v>
      </c>
      <c r="AO12632" s="11">
        <v>41498.199999999997</v>
      </c>
      <c r="AP12632" s="9">
        <v>3.2570712047973926</v>
      </c>
    </row>
    <row r="12633" spans="40:42" x14ac:dyDescent="0.3">
      <c r="AN12633">
        <v>12629</v>
      </c>
      <c r="AO12633" s="11">
        <v>33893.07</v>
      </c>
      <c r="AP12633" s="9">
        <v>4.1557425240940882</v>
      </c>
    </row>
    <row r="12634" spans="40:42" x14ac:dyDescent="0.3">
      <c r="AN12634">
        <v>12630</v>
      </c>
      <c r="AO12634" s="11">
        <v>21462.95</v>
      </c>
      <c r="AP12634" s="9">
        <v>3.1757532022025581</v>
      </c>
    </row>
    <row r="12635" spans="40:42" x14ac:dyDescent="0.3">
      <c r="AN12635">
        <v>12631</v>
      </c>
      <c r="AO12635" s="11">
        <v>38514.730000000003</v>
      </c>
      <c r="AP12635" s="9">
        <v>3.9238494594026596</v>
      </c>
    </row>
    <row r="12636" spans="40:42" x14ac:dyDescent="0.3">
      <c r="AN12636">
        <v>12632</v>
      </c>
      <c r="AO12636" s="11">
        <v>36837.9</v>
      </c>
      <c r="AP12636" s="9">
        <v>3.3929833819585999</v>
      </c>
    </row>
    <row r="12637" spans="40:42" x14ac:dyDescent="0.3">
      <c r="AN12637">
        <v>12633</v>
      </c>
      <c r="AO12637" s="11">
        <v>21183.279999999999</v>
      </c>
      <c r="AP12637" s="9">
        <v>3.2592313213111046</v>
      </c>
    </row>
    <row r="12638" spans="40:42" x14ac:dyDescent="0.3">
      <c r="AN12638">
        <v>12634</v>
      </c>
      <c r="AO12638" s="11">
        <v>39162.83</v>
      </c>
      <c r="AP12638" s="9">
        <v>4.1270725377821229</v>
      </c>
    </row>
    <row r="12639" spans="40:42" x14ac:dyDescent="0.3">
      <c r="AN12639">
        <v>12635</v>
      </c>
      <c r="AO12639" s="11">
        <v>34640.870000000003</v>
      </c>
      <c r="AP12639" s="9">
        <v>3.8145046237345968</v>
      </c>
    </row>
    <row r="12640" spans="40:42" x14ac:dyDescent="0.3">
      <c r="AN12640">
        <v>12636</v>
      </c>
      <c r="AO12640" s="11">
        <v>24185.77</v>
      </c>
      <c r="AP12640" s="9">
        <v>3.723366468225576</v>
      </c>
    </row>
    <row r="12641" spans="40:42" x14ac:dyDescent="0.3">
      <c r="AN12641">
        <v>12637</v>
      </c>
      <c r="AO12641" s="11">
        <v>43509.82</v>
      </c>
      <c r="AP12641" s="9">
        <v>3.9240848822068086</v>
      </c>
    </row>
    <row r="12642" spans="40:42" x14ac:dyDescent="0.3">
      <c r="AN12642">
        <v>12638</v>
      </c>
      <c r="AO12642" s="11">
        <v>27359.06</v>
      </c>
      <c r="AP12642" s="9">
        <v>3.7287343961875585</v>
      </c>
    </row>
    <row r="12643" spans="40:42" x14ac:dyDescent="0.3">
      <c r="AN12643">
        <v>12639</v>
      </c>
      <c r="AO12643" s="11">
        <v>28228.19</v>
      </c>
      <c r="AP12643" s="9">
        <v>3.447312776710576</v>
      </c>
    </row>
    <row r="12644" spans="40:42" x14ac:dyDescent="0.3">
      <c r="AN12644">
        <v>12640</v>
      </c>
      <c r="AO12644" s="11">
        <v>34021.769999999997</v>
      </c>
      <c r="AP12644" s="9">
        <v>3.2276172718960296</v>
      </c>
    </row>
    <row r="12645" spans="40:42" x14ac:dyDescent="0.3">
      <c r="AN12645">
        <v>12641</v>
      </c>
      <c r="AO12645" s="11">
        <v>27042.11</v>
      </c>
      <c r="AP12645" s="9">
        <v>3.093494026828767</v>
      </c>
    </row>
    <row r="12646" spans="40:42" x14ac:dyDescent="0.3">
      <c r="AN12646">
        <v>12642</v>
      </c>
      <c r="AO12646" s="11">
        <v>15906.49</v>
      </c>
      <c r="AP12646" s="9">
        <v>3.7902717691994825</v>
      </c>
    </row>
    <row r="12647" spans="40:42" x14ac:dyDescent="0.3">
      <c r="AN12647">
        <v>12643</v>
      </c>
      <c r="AO12647" s="11">
        <v>22898.27</v>
      </c>
      <c r="AP12647" s="9">
        <v>3.1313942289731127</v>
      </c>
    </row>
    <row r="12648" spans="40:42" x14ac:dyDescent="0.3">
      <c r="AN12648">
        <v>12644</v>
      </c>
      <c r="AO12648" s="11">
        <v>21498.12</v>
      </c>
      <c r="AP12648" s="9">
        <v>2.8263621721245102</v>
      </c>
    </row>
    <row r="12649" spans="40:42" x14ac:dyDescent="0.3">
      <c r="AN12649">
        <v>12645</v>
      </c>
      <c r="AO12649" s="11">
        <v>26408.06</v>
      </c>
      <c r="AP12649" s="9">
        <v>3.2062052174262963</v>
      </c>
    </row>
    <row r="12650" spans="40:42" x14ac:dyDescent="0.3">
      <c r="AN12650">
        <v>12646</v>
      </c>
      <c r="AO12650" s="11">
        <v>30533.84</v>
      </c>
      <c r="AP12650" s="9">
        <v>3.2386190120383898</v>
      </c>
    </row>
    <row r="12651" spans="40:42" x14ac:dyDescent="0.3">
      <c r="AN12651">
        <v>12647</v>
      </c>
      <c r="AO12651" s="11">
        <v>22355.35</v>
      </c>
      <c r="AP12651" s="9">
        <v>3.3350800255949196</v>
      </c>
    </row>
    <row r="12652" spans="40:42" x14ac:dyDescent="0.3">
      <c r="AN12652">
        <v>12648</v>
      </c>
      <c r="AO12652" s="11">
        <v>35018.43</v>
      </c>
      <c r="AP12652" s="9">
        <v>3.0111537006573199</v>
      </c>
    </row>
    <row r="12653" spans="40:42" x14ac:dyDescent="0.3">
      <c r="AN12653">
        <v>12649</v>
      </c>
      <c r="AO12653" s="11">
        <v>18636.97</v>
      </c>
      <c r="AP12653" s="9">
        <v>3.0186030097597705</v>
      </c>
    </row>
    <row r="12654" spans="40:42" x14ac:dyDescent="0.3">
      <c r="AN12654">
        <v>12650</v>
      </c>
      <c r="AO12654" s="11">
        <v>20496.72</v>
      </c>
      <c r="AP12654" s="9">
        <v>2.8532857848672806</v>
      </c>
    </row>
    <row r="12655" spans="40:42" x14ac:dyDescent="0.3">
      <c r="AN12655">
        <v>12651</v>
      </c>
      <c r="AO12655" s="11">
        <v>13527.7</v>
      </c>
      <c r="AP12655" s="9">
        <v>3.1723601647058159</v>
      </c>
    </row>
    <row r="12656" spans="40:42" x14ac:dyDescent="0.3">
      <c r="AN12656">
        <v>12652</v>
      </c>
      <c r="AO12656" s="11">
        <v>43351.87</v>
      </c>
      <c r="AP12656" s="9">
        <v>3.4696588902841943</v>
      </c>
    </row>
    <row r="12657" spans="40:42" x14ac:dyDescent="0.3">
      <c r="AN12657">
        <v>12653</v>
      </c>
      <c r="AO12657" s="11">
        <v>30963.47</v>
      </c>
      <c r="AP12657" s="9">
        <v>3.7047403111498691</v>
      </c>
    </row>
    <row r="12658" spans="40:42" x14ac:dyDescent="0.3">
      <c r="AN12658">
        <v>12654</v>
      </c>
      <c r="AO12658" s="11">
        <v>27506.23</v>
      </c>
      <c r="AP12658" s="9">
        <v>3.0989800840432058</v>
      </c>
    </row>
    <row r="12659" spans="40:42" x14ac:dyDescent="0.3">
      <c r="AN12659">
        <v>12655</v>
      </c>
      <c r="AO12659" s="11">
        <v>22464.81</v>
      </c>
      <c r="AP12659" s="9">
        <v>3.10804975796137</v>
      </c>
    </row>
    <row r="12660" spans="40:42" x14ac:dyDescent="0.3">
      <c r="AN12660">
        <v>12656</v>
      </c>
      <c r="AO12660" s="11">
        <v>34311.03</v>
      </c>
      <c r="AP12660" s="9">
        <v>3.1617115096889266</v>
      </c>
    </row>
    <row r="12661" spans="40:42" x14ac:dyDescent="0.3">
      <c r="AN12661">
        <v>12657</v>
      </c>
      <c r="AO12661" s="11">
        <v>26465.48</v>
      </c>
      <c r="AP12661" s="9">
        <v>2.6486891052420485</v>
      </c>
    </row>
    <row r="12662" spans="40:42" x14ac:dyDescent="0.3">
      <c r="AN12662">
        <v>12658</v>
      </c>
      <c r="AO12662" s="11">
        <v>46338.58</v>
      </c>
      <c r="AP12662" s="9">
        <v>3.8585979184609736</v>
      </c>
    </row>
    <row r="12663" spans="40:42" x14ac:dyDescent="0.3">
      <c r="AN12663">
        <v>12659</v>
      </c>
      <c r="AO12663" s="11">
        <v>20937.84</v>
      </c>
      <c r="AP12663" s="9">
        <v>3.4675246556950987</v>
      </c>
    </row>
    <row r="12664" spans="40:42" x14ac:dyDescent="0.3">
      <c r="AN12664">
        <v>12660</v>
      </c>
      <c r="AO12664" s="11">
        <v>32486.33</v>
      </c>
      <c r="AP12664" s="9">
        <v>3.341416896990471</v>
      </c>
    </row>
    <row r="12665" spans="40:42" x14ac:dyDescent="0.3">
      <c r="AN12665">
        <v>12661</v>
      </c>
      <c r="AO12665" s="11">
        <v>23123.81</v>
      </c>
      <c r="AP12665" s="9">
        <v>3.1327584202976775</v>
      </c>
    </row>
    <row r="12666" spans="40:42" x14ac:dyDescent="0.3">
      <c r="AN12666">
        <v>12662</v>
      </c>
      <c r="AO12666" s="11">
        <v>23990.79</v>
      </c>
      <c r="AP12666" s="9">
        <v>4.3399429953931525</v>
      </c>
    </row>
    <row r="12667" spans="40:42" x14ac:dyDescent="0.3">
      <c r="AN12667">
        <v>12663</v>
      </c>
      <c r="AO12667" s="11">
        <v>31046.05</v>
      </c>
      <c r="AP12667" s="9">
        <v>3.5720299228088299</v>
      </c>
    </row>
    <row r="12668" spans="40:42" x14ac:dyDescent="0.3">
      <c r="AN12668">
        <v>12664</v>
      </c>
      <c r="AO12668" s="11">
        <v>30438</v>
      </c>
      <c r="AP12668" s="9">
        <v>3.0654656771858524</v>
      </c>
    </row>
    <row r="12669" spans="40:42" x14ac:dyDescent="0.3">
      <c r="AN12669">
        <v>12665</v>
      </c>
      <c r="AO12669" s="11">
        <v>20157.41</v>
      </c>
      <c r="AP12669" s="9">
        <v>3.2757193389540551</v>
      </c>
    </row>
    <row r="12670" spans="40:42" x14ac:dyDescent="0.3">
      <c r="AN12670">
        <v>12666</v>
      </c>
      <c r="AO12670" s="11">
        <v>25873.87</v>
      </c>
      <c r="AP12670" s="9">
        <v>3.40560551498158</v>
      </c>
    </row>
    <row r="12671" spans="40:42" x14ac:dyDescent="0.3">
      <c r="AN12671">
        <v>12667</v>
      </c>
      <c r="AO12671" s="11">
        <v>38082.94</v>
      </c>
      <c r="AP12671" s="9">
        <v>3.6593895984446752</v>
      </c>
    </row>
    <row r="12672" spans="40:42" x14ac:dyDescent="0.3">
      <c r="AN12672">
        <v>12668</v>
      </c>
      <c r="AO12672" s="11">
        <v>16525.02</v>
      </c>
      <c r="AP12672" s="9">
        <v>3.0388393307651325</v>
      </c>
    </row>
    <row r="12673" spans="40:42" x14ac:dyDescent="0.3">
      <c r="AN12673">
        <v>12669</v>
      </c>
      <c r="AO12673" s="11">
        <v>31454.52</v>
      </c>
      <c r="AP12673" s="9">
        <v>3.2921771148311065</v>
      </c>
    </row>
    <row r="12674" spans="40:42" x14ac:dyDescent="0.3">
      <c r="AN12674">
        <v>12670</v>
      </c>
      <c r="AO12674" s="11">
        <v>28056.44</v>
      </c>
      <c r="AP12674" s="9">
        <v>3.2589964775981044</v>
      </c>
    </row>
    <row r="12675" spans="40:42" x14ac:dyDescent="0.3">
      <c r="AN12675">
        <v>12671</v>
      </c>
      <c r="AO12675" s="11">
        <v>29739.96</v>
      </c>
      <c r="AP12675" s="9">
        <v>3.6618367365428957</v>
      </c>
    </row>
    <row r="12676" spans="40:42" x14ac:dyDescent="0.3">
      <c r="AN12676">
        <v>12672</v>
      </c>
      <c r="AO12676" s="11">
        <v>37062.639999999999</v>
      </c>
      <c r="AP12676" s="9">
        <v>3.7331510773810312</v>
      </c>
    </row>
    <row r="12677" spans="40:42" x14ac:dyDescent="0.3">
      <c r="AN12677">
        <v>12673</v>
      </c>
      <c r="AO12677" s="11">
        <v>23997.96</v>
      </c>
      <c r="AP12677" s="9">
        <v>2.9663364437433724</v>
      </c>
    </row>
    <row r="12678" spans="40:42" x14ac:dyDescent="0.3">
      <c r="AN12678">
        <v>12674</v>
      </c>
      <c r="AO12678" s="11">
        <v>31617.14</v>
      </c>
      <c r="AP12678" s="9">
        <v>3.3986188975942868</v>
      </c>
    </row>
    <row r="12679" spans="40:42" x14ac:dyDescent="0.3">
      <c r="AN12679">
        <v>12675</v>
      </c>
      <c r="AO12679" s="11">
        <v>31154.74</v>
      </c>
      <c r="AP12679" s="9">
        <v>2.7211982526189207</v>
      </c>
    </row>
    <row r="12680" spans="40:42" x14ac:dyDescent="0.3">
      <c r="AN12680">
        <v>12676</v>
      </c>
      <c r="AO12680" s="11">
        <v>28252.05</v>
      </c>
      <c r="AP12680" s="9">
        <v>3.5434331778132973</v>
      </c>
    </row>
    <row r="12681" spans="40:42" x14ac:dyDescent="0.3">
      <c r="AN12681">
        <v>12677</v>
      </c>
      <c r="AO12681" s="11">
        <v>33406.86</v>
      </c>
      <c r="AP12681" s="9">
        <v>4.1375511984550668</v>
      </c>
    </row>
    <row r="12682" spans="40:42" x14ac:dyDescent="0.3">
      <c r="AN12682">
        <v>12678</v>
      </c>
      <c r="AO12682" s="11">
        <v>24101.53</v>
      </c>
      <c r="AP12682" s="9">
        <v>3.1174072603362877</v>
      </c>
    </row>
    <row r="12683" spans="40:42" x14ac:dyDescent="0.3">
      <c r="AN12683">
        <v>12679</v>
      </c>
      <c r="AO12683" s="11">
        <v>27044.39</v>
      </c>
      <c r="AP12683" s="9">
        <v>2.9906572352625482</v>
      </c>
    </row>
    <row r="12684" spans="40:42" x14ac:dyDescent="0.3">
      <c r="AN12684">
        <v>12680</v>
      </c>
      <c r="AO12684" s="11">
        <v>24864.33</v>
      </c>
      <c r="AP12684" s="9">
        <v>3.7016644770427427</v>
      </c>
    </row>
    <row r="12685" spans="40:42" x14ac:dyDescent="0.3">
      <c r="AN12685">
        <v>12681</v>
      </c>
      <c r="AO12685" s="11">
        <v>24535.65</v>
      </c>
      <c r="AP12685" s="9">
        <v>3.3014764411934179</v>
      </c>
    </row>
    <row r="12686" spans="40:42" x14ac:dyDescent="0.3">
      <c r="AN12686">
        <v>12682</v>
      </c>
      <c r="AO12686" s="11">
        <v>32436.77</v>
      </c>
      <c r="AP12686" s="9">
        <v>3.4096093827619627</v>
      </c>
    </row>
    <row r="12687" spans="40:42" x14ac:dyDescent="0.3">
      <c r="AN12687">
        <v>12683</v>
      </c>
      <c r="AO12687" s="11">
        <v>34454.22</v>
      </c>
      <c r="AP12687" s="9">
        <v>3.8042281306735188</v>
      </c>
    </row>
    <row r="12688" spans="40:42" x14ac:dyDescent="0.3">
      <c r="AN12688">
        <v>12684</v>
      </c>
      <c r="AO12688" s="11">
        <v>38787.410000000003</v>
      </c>
      <c r="AP12688" s="9">
        <v>3.6464330255215405</v>
      </c>
    </row>
    <row r="12689" spans="40:42" x14ac:dyDescent="0.3">
      <c r="AN12689">
        <v>12685</v>
      </c>
      <c r="AO12689" s="11">
        <v>27805.55</v>
      </c>
      <c r="AP12689" s="9">
        <v>3.5417581242519152</v>
      </c>
    </row>
    <row r="12690" spans="40:42" x14ac:dyDescent="0.3">
      <c r="AN12690">
        <v>12686</v>
      </c>
      <c r="AO12690" s="11">
        <v>23582.61</v>
      </c>
      <c r="AP12690" s="9">
        <v>3.5574300117987732</v>
      </c>
    </row>
    <row r="12691" spans="40:42" x14ac:dyDescent="0.3">
      <c r="AN12691">
        <v>12687</v>
      </c>
      <c r="AO12691" s="11">
        <v>34109.269999999997</v>
      </c>
      <c r="AP12691" s="9">
        <v>3.3473939138392779</v>
      </c>
    </row>
    <row r="12692" spans="40:42" x14ac:dyDescent="0.3">
      <c r="AN12692">
        <v>12688</v>
      </c>
      <c r="AO12692" s="11">
        <v>25731.279999999999</v>
      </c>
      <c r="AP12692" s="9">
        <v>2.9569964001077604</v>
      </c>
    </row>
    <row r="12693" spans="40:42" x14ac:dyDescent="0.3">
      <c r="AN12693">
        <v>12689</v>
      </c>
      <c r="AO12693" s="11">
        <v>24208.68</v>
      </c>
      <c r="AP12693" s="9">
        <v>3.2624203814714381</v>
      </c>
    </row>
    <row r="12694" spans="40:42" x14ac:dyDescent="0.3">
      <c r="AN12694">
        <v>12690</v>
      </c>
      <c r="AO12694" s="11">
        <v>25516.97</v>
      </c>
      <c r="AP12694" s="9">
        <v>2.6299588694039451</v>
      </c>
    </row>
    <row r="12695" spans="40:42" x14ac:dyDescent="0.3">
      <c r="AN12695">
        <v>12691</v>
      </c>
      <c r="AO12695" s="11">
        <v>15549.26</v>
      </c>
      <c r="AP12695" s="9">
        <v>2.8384335598000372</v>
      </c>
    </row>
    <row r="12696" spans="40:42" x14ac:dyDescent="0.3">
      <c r="AN12696">
        <v>12692</v>
      </c>
      <c r="AO12696" s="11">
        <v>19708.59</v>
      </c>
      <c r="AP12696" s="9">
        <v>3.1057133359355018</v>
      </c>
    </row>
    <row r="12697" spans="40:42" x14ac:dyDescent="0.3">
      <c r="AN12697">
        <v>12693</v>
      </c>
      <c r="AO12697" s="11">
        <v>20899.419999999998</v>
      </c>
      <c r="AP12697" s="9">
        <v>3.2336740197431841</v>
      </c>
    </row>
    <row r="12698" spans="40:42" x14ac:dyDescent="0.3">
      <c r="AN12698">
        <v>12694</v>
      </c>
      <c r="AO12698" s="11">
        <v>35248.33</v>
      </c>
      <c r="AP12698" s="9">
        <v>3.5425995818014711</v>
      </c>
    </row>
    <row r="12699" spans="40:42" x14ac:dyDescent="0.3">
      <c r="AN12699">
        <v>12695</v>
      </c>
      <c r="AO12699" s="11">
        <v>32875.919999999998</v>
      </c>
      <c r="AP12699" s="9">
        <v>4.061434355567874</v>
      </c>
    </row>
    <row r="12700" spans="40:42" x14ac:dyDescent="0.3">
      <c r="AN12700">
        <v>12696</v>
      </c>
      <c r="AO12700" s="11">
        <v>28419.49</v>
      </c>
      <c r="AP12700" s="9">
        <v>3.5627618472146199</v>
      </c>
    </row>
    <row r="12701" spans="40:42" x14ac:dyDescent="0.3">
      <c r="AN12701">
        <v>12697</v>
      </c>
      <c r="AO12701" s="11">
        <v>34839.19</v>
      </c>
      <c r="AP12701" s="9">
        <v>4.1435149633912189</v>
      </c>
    </row>
    <row r="12702" spans="40:42" x14ac:dyDescent="0.3">
      <c r="AN12702">
        <v>12698</v>
      </c>
      <c r="AO12702" s="11">
        <v>31355.71</v>
      </c>
      <c r="AP12702" s="9">
        <v>3.4017114089883296</v>
      </c>
    </row>
    <row r="12703" spans="40:42" x14ac:dyDescent="0.3">
      <c r="AN12703">
        <v>12699</v>
      </c>
      <c r="AO12703" s="11">
        <v>25515.84</v>
      </c>
      <c r="AP12703" s="9">
        <v>2.8490022769500487</v>
      </c>
    </row>
    <row r="12704" spans="40:42" x14ac:dyDescent="0.3">
      <c r="AN12704">
        <v>12700</v>
      </c>
      <c r="AO12704" s="11">
        <v>30329.3</v>
      </c>
      <c r="AP12704" s="9">
        <v>3.1739416764156783</v>
      </c>
    </row>
    <row r="12705" spans="40:42" x14ac:dyDescent="0.3">
      <c r="AN12705">
        <v>12701</v>
      </c>
      <c r="AO12705" s="11">
        <v>35782.959999999999</v>
      </c>
      <c r="AP12705" s="9">
        <v>4.0371267524282795</v>
      </c>
    </row>
    <row r="12706" spans="40:42" x14ac:dyDescent="0.3">
      <c r="AN12706">
        <v>12702</v>
      </c>
      <c r="AO12706" s="11">
        <v>26936.92</v>
      </c>
      <c r="AP12706" s="9">
        <v>3.6451359022273455</v>
      </c>
    </row>
    <row r="12707" spans="40:42" x14ac:dyDescent="0.3">
      <c r="AN12707">
        <v>12703</v>
      </c>
      <c r="AO12707" s="11">
        <v>23707.69</v>
      </c>
      <c r="AP12707" s="9">
        <v>3.3210164300011251</v>
      </c>
    </row>
    <row r="12708" spans="40:42" x14ac:dyDescent="0.3">
      <c r="AN12708">
        <v>12704</v>
      </c>
      <c r="AO12708" s="11">
        <v>29663.95</v>
      </c>
      <c r="AP12708" s="9">
        <v>3.2954566838907664</v>
      </c>
    </row>
    <row r="12709" spans="40:42" x14ac:dyDescent="0.3">
      <c r="AN12709">
        <v>12705</v>
      </c>
      <c r="AO12709" s="11">
        <v>24069.52</v>
      </c>
      <c r="AP12709" s="9">
        <v>3.283701170448269</v>
      </c>
    </row>
    <row r="12710" spans="40:42" x14ac:dyDescent="0.3">
      <c r="AN12710">
        <v>12706</v>
      </c>
      <c r="AO12710" s="11">
        <v>32288.240000000002</v>
      </c>
      <c r="AP12710" s="9">
        <v>3.5299333015874592</v>
      </c>
    </row>
    <row r="12711" spans="40:42" x14ac:dyDescent="0.3">
      <c r="AN12711">
        <v>12707</v>
      </c>
      <c r="AO12711" s="11">
        <v>29132.47</v>
      </c>
      <c r="AP12711" s="9">
        <v>3.0238863027488225</v>
      </c>
    </row>
    <row r="12712" spans="40:42" x14ac:dyDescent="0.3">
      <c r="AN12712">
        <v>12708</v>
      </c>
      <c r="AO12712" s="11">
        <v>40767.22</v>
      </c>
      <c r="AP12712" s="9">
        <v>3.150918827325063</v>
      </c>
    </row>
    <row r="12713" spans="40:42" x14ac:dyDescent="0.3">
      <c r="AN12713">
        <v>12709</v>
      </c>
      <c r="AO12713" s="11">
        <v>14273.34</v>
      </c>
      <c r="AP12713" s="9">
        <v>3.0060007175302688</v>
      </c>
    </row>
    <row r="12714" spans="40:42" x14ac:dyDescent="0.3">
      <c r="AN12714">
        <v>12710</v>
      </c>
      <c r="AO12714" s="11">
        <v>26421.439999999999</v>
      </c>
      <c r="AP12714" s="9">
        <v>2.8632494388816854</v>
      </c>
    </row>
    <row r="12715" spans="40:42" x14ac:dyDescent="0.3">
      <c r="AN12715">
        <v>12711</v>
      </c>
      <c r="AO12715" s="11">
        <v>33953.910000000003</v>
      </c>
      <c r="AP12715" s="9">
        <v>4.2679956306537301</v>
      </c>
    </row>
    <row r="12716" spans="40:42" x14ac:dyDescent="0.3">
      <c r="AN12716">
        <v>12712</v>
      </c>
      <c r="AO12716" s="11">
        <v>27387.06</v>
      </c>
      <c r="AP12716" s="9">
        <v>3.713050504555282</v>
      </c>
    </row>
    <row r="12717" spans="40:42" x14ac:dyDescent="0.3">
      <c r="AN12717">
        <v>12713</v>
      </c>
      <c r="AO12717" s="11">
        <v>21535.55</v>
      </c>
      <c r="AP12717" s="9">
        <v>2.9492101220162712</v>
      </c>
    </row>
    <row r="12718" spans="40:42" x14ac:dyDescent="0.3">
      <c r="AN12718">
        <v>12714</v>
      </c>
      <c r="AO12718" s="11">
        <v>33309.769999999997</v>
      </c>
      <c r="AP12718" s="9">
        <v>3.5645777757102604</v>
      </c>
    </row>
    <row r="12719" spans="40:42" x14ac:dyDescent="0.3">
      <c r="AN12719">
        <v>12715</v>
      </c>
      <c r="AO12719" s="11">
        <v>36646.01</v>
      </c>
      <c r="AP12719" s="9">
        <v>3.5419280398858719</v>
      </c>
    </row>
    <row r="12720" spans="40:42" x14ac:dyDescent="0.3">
      <c r="AN12720">
        <v>12716</v>
      </c>
      <c r="AO12720" s="11">
        <v>35057.97</v>
      </c>
      <c r="AP12720" s="9">
        <v>3.723274532975045</v>
      </c>
    </row>
    <row r="12721" spans="40:42" x14ac:dyDescent="0.3">
      <c r="AN12721">
        <v>12717</v>
      </c>
      <c r="AO12721" s="11">
        <v>40360.97</v>
      </c>
      <c r="AP12721" s="9">
        <v>3.546649387184464</v>
      </c>
    </row>
    <row r="12722" spans="40:42" x14ac:dyDescent="0.3">
      <c r="AN12722">
        <v>12718</v>
      </c>
      <c r="AO12722" s="11">
        <v>24987.79</v>
      </c>
      <c r="AP12722" s="9">
        <v>4.1038189309406201</v>
      </c>
    </row>
    <row r="12723" spans="40:42" x14ac:dyDescent="0.3">
      <c r="AN12723">
        <v>12719</v>
      </c>
      <c r="AO12723" s="11">
        <v>31915.08</v>
      </c>
      <c r="AP12723" s="9">
        <v>4.4043942361609183</v>
      </c>
    </row>
    <row r="12724" spans="40:42" x14ac:dyDescent="0.3">
      <c r="AN12724">
        <v>12720</v>
      </c>
      <c r="AO12724" s="11">
        <v>33453.14</v>
      </c>
      <c r="AP12724" s="9">
        <v>3.2131145488347892</v>
      </c>
    </row>
    <row r="12725" spans="40:42" x14ac:dyDescent="0.3">
      <c r="AN12725">
        <v>12721</v>
      </c>
      <c r="AO12725" s="11">
        <v>25945.68</v>
      </c>
      <c r="AP12725" s="9">
        <v>3.5576755514376766</v>
      </c>
    </row>
    <row r="12726" spans="40:42" x14ac:dyDescent="0.3">
      <c r="AN12726">
        <v>12722</v>
      </c>
      <c r="AO12726" s="11">
        <v>34686.9</v>
      </c>
      <c r="AP12726" s="9">
        <v>3.7949159455439472</v>
      </c>
    </row>
    <row r="12727" spans="40:42" x14ac:dyDescent="0.3">
      <c r="AN12727">
        <v>12723</v>
      </c>
      <c r="AO12727" s="11">
        <v>20595.150000000001</v>
      </c>
      <c r="AP12727" s="9">
        <v>3.0331257949222579</v>
      </c>
    </row>
    <row r="12728" spans="40:42" x14ac:dyDescent="0.3">
      <c r="AN12728">
        <v>12724</v>
      </c>
      <c r="AO12728" s="11">
        <v>24237.48</v>
      </c>
      <c r="AP12728" s="9">
        <v>3.507024707060145</v>
      </c>
    </row>
    <row r="12729" spans="40:42" x14ac:dyDescent="0.3">
      <c r="AN12729">
        <v>12725</v>
      </c>
      <c r="AO12729" s="11">
        <v>30045.62</v>
      </c>
      <c r="AP12729" s="9">
        <v>3.5498839327056944</v>
      </c>
    </row>
    <row r="12730" spans="40:42" x14ac:dyDescent="0.3">
      <c r="AN12730">
        <v>12726</v>
      </c>
      <c r="AO12730" s="11">
        <v>36235.69</v>
      </c>
      <c r="AP12730" s="9">
        <v>3.9313319743726489</v>
      </c>
    </row>
    <row r="12731" spans="40:42" x14ac:dyDescent="0.3">
      <c r="AN12731">
        <v>12727</v>
      </c>
      <c r="AO12731" s="11">
        <v>20141.98</v>
      </c>
      <c r="AP12731" s="9">
        <v>3.3876206600700343</v>
      </c>
    </row>
    <row r="12732" spans="40:42" x14ac:dyDescent="0.3">
      <c r="AN12732">
        <v>12728</v>
      </c>
      <c r="AO12732" s="11">
        <v>16816.689999999999</v>
      </c>
      <c r="AP12732" s="9">
        <v>3.2736222514285398</v>
      </c>
    </row>
    <row r="12733" spans="40:42" x14ac:dyDescent="0.3">
      <c r="AN12733">
        <v>12729</v>
      </c>
      <c r="AO12733" s="11">
        <v>35694.379999999997</v>
      </c>
      <c r="AP12733" s="9">
        <v>3.9400068250005842</v>
      </c>
    </row>
    <row r="12734" spans="40:42" x14ac:dyDescent="0.3">
      <c r="AN12734">
        <v>12730</v>
      </c>
      <c r="AO12734" s="11">
        <v>26423.119999999999</v>
      </c>
      <c r="AP12734" s="9">
        <v>3.5453623809182861</v>
      </c>
    </row>
    <row r="12735" spans="40:42" x14ac:dyDescent="0.3">
      <c r="AN12735">
        <v>12731</v>
      </c>
      <c r="AO12735" s="11">
        <v>30523.8</v>
      </c>
      <c r="AP12735" s="9">
        <v>3.5270943665048251</v>
      </c>
    </row>
    <row r="12736" spans="40:42" x14ac:dyDescent="0.3">
      <c r="AN12736">
        <v>12732</v>
      </c>
      <c r="AO12736" s="11">
        <v>29873.8</v>
      </c>
      <c r="AP12736" s="9">
        <v>3.2604786861748494</v>
      </c>
    </row>
    <row r="12737" spans="40:42" x14ac:dyDescent="0.3">
      <c r="AN12737">
        <v>12733</v>
      </c>
      <c r="AO12737" s="11">
        <v>30558.68</v>
      </c>
      <c r="AP12737" s="9">
        <v>3.472104658567873</v>
      </c>
    </row>
    <row r="12738" spans="40:42" x14ac:dyDescent="0.3">
      <c r="AN12738">
        <v>12734</v>
      </c>
      <c r="AO12738" s="11">
        <v>21401.77</v>
      </c>
      <c r="AP12738" s="9">
        <v>3.3588454057755275</v>
      </c>
    </row>
    <row r="12739" spans="40:42" x14ac:dyDescent="0.3">
      <c r="AN12739">
        <v>12735</v>
      </c>
      <c r="AO12739" s="11">
        <v>23783.86</v>
      </c>
      <c r="AP12739" s="9">
        <v>3.1901929165965952</v>
      </c>
    </row>
    <row r="12740" spans="40:42" x14ac:dyDescent="0.3">
      <c r="AN12740">
        <v>12736</v>
      </c>
      <c r="AO12740" s="11">
        <v>25332.65</v>
      </c>
      <c r="AP12740" s="9">
        <v>3.4511747521216063</v>
      </c>
    </row>
    <row r="12741" spans="40:42" x14ac:dyDescent="0.3">
      <c r="AN12741">
        <v>12737</v>
      </c>
      <c r="AO12741" s="11">
        <v>23503.06</v>
      </c>
      <c r="AP12741" s="9">
        <v>4.0342095674466343</v>
      </c>
    </row>
    <row r="12742" spans="40:42" x14ac:dyDescent="0.3">
      <c r="AN12742">
        <v>12738</v>
      </c>
      <c r="AO12742" s="11">
        <v>38758.67</v>
      </c>
      <c r="AP12742" s="9">
        <v>3.5293215319820659</v>
      </c>
    </row>
    <row r="12743" spans="40:42" x14ac:dyDescent="0.3">
      <c r="AN12743">
        <v>12739</v>
      </c>
      <c r="AO12743" s="11">
        <v>27520.99</v>
      </c>
      <c r="AP12743" s="9">
        <v>3.5100994888329033</v>
      </c>
    </row>
    <row r="12744" spans="40:42" x14ac:dyDescent="0.3">
      <c r="AN12744">
        <v>12740</v>
      </c>
      <c r="AO12744" s="11">
        <v>19915.71</v>
      </c>
      <c r="AP12744" s="9">
        <v>2.9729915646762155</v>
      </c>
    </row>
    <row r="12745" spans="40:42" x14ac:dyDescent="0.3">
      <c r="AN12745">
        <v>12741</v>
      </c>
      <c r="AO12745" s="11">
        <v>27849.07</v>
      </c>
      <c r="AP12745" s="9">
        <v>3.0040374962674261</v>
      </c>
    </row>
    <row r="12746" spans="40:42" x14ac:dyDescent="0.3">
      <c r="AN12746">
        <v>12742</v>
      </c>
      <c r="AO12746" s="11">
        <v>28495.119999999999</v>
      </c>
      <c r="AP12746" s="9">
        <v>3.7185139860963279</v>
      </c>
    </row>
    <row r="12747" spans="40:42" x14ac:dyDescent="0.3">
      <c r="AN12747">
        <v>12743</v>
      </c>
      <c r="AO12747" s="11">
        <v>18214.439999999999</v>
      </c>
      <c r="AP12747" s="9">
        <v>3.1397062633363606</v>
      </c>
    </row>
    <row r="12748" spans="40:42" x14ac:dyDescent="0.3">
      <c r="AN12748">
        <v>12744</v>
      </c>
      <c r="AO12748" s="11">
        <v>29161.61</v>
      </c>
      <c r="AP12748" s="9">
        <v>2.8208852516748752</v>
      </c>
    </row>
    <row r="12749" spans="40:42" x14ac:dyDescent="0.3">
      <c r="AN12749">
        <v>12745</v>
      </c>
      <c r="AO12749" s="11">
        <v>22970.01</v>
      </c>
      <c r="AP12749" s="9">
        <v>2.7142865740471396</v>
      </c>
    </row>
    <row r="12750" spans="40:42" x14ac:dyDescent="0.3">
      <c r="AN12750">
        <v>12746</v>
      </c>
      <c r="AO12750" s="11">
        <v>20971.58</v>
      </c>
      <c r="AP12750" s="9">
        <v>3.471730016136648</v>
      </c>
    </row>
    <row r="12751" spans="40:42" x14ac:dyDescent="0.3">
      <c r="AN12751">
        <v>12747</v>
      </c>
      <c r="AO12751" s="11">
        <v>24392.03</v>
      </c>
      <c r="AP12751" s="9">
        <v>2.9684629675962806</v>
      </c>
    </row>
    <row r="12752" spans="40:42" x14ac:dyDescent="0.3">
      <c r="AN12752">
        <v>12748</v>
      </c>
      <c r="AO12752" s="11">
        <v>34764.559999999998</v>
      </c>
      <c r="AP12752" s="9">
        <v>3.0187289197432987</v>
      </c>
    </row>
    <row r="12753" spans="40:42" x14ac:dyDescent="0.3">
      <c r="AN12753">
        <v>12749</v>
      </c>
      <c r="AO12753" s="11">
        <v>24471.31</v>
      </c>
      <c r="AP12753" s="9">
        <v>3.5880890094490363</v>
      </c>
    </row>
    <row r="12754" spans="40:42" x14ac:dyDescent="0.3">
      <c r="AN12754">
        <v>12750</v>
      </c>
      <c r="AO12754" s="11">
        <v>23776.06</v>
      </c>
      <c r="AP12754" s="9">
        <v>4.3333171767634679</v>
      </c>
    </row>
    <row r="12755" spans="40:42" x14ac:dyDescent="0.3">
      <c r="AN12755">
        <v>12751</v>
      </c>
      <c r="AO12755" s="11">
        <v>20442.86</v>
      </c>
      <c r="AP12755" s="9">
        <v>3.0640207982870891</v>
      </c>
    </row>
    <row r="12756" spans="40:42" x14ac:dyDescent="0.3">
      <c r="AN12756">
        <v>12752</v>
      </c>
      <c r="AO12756" s="11">
        <v>19724.88</v>
      </c>
      <c r="AP12756" s="9">
        <v>3.1634242042339027</v>
      </c>
    </row>
    <row r="12757" spans="40:42" x14ac:dyDescent="0.3">
      <c r="AN12757">
        <v>12753</v>
      </c>
      <c r="AO12757" s="11">
        <v>26213.95</v>
      </c>
      <c r="AP12757" s="9">
        <v>3.8010551698501294</v>
      </c>
    </row>
    <row r="12758" spans="40:42" x14ac:dyDescent="0.3">
      <c r="AN12758">
        <v>12754</v>
      </c>
      <c r="AO12758" s="11">
        <v>40543.82</v>
      </c>
      <c r="AP12758" s="9">
        <v>4.1333109418037539</v>
      </c>
    </row>
    <row r="12759" spans="40:42" x14ac:dyDescent="0.3">
      <c r="AN12759">
        <v>12755</v>
      </c>
      <c r="AO12759" s="11">
        <v>48159.33</v>
      </c>
      <c r="AP12759" s="9">
        <v>4.4817626661899785</v>
      </c>
    </row>
    <row r="12760" spans="40:42" x14ac:dyDescent="0.3">
      <c r="AN12760">
        <v>12756</v>
      </c>
      <c r="AO12760" s="11">
        <v>29082.68</v>
      </c>
      <c r="AP12760" s="9">
        <v>3.9422142059556262</v>
      </c>
    </row>
    <row r="12761" spans="40:42" x14ac:dyDescent="0.3">
      <c r="AN12761">
        <v>12757</v>
      </c>
      <c r="AO12761" s="11">
        <v>12847.73</v>
      </c>
      <c r="AP12761" s="9">
        <v>3.1653986726337044</v>
      </c>
    </row>
    <row r="12762" spans="40:42" x14ac:dyDescent="0.3">
      <c r="AN12762">
        <v>12758</v>
      </c>
      <c r="AO12762" s="11">
        <v>29311.439999999999</v>
      </c>
      <c r="AP12762" s="9">
        <v>3.7167196829596181</v>
      </c>
    </row>
    <row r="12763" spans="40:42" x14ac:dyDescent="0.3">
      <c r="AN12763">
        <v>12759</v>
      </c>
      <c r="AO12763" s="11">
        <v>23576.79</v>
      </c>
      <c r="AP12763" s="9">
        <v>3.6306287908455399</v>
      </c>
    </row>
    <row r="12764" spans="40:42" x14ac:dyDescent="0.3">
      <c r="AN12764">
        <v>12760</v>
      </c>
      <c r="AO12764" s="11">
        <v>21880.39</v>
      </c>
      <c r="AP12764" s="9">
        <v>3.5202628426948741</v>
      </c>
    </row>
    <row r="12765" spans="40:42" x14ac:dyDescent="0.3">
      <c r="AN12765">
        <v>12761</v>
      </c>
      <c r="AO12765" s="11">
        <v>24736.97</v>
      </c>
      <c r="AP12765" s="9">
        <v>2.7314664920284706</v>
      </c>
    </row>
    <row r="12766" spans="40:42" x14ac:dyDescent="0.3">
      <c r="AN12766">
        <v>12762</v>
      </c>
      <c r="AO12766" s="11">
        <v>22113.98</v>
      </c>
      <c r="AP12766" s="9">
        <v>3.1999807503815965</v>
      </c>
    </row>
    <row r="12767" spans="40:42" x14ac:dyDescent="0.3">
      <c r="AN12767">
        <v>12763</v>
      </c>
      <c r="AO12767" s="11">
        <v>43276</v>
      </c>
      <c r="AP12767" s="9">
        <v>4.0057291719413435</v>
      </c>
    </row>
    <row r="12768" spans="40:42" x14ac:dyDescent="0.3">
      <c r="AN12768">
        <v>12764</v>
      </c>
      <c r="AO12768" s="11">
        <v>29761.43</v>
      </c>
      <c r="AP12768" s="9">
        <v>2.9309359596169262</v>
      </c>
    </row>
    <row r="12769" spans="40:42" x14ac:dyDescent="0.3">
      <c r="AN12769">
        <v>12765</v>
      </c>
      <c r="AO12769" s="11">
        <v>23964.91</v>
      </c>
      <c r="AP12769" s="9">
        <v>3.3177848422892615</v>
      </c>
    </row>
    <row r="12770" spans="40:42" x14ac:dyDescent="0.3">
      <c r="AN12770">
        <v>12766</v>
      </c>
      <c r="AO12770" s="11">
        <v>26043.31</v>
      </c>
      <c r="AP12770" s="9">
        <v>3.961833562197612</v>
      </c>
    </row>
    <row r="12771" spans="40:42" x14ac:dyDescent="0.3">
      <c r="AN12771">
        <v>12767</v>
      </c>
      <c r="AO12771" s="11">
        <v>40277.129999999997</v>
      </c>
      <c r="AP12771" s="9">
        <v>3.9409153472203933</v>
      </c>
    </row>
    <row r="12772" spans="40:42" x14ac:dyDescent="0.3">
      <c r="AN12772">
        <v>12768</v>
      </c>
      <c r="AO12772" s="11">
        <v>31507.95</v>
      </c>
      <c r="AP12772" s="9">
        <v>3.309743739256783</v>
      </c>
    </row>
    <row r="12773" spans="40:42" x14ac:dyDescent="0.3">
      <c r="AN12773">
        <v>12769</v>
      </c>
      <c r="AO12773" s="11">
        <v>18806.439999999999</v>
      </c>
      <c r="AP12773" s="9">
        <v>3.1943007746522385</v>
      </c>
    </row>
    <row r="12774" spans="40:42" x14ac:dyDescent="0.3">
      <c r="AN12774">
        <v>12770</v>
      </c>
      <c r="AO12774" s="11">
        <v>29092.94</v>
      </c>
      <c r="AP12774" s="9">
        <v>3.0999847236898064</v>
      </c>
    </row>
    <row r="12775" spans="40:42" x14ac:dyDescent="0.3">
      <c r="AN12775">
        <v>12771</v>
      </c>
      <c r="AO12775" s="11">
        <v>19166.490000000002</v>
      </c>
      <c r="AP12775" s="9">
        <v>3.6036345180283873</v>
      </c>
    </row>
    <row r="12776" spans="40:42" x14ac:dyDescent="0.3">
      <c r="AN12776">
        <v>12772</v>
      </c>
      <c r="AO12776" s="11">
        <v>18116.04</v>
      </c>
      <c r="AP12776" s="9">
        <v>3.6749401056923796</v>
      </c>
    </row>
    <row r="12777" spans="40:42" x14ac:dyDescent="0.3">
      <c r="AN12777">
        <v>12773</v>
      </c>
      <c r="AO12777" s="11">
        <v>35621.11</v>
      </c>
      <c r="AP12777" s="9">
        <v>4.453729906791783</v>
      </c>
    </row>
    <row r="12778" spans="40:42" x14ac:dyDescent="0.3">
      <c r="AN12778">
        <v>12774</v>
      </c>
      <c r="AO12778" s="11">
        <v>39907.56</v>
      </c>
      <c r="AP12778" s="9">
        <v>3.3978393917452272</v>
      </c>
    </row>
    <row r="12779" spans="40:42" x14ac:dyDescent="0.3">
      <c r="AN12779">
        <v>12775</v>
      </c>
      <c r="AO12779" s="11">
        <v>37437.440000000002</v>
      </c>
      <c r="AP12779" s="9">
        <v>3.5097475757838716</v>
      </c>
    </row>
    <row r="12780" spans="40:42" x14ac:dyDescent="0.3">
      <c r="AN12780">
        <v>12776</v>
      </c>
      <c r="AO12780" s="11">
        <v>17391.91</v>
      </c>
      <c r="AP12780" s="9">
        <v>3.2197956231540337</v>
      </c>
    </row>
    <row r="12781" spans="40:42" x14ac:dyDescent="0.3">
      <c r="AN12781">
        <v>12777</v>
      </c>
      <c r="AO12781" s="11">
        <v>25203.8</v>
      </c>
      <c r="AP12781" s="9">
        <v>3.4371751813513658</v>
      </c>
    </row>
    <row r="12782" spans="40:42" x14ac:dyDescent="0.3">
      <c r="AN12782">
        <v>12778</v>
      </c>
      <c r="AO12782" s="11">
        <v>20991.7</v>
      </c>
      <c r="AP12782" s="9">
        <v>3.843645963043115</v>
      </c>
    </row>
    <row r="12783" spans="40:42" x14ac:dyDescent="0.3">
      <c r="AN12783">
        <v>12779</v>
      </c>
      <c r="AO12783" s="11">
        <v>23778.21</v>
      </c>
      <c r="AP12783" s="9">
        <v>2.7349792397446762</v>
      </c>
    </row>
    <row r="12784" spans="40:42" x14ac:dyDescent="0.3">
      <c r="AN12784">
        <v>12780</v>
      </c>
      <c r="AO12784" s="11">
        <v>24529.51</v>
      </c>
      <c r="AP12784" s="9">
        <v>3.8785449098916138</v>
      </c>
    </row>
    <row r="12785" spans="40:42" x14ac:dyDescent="0.3">
      <c r="AN12785">
        <v>12781</v>
      </c>
      <c r="AO12785" s="11">
        <v>16957.97</v>
      </c>
      <c r="AP12785" s="9">
        <v>3.0591302933905618</v>
      </c>
    </row>
    <row r="12786" spans="40:42" x14ac:dyDescent="0.3">
      <c r="AN12786">
        <v>12782</v>
      </c>
      <c r="AO12786" s="11">
        <v>31265.05</v>
      </c>
      <c r="AP12786" s="9">
        <v>3.451818518539723</v>
      </c>
    </row>
    <row r="12787" spans="40:42" x14ac:dyDescent="0.3">
      <c r="AN12787">
        <v>12783</v>
      </c>
      <c r="AO12787" s="11">
        <v>20218.22</v>
      </c>
      <c r="AP12787" s="9">
        <v>2.9817307802293347</v>
      </c>
    </row>
    <row r="12788" spans="40:42" x14ac:dyDescent="0.3">
      <c r="AN12788">
        <v>12784</v>
      </c>
      <c r="AO12788" s="11">
        <v>26499.05</v>
      </c>
      <c r="AP12788" s="9">
        <v>3.7493989994420911</v>
      </c>
    </row>
    <row r="12789" spans="40:42" x14ac:dyDescent="0.3">
      <c r="AN12789">
        <v>12785</v>
      </c>
      <c r="AO12789" s="11">
        <v>21062.68</v>
      </c>
      <c r="AP12789" s="9">
        <v>3.0592175809845319</v>
      </c>
    </row>
    <row r="12790" spans="40:42" x14ac:dyDescent="0.3">
      <c r="AN12790">
        <v>12786</v>
      </c>
      <c r="AO12790" s="11">
        <v>16861.28</v>
      </c>
      <c r="AP12790" s="9">
        <v>3.0920123226400476</v>
      </c>
    </row>
    <row r="12791" spans="40:42" x14ac:dyDescent="0.3">
      <c r="AN12791">
        <v>12787</v>
      </c>
      <c r="AO12791" s="11">
        <v>37870.36</v>
      </c>
      <c r="AP12791" s="9">
        <v>3.8000601666989922</v>
      </c>
    </row>
    <row r="12792" spans="40:42" x14ac:dyDescent="0.3">
      <c r="AN12792">
        <v>12788</v>
      </c>
      <c r="AO12792" s="11">
        <v>35214.68</v>
      </c>
      <c r="AP12792" s="9">
        <v>3.9731062347921617</v>
      </c>
    </row>
    <row r="12793" spans="40:42" x14ac:dyDescent="0.3">
      <c r="AN12793">
        <v>12789</v>
      </c>
      <c r="AO12793" s="11">
        <v>17377.8</v>
      </c>
      <c r="AP12793" s="9">
        <v>3.1941953654404767</v>
      </c>
    </row>
    <row r="12794" spans="40:42" x14ac:dyDescent="0.3">
      <c r="AN12794">
        <v>12790</v>
      </c>
      <c r="AO12794" s="11">
        <v>30343.68</v>
      </c>
      <c r="AP12794" s="9">
        <v>3.2736382438619311</v>
      </c>
    </row>
    <row r="12795" spans="40:42" x14ac:dyDescent="0.3">
      <c r="AN12795">
        <v>12791</v>
      </c>
      <c r="AO12795" s="11">
        <v>22482.9</v>
      </c>
      <c r="AP12795" s="9">
        <v>2.9889683668278737</v>
      </c>
    </row>
    <row r="12796" spans="40:42" x14ac:dyDescent="0.3">
      <c r="AN12796">
        <v>12792</v>
      </c>
      <c r="AO12796" s="11">
        <v>26120.53</v>
      </c>
      <c r="AP12796" s="9">
        <v>3.0612404351057463</v>
      </c>
    </row>
    <row r="12797" spans="40:42" x14ac:dyDescent="0.3">
      <c r="AN12797">
        <v>12793</v>
      </c>
      <c r="AO12797" s="11">
        <v>18974.64</v>
      </c>
      <c r="AP12797" s="9">
        <v>2.9922716368472848</v>
      </c>
    </row>
    <row r="12798" spans="40:42" x14ac:dyDescent="0.3">
      <c r="AN12798">
        <v>12794</v>
      </c>
      <c r="AO12798" s="11">
        <v>37467.89</v>
      </c>
      <c r="AP12798" s="9">
        <v>4.2819328872836966</v>
      </c>
    </row>
    <row r="12799" spans="40:42" x14ac:dyDescent="0.3">
      <c r="AN12799">
        <v>12795</v>
      </c>
      <c r="AO12799" s="11">
        <v>38736.01</v>
      </c>
      <c r="AP12799" s="9">
        <v>3.9967005471420962</v>
      </c>
    </row>
    <row r="12800" spans="40:42" x14ac:dyDescent="0.3">
      <c r="AN12800">
        <v>12796</v>
      </c>
      <c r="AO12800" s="11">
        <v>18565.45</v>
      </c>
      <c r="AP12800" s="9">
        <v>3.1949823883033082</v>
      </c>
    </row>
    <row r="12801" spans="40:42" x14ac:dyDescent="0.3">
      <c r="AN12801">
        <v>12797</v>
      </c>
      <c r="AO12801" s="11">
        <v>23418.6</v>
      </c>
      <c r="AP12801" s="9">
        <v>3.3600687158107472</v>
      </c>
    </row>
    <row r="12802" spans="40:42" x14ac:dyDescent="0.3">
      <c r="AN12802">
        <v>12798</v>
      </c>
      <c r="AO12802" s="11">
        <v>26979.59</v>
      </c>
      <c r="AP12802" s="9">
        <v>3.6941997706911671</v>
      </c>
    </row>
    <row r="12803" spans="40:42" x14ac:dyDescent="0.3">
      <c r="AN12803">
        <v>12799</v>
      </c>
      <c r="AO12803" s="11">
        <v>48259.9</v>
      </c>
      <c r="AP12803" s="9">
        <v>3.5698347292524342</v>
      </c>
    </row>
    <row r="12804" spans="40:42" x14ac:dyDescent="0.3">
      <c r="AN12804">
        <v>12800</v>
      </c>
      <c r="AO12804" s="11">
        <v>21877.05</v>
      </c>
      <c r="AP12804" s="9">
        <v>2.9082000269850341</v>
      </c>
    </row>
    <row r="12805" spans="40:42" x14ac:dyDescent="0.3">
      <c r="AN12805">
        <v>12801</v>
      </c>
      <c r="AO12805" s="11">
        <v>30568.76</v>
      </c>
      <c r="AP12805" s="9">
        <v>3.814243367348169</v>
      </c>
    </row>
    <row r="12806" spans="40:42" x14ac:dyDescent="0.3">
      <c r="AN12806">
        <v>12802</v>
      </c>
      <c r="AO12806" s="11">
        <v>16853.8</v>
      </c>
      <c r="AP12806" s="9">
        <v>2.9656808791984188</v>
      </c>
    </row>
    <row r="12807" spans="40:42" x14ac:dyDescent="0.3">
      <c r="AN12807">
        <v>12803</v>
      </c>
      <c r="AO12807" s="11">
        <v>26156.43</v>
      </c>
      <c r="AP12807" s="9">
        <v>3.2361548069356423</v>
      </c>
    </row>
    <row r="12808" spans="40:42" x14ac:dyDescent="0.3">
      <c r="AN12808">
        <v>12804</v>
      </c>
      <c r="AO12808" s="11">
        <v>40060.99</v>
      </c>
      <c r="AP12808" s="9">
        <v>3.0705943959605935</v>
      </c>
    </row>
    <row r="12809" spans="40:42" x14ac:dyDescent="0.3">
      <c r="AN12809">
        <v>12805</v>
      </c>
      <c r="AO12809" s="11">
        <v>20266.02</v>
      </c>
      <c r="AP12809" s="9">
        <v>3.1624179574249833</v>
      </c>
    </row>
    <row r="12810" spans="40:42" x14ac:dyDescent="0.3">
      <c r="AN12810">
        <v>12806</v>
      </c>
      <c r="AO12810" s="11">
        <v>26806.01</v>
      </c>
      <c r="AP12810" s="9">
        <v>2.903578747440148</v>
      </c>
    </row>
    <row r="12811" spans="40:42" x14ac:dyDescent="0.3">
      <c r="AN12811">
        <v>12807</v>
      </c>
      <c r="AO12811" s="11">
        <v>21015.78</v>
      </c>
      <c r="AP12811" s="9">
        <v>3.3970083557183566</v>
      </c>
    </row>
    <row r="12812" spans="40:42" x14ac:dyDescent="0.3">
      <c r="AN12812">
        <v>12808</v>
      </c>
      <c r="AO12812" s="11">
        <v>23143.15</v>
      </c>
      <c r="AP12812" s="9">
        <v>3.2378718094194001</v>
      </c>
    </row>
    <row r="12813" spans="40:42" x14ac:dyDescent="0.3">
      <c r="AN12813">
        <v>12809</v>
      </c>
      <c r="AO12813" s="11">
        <v>28991.53</v>
      </c>
      <c r="AP12813" s="9">
        <v>2.6273992911306725</v>
      </c>
    </row>
    <row r="12814" spans="40:42" x14ac:dyDescent="0.3">
      <c r="AN12814">
        <v>12810</v>
      </c>
      <c r="AO12814" s="11">
        <v>44961.38</v>
      </c>
      <c r="AP12814" s="9">
        <v>3.7563101501688876</v>
      </c>
    </row>
    <row r="12815" spans="40:42" x14ac:dyDescent="0.3">
      <c r="AN12815">
        <v>12811</v>
      </c>
      <c r="AO12815" s="11">
        <v>28176.39</v>
      </c>
      <c r="AP12815" s="9">
        <v>3.5257153053066985</v>
      </c>
    </row>
    <row r="12816" spans="40:42" x14ac:dyDescent="0.3">
      <c r="AN12816">
        <v>12812</v>
      </c>
      <c r="AO12816" s="11">
        <v>27633.54</v>
      </c>
      <c r="AP12816" s="9">
        <v>3.2081432827909766</v>
      </c>
    </row>
    <row r="12817" spans="40:42" x14ac:dyDescent="0.3">
      <c r="AN12817">
        <v>12813</v>
      </c>
      <c r="AO12817" s="11">
        <v>22299.919999999998</v>
      </c>
      <c r="AP12817" s="9">
        <v>2.9817032702125865</v>
      </c>
    </row>
    <row r="12818" spans="40:42" x14ac:dyDescent="0.3">
      <c r="AN12818">
        <v>12814</v>
      </c>
      <c r="AO12818" s="11">
        <v>28443.63</v>
      </c>
      <c r="AP12818" s="9">
        <v>4.0500380780285585</v>
      </c>
    </row>
    <row r="12819" spans="40:42" x14ac:dyDescent="0.3">
      <c r="AN12819">
        <v>12815</v>
      </c>
      <c r="AO12819" s="11">
        <v>35681.379999999997</v>
      </c>
      <c r="AP12819" s="9">
        <v>3.7100625167662495</v>
      </c>
    </row>
    <row r="12820" spans="40:42" x14ac:dyDescent="0.3">
      <c r="AN12820">
        <v>12816</v>
      </c>
      <c r="AO12820" s="11">
        <v>29251.93</v>
      </c>
      <c r="AP12820" s="9">
        <v>3.1364529357519317</v>
      </c>
    </row>
    <row r="12821" spans="40:42" x14ac:dyDescent="0.3">
      <c r="AN12821">
        <v>12817</v>
      </c>
      <c r="AO12821" s="11">
        <v>33436.43</v>
      </c>
      <c r="AP12821" s="9">
        <v>3.4100006365118829</v>
      </c>
    </row>
    <row r="12822" spans="40:42" x14ac:dyDescent="0.3">
      <c r="AN12822">
        <v>12818</v>
      </c>
      <c r="AO12822" s="11">
        <v>29284.27</v>
      </c>
      <c r="AP12822" s="9">
        <v>3.8186010729157198</v>
      </c>
    </row>
    <row r="12823" spans="40:42" x14ac:dyDescent="0.3">
      <c r="AN12823">
        <v>12819</v>
      </c>
      <c r="AO12823" s="11">
        <v>22985.11</v>
      </c>
      <c r="AP12823" s="9">
        <v>3.1402371353783942</v>
      </c>
    </row>
    <row r="12824" spans="40:42" x14ac:dyDescent="0.3">
      <c r="AN12824">
        <v>12820</v>
      </c>
      <c r="AO12824" s="11">
        <v>34764.28</v>
      </c>
      <c r="AP12824" s="9">
        <v>3.7578772695652614</v>
      </c>
    </row>
    <row r="12825" spans="40:42" x14ac:dyDescent="0.3">
      <c r="AN12825">
        <v>12821</v>
      </c>
      <c r="AO12825" s="11">
        <v>22433.9</v>
      </c>
      <c r="AP12825" s="9">
        <v>3.3010161628569232</v>
      </c>
    </row>
    <row r="12826" spans="40:42" x14ac:dyDescent="0.3">
      <c r="AN12826">
        <v>12822</v>
      </c>
      <c r="AO12826" s="11">
        <v>31809.86</v>
      </c>
      <c r="AP12826" s="9">
        <v>3.2653962304921902</v>
      </c>
    </row>
    <row r="12827" spans="40:42" x14ac:dyDescent="0.3">
      <c r="AN12827">
        <v>12823</v>
      </c>
      <c r="AO12827" s="11">
        <v>17646.91</v>
      </c>
      <c r="AP12827" s="9">
        <v>2.8483760494728454</v>
      </c>
    </row>
    <row r="12828" spans="40:42" x14ac:dyDescent="0.3">
      <c r="AN12828">
        <v>12824</v>
      </c>
      <c r="AO12828" s="11">
        <v>33153.57</v>
      </c>
      <c r="AP12828" s="9">
        <v>3.4202144863095785</v>
      </c>
    </row>
    <row r="12829" spans="40:42" x14ac:dyDescent="0.3">
      <c r="AN12829">
        <v>12825</v>
      </c>
      <c r="AO12829" s="11">
        <v>23616.3</v>
      </c>
      <c r="AP12829" s="9">
        <v>2.9319285562205626</v>
      </c>
    </row>
    <row r="12830" spans="40:42" x14ac:dyDescent="0.3">
      <c r="AN12830">
        <v>12826</v>
      </c>
      <c r="AO12830" s="11">
        <v>33871.24</v>
      </c>
      <c r="AP12830" s="9">
        <v>4.0375217334733788</v>
      </c>
    </row>
    <row r="12831" spans="40:42" x14ac:dyDescent="0.3">
      <c r="AN12831">
        <v>12827</v>
      </c>
      <c r="AO12831" s="11">
        <v>16032.89</v>
      </c>
      <c r="AP12831" s="9">
        <v>2.9341251066643612</v>
      </c>
    </row>
    <row r="12832" spans="40:42" x14ac:dyDescent="0.3">
      <c r="AN12832">
        <v>12828</v>
      </c>
      <c r="AO12832" s="11">
        <v>15045.01</v>
      </c>
      <c r="AP12832" s="9">
        <v>3.0098324643035168</v>
      </c>
    </row>
    <row r="12833" spans="40:42" x14ac:dyDescent="0.3">
      <c r="AN12833">
        <v>12829</v>
      </c>
      <c r="AO12833" s="11">
        <v>37495.230000000003</v>
      </c>
      <c r="AP12833" s="9">
        <v>3.4457181639816059</v>
      </c>
    </row>
    <row r="12834" spans="40:42" x14ac:dyDescent="0.3">
      <c r="AN12834">
        <v>12830</v>
      </c>
      <c r="AO12834" s="11">
        <v>28440.12</v>
      </c>
      <c r="AP12834" s="9">
        <v>3.4333105018937569</v>
      </c>
    </row>
    <row r="12835" spans="40:42" x14ac:dyDescent="0.3">
      <c r="AN12835">
        <v>12831</v>
      </c>
      <c r="AO12835" s="11">
        <v>28338.92</v>
      </c>
      <c r="AP12835" s="9">
        <v>3.7687349155586358</v>
      </c>
    </row>
    <row r="12836" spans="40:42" x14ac:dyDescent="0.3">
      <c r="AN12836">
        <v>12832</v>
      </c>
      <c r="AO12836" s="11">
        <v>20924.89</v>
      </c>
      <c r="AP12836" s="9">
        <v>2.9997148954157176</v>
      </c>
    </row>
    <row r="12837" spans="40:42" x14ac:dyDescent="0.3">
      <c r="AN12837">
        <v>12833</v>
      </c>
      <c r="AO12837" s="11">
        <v>35556.089999999997</v>
      </c>
      <c r="AP12837" s="9">
        <v>3.6210346046005832</v>
      </c>
    </row>
    <row r="12838" spans="40:42" x14ac:dyDescent="0.3">
      <c r="AN12838">
        <v>12834</v>
      </c>
      <c r="AO12838" s="11">
        <v>32592.68</v>
      </c>
      <c r="AP12838" s="9">
        <v>3.5662574127425879</v>
      </c>
    </row>
    <row r="12839" spans="40:42" x14ac:dyDescent="0.3">
      <c r="AN12839">
        <v>12835</v>
      </c>
      <c r="AO12839" s="11">
        <v>28951.56</v>
      </c>
      <c r="AP12839" s="9">
        <v>3.2504577944661226</v>
      </c>
    </row>
    <row r="12840" spans="40:42" x14ac:dyDescent="0.3">
      <c r="AN12840">
        <v>12836</v>
      </c>
      <c r="AO12840" s="11">
        <v>22338.68</v>
      </c>
      <c r="AP12840" s="9">
        <v>3.2084138876342156</v>
      </c>
    </row>
    <row r="12841" spans="40:42" x14ac:dyDescent="0.3">
      <c r="AN12841">
        <v>12837</v>
      </c>
      <c r="AO12841" s="11">
        <v>37406.620000000003</v>
      </c>
      <c r="AP12841" s="9">
        <v>3.6503378562262876</v>
      </c>
    </row>
    <row r="12842" spans="40:42" x14ac:dyDescent="0.3">
      <c r="AN12842">
        <v>12838</v>
      </c>
      <c r="AO12842" s="11">
        <v>31815.279999999999</v>
      </c>
      <c r="AP12842" s="9">
        <v>3.9185984177589219</v>
      </c>
    </row>
    <row r="12843" spans="40:42" x14ac:dyDescent="0.3">
      <c r="AN12843">
        <v>12839</v>
      </c>
      <c r="AO12843" s="11">
        <v>27780.29</v>
      </c>
      <c r="AP12843" s="9">
        <v>3.2670925648020042</v>
      </c>
    </row>
    <row r="12844" spans="40:42" x14ac:dyDescent="0.3">
      <c r="AN12844">
        <v>12840</v>
      </c>
      <c r="AO12844" s="11">
        <v>30305.73</v>
      </c>
      <c r="AP12844" s="9">
        <v>3.524201948581652</v>
      </c>
    </row>
    <row r="12845" spans="40:42" x14ac:dyDescent="0.3">
      <c r="AN12845">
        <v>12841</v>
      </c>
      <c r="AO12845" s="11">
        <v>28527.39</v>
      </c>
      <c r="AP12845" s="9">
        <v>3.7985683670340595</v>
      </c>
    </row>
    <row r="12846" spans="40:42" x14ac:dyDescent="0.3">
      <c r="AN12846">
        <v>12842</v>
      </c>
      <c r="AO12846" s="11">
        <v>19938.84</v>
      </c>
      <c r="AP12846" s="9">
        <v>3.1438774801625837</v>
      </c>
    </row>
    <row r="12847" spans="40:42" x14ac:dyDescent="0.3">
      <c r="AN12847">
        <v>12843</v>
      </c>
      <c r="AO12847" s="11">
        <v>31191.53</v>
      </c>
      <c r="AP12847" s="9">
        <v>3.5290709496653467</v>
      </c>
    </row>
    <row r="12848" spans="40:42" x14ac:dyDescent="0.3">
      <c r="AN12848">
        <v>12844</v>
      </c>
      <c r="AO12848" s="11">
        <v>28210.55</v>
      </c>
      <c r="AP12848" s="9">
        <v>3.0173333616189209</v>
      </c>
    </row>
    <row r="12849" spans="40:42" x14ac:dyDescent="0.3">
      <c r="AN12849">
        <v>12845</v>
      </c>
      <c r="AO12849" s="11">
        <v>25741.77</v>
      </c>
      <c r="AP12849" s="9">
        <v>2.8659003478311877</v>
      </c>
    </row>
    <row r="12850" spans="40:42" x14ac:dyDescent="0.3">
      <c r="AN12850">
        <v>12846</v>
      </c>
      <c r="AO12850" s="11">
        <v>26843.94</v>
      </c>
      <c r="AP12850" s="9">
        <v>2.9441321319705684</v>
      </c>
    </row>
    <row r="12851" spans="40:42" x14ac:dyDescent="0.3">
      <c r="AN12851">
        <v>12847</v>
      </c>
      <c r="AO12851" s="11">
        <v>21856.09</v>
      </c>
      <c r="AP12851" s="9">
        <v>2.9424963022542219</v>
      </c>
    </row>
    <row r="12852" spans="40:42" x14ac:dyDescent="0.3">
      <c r="AN12852">
        <v>12848</v>
      </c>
      <c r="AO12852" s="11">
        <v>24097.23</v>
      </c>
      <c r="AP12852" s="9">
        <v>3.3327774778811201</v>
      </c>
    </row>
    <row r="12853" spans="40:42" x14ac:dyDescent="0.3">
      <c r="AN12853">
        <v>12849</v>
      </c>
      <c r="AO12853" s="11">
        <v>27331.279999999999</v>
      </c>
      <c r="AP12853" s="9">
        <v>2.9781975921369397</v>
      </c>
    </row>
    <row r="12854" spans="40:42" x14ac:dyDescent="0.3">
      <c r="AN12854">
        <v>12850</v>
      </c>
      <c r="AO12854" s="11">
        <v>35142.6</v>
      </c>
      <c r="AP12854" s="9">
        <v>3.6291927782686808</v>
      </c>
    </row>
    <row r="12855" spans="40:42" x14ac:dyDescent="0.3">
      <c r="AN12855">
        <v>12851</v>
      </c>
      <c r="AO12855" s="11">
        <v>27419.09</v>
      </c>
      <c r="AP12855" s="9">
        <v>3.2477534197620392</v>
      </c>
    </row>
    <row r="12856" spans="40:42" x14ac:dyDescent="0.3">
      <c r="AN12856">
        <v>12852</v>
      </c>
      <c r="AO12856" s="11">
        <v>20642.580000000002</v>
      </c>
      <c r="AP12856" s="9">
        <v>3.0356273235928857</v>
      </c>
    </row>
    <row r="12857" spans="40:42" x14ac:dyDescent="0.3">
      <c r="AN12857">
        <v>12853</v>
      </c>
      <c r="AO12857" s="11">
        <v>16230.14</v>
      </c>
      <c r="AP12857" s="9">
        <v>3.6283259107747465</v>
      </c>
    </row>
    <row r="12858" spans="40:42" x14ac:dyDescent="0.3">
      <c r="AN12858">
        <v>12854</v>
      </c>
      <c r="AO12858" s="11">
        <v>19231.27</v>
      </c>
      <c r="AP12858" s="9">
        <v>2.8249330857613795</v>
      </c>
    </row>
    <row r="12859" spans="40:42" x14ac:dyDescent="0.3">
      <c r="AN12859">
        <v>12855</v>
      </c>
      <c r="AO12859" s="11">
        <v>30757.02</v>
      </c>
      <c r="AP12859" s="9">
        <v>3.4738150626789035</v>
      </c>
    </row>
    <row r="12860" spans="40:42" x14ac:dyDescent="0.3">
      <c r="AN12860">
        <v>12856</v>
      </c>
      <c r="AO12860" s="11">
        <v>20527.009999999998</v>
      </c>
      <c r="AP12860" s="9">
        <v>2.6606456365571223</v>
      </c>
    </row>
    <row r="12861" spans="40:42" x14ac:dyDescent="0.3">
      <c r="AN12861">
        <v>12857</v>
      </c>
      <c r="AO12861" s="11">
        <v>27873.93</v>
      </c>
      <c r="AP12861" s="9">
        <v>3.1707886009656621</v>
      </c>
    </row>
    <row r="12862" spans="40:42" x14ac:dyDescent="0.3">
      <c r="AN12862">
        <v>12858</v>
      </c>
      <c r="AO12862" s="11">
        <v>24597.93</v>
      </c>
      <c r="AP12862" s="9">
        <v>3.1385839904710111</v>
      </c>
    </row>
    <row r="12863" spans="40:42" x14ac:dyDescent="0.3">
      <c r="AN12863">
        <v>12859</v>
      </c>
      <c r="AO12863" s="11">
        <v>21782.720000000001</v>
      </c>
      <c r="AP12863" s="9">
        <v>2.9332734515032532</v>
      </c>
    </row>
    <row r="12864" spans="40:42" x14ac:dyDescent="0.3">
      <c r="AN12864">
        <v>12860</v>
      </c>
      <c r="AO12864" s="11">
        <v>28388.41</v>
      </c>
      <c r="AP12864" s="9">
        <v>3.7284832480002672</v>
      </c>
    </row>
    <row r="12865" spans="40:42" x14ac:dyDescent="0.3">
      <c r="AN12865">
        <v>12861</v>
      </c>
      <c r="AO12865" s="11">
        <v>35883.57</v>
      </c>
      <c r="AP12865" s="9">
        <v>3.5478579450639756</v>
      </c>
    </row>
    <row r="12866" spans="40:42" x14ac:dyDescent="0.3">
      <c r="AN12866">
        <v>12862</v>
      </c>
      <c r="AO12866" s="11">
        <v>23215.97</v>
      </c>
      <c r="AP12866" s="9">
        <v>3.310668524129714</v>
      </c>
    </row>
    <row r="12867" spans="40:42" x14ac:dyDescent="0.3">
      <c r="AN12867">
        <v>12863</v>
      </c>
      <c r="AO12867" s="11">
        <v>22724.35</v>
      </c>
      <c r="AP12867" s="9">
        <v>3.6299836740851799</v>
      </c>
    </row>
    <row r="12868" spans="40:42" x14ac:dyDescent="0.3">
      <c r="AN12868">
        <v>12864</v>
      </c>
      <c r="AO12868" s="11">
        <v>25742.080000000002</v>
      </c>
      <c r="AP12868" s="9">
        <v>2.8493879862722524</v>
      </c>
    </row>
    <row r="12869" spans="40:42" x14ac:dyDescent="0.3">
      <c r="AN12869">
        <v>12865</v>
      </c>
      <c r="AO12869" s="11">
        <v>28825.88</v>
      </c>
      <c r="AP12869" s="9">
        <v>3.5378907924423411</v>
      </c>
    </row>
    <row r="12870" spans="40:42" x14ac:dyDescent="0.3">
      <c r="AN12870">
        <v>12866</v>
      </c>
      <c r="AO12870" s="11">
        <v>19390.32</v>
      </c>
      <c r="AP12870" s="9">
        <v>2.8334272341849478</v>
      </c>
    </row>
    <row r="12871" spans="40:42" x14ac:dyDescent="0.3">
      <c r="AN12871">
        <v>12867</v>
      </c>
      <c r="AO12871" s="11">
        <v>21338.05</v>
      </c>
      <c r="AP12871" s="9">
        <v>2.9240097767236559</v>
      </c>
    </row>
    <row r="12872" spans="40:42" x14ac:dyDescent="0.3">
      <c r="AN12872">
        <v>12868</v>
      </c>
      <c r="AO12872" s="11">
        <v>37356.53</v>
      </c>
      <c r="AP12872" s="9">
        <v>3.4142613322438713</v>
      </c>
    </row>
    <row r="12873" spans="40:42" x14ac:dyDescent="0.3">
      <c r="AN12873">
        <v>12869</v>
      </c>
      <c r="AO12873" s="11">
        <v>18323.88</v>
      </c>
      <c r="AP12873" s="9">
        <v>3.0916910632391805</v>
      </c>
    </row>
    <row r="12874" spans="40:42" x14ac:dyDescent="0.3">
      <c r="AN12874">
        <v>12870</v>
      </c>
      <c r="AO12874" s="11">
        <v>27735.93</v>
      </c>
      <c r="AP12874" s="9">
        <v>3.810768055087991</v>
      </c>
    </row>
    <row r="12875" spans="40:42" x14ac:dyDescent="0.3">
      <c r="AN12875">
        <v>12871</v>
      </c>
      <c r="AO12875" s="11">
        <v>34658.06</v>
      </c>
      <c r="AP12875" s="9">
        <v>3.3716229853496733</v>
      </c>
    </row>
    <row r="12876" spans="40:42" x14ac:dyDescent="0.3">
      <c r="AN12876">
        <v>12872</v>
      </c>
      <c r="AO12876" s="11">
        <v>17779.39</v>
      </c>
      <c r="AP12876" s="9">
        <v>2.7750206659934471</v>
      </c>
    </row>
    <row r="12877" spans="40:42" x14ac:dyDescent="0.3">
      <c r="AN12877">
        <v>12873</v>
      </c>
      <c r="AO12877" s="11">
        <v>32743.02</v>
      </c>
      <c r="AP12877" s="9">
        <v>3.0483238384884008</v>
      </c>
    </row>
    <row r="12878" spans="40:42" x14ac:dyDescent="0.3">
      <c r="AN12878">
        <v>12874</v>
      </c>
      <c r="AO12878" s="11">
        <v>24654.49</v>
      </c>
      <c r="AP12878" s="9">
        <v>3.8252935209789793</v>
      </c>
    </row>
    <row r="12879" spans="40:42" x14ac:dyDescent="0.3">
      <c r="AN12879">
        <v>12875</v>
      </c>
      <c r="AO12879" s="11">
        <v>29744.76</v>
      </c>
      <c r="AP12879" s="9">
        <v>3.6364643570820894</v>
      </c>
    </row>
    <row r="12880" spans="40:42" x14ac:dyDescent="0.3">
      <c r="AN12880">
        <v>12876</v>
      </c>
      <c r="AO12880" s="11">
        <v>33430.239999999998</v>
      </c>
      <c r="AP12880" s="9">
        <v>3.4838626566370428</v>
      </c>
    </row>
    <row r="12881" spans="40:42" x14ac:dyDescent="0.3">
      <c r="AN12881">
        <v>12877</v>
      </c>
      <c r="AO12881" s="11">
        <v>39221.910000000003</v>
      </c>
      <c r="AP12881" s="9">
        <v>3.1321383621260259</v>
      </c>
    </row>
    <row r="12882" spans="40:42" x14ac:dyDescent="0.3">
      <c r="AN12882">
        <v>12878</v>
      </c>
      <c r="AO12882" s="11">
        <v>13580.37</v>
      </c>
      <c r="AP12882" s="9">
        <v>3.3476070323823222</v>
      </c>
    </row>
    <row r="12883" spans="40:42" x14ac:dyDescent="0.3">
      <c r="AN12883">
        <v>12879</v>
      </c>
      <c r="AO12883" s="11">
        <v>19959.12</v>
      </c>
      <c r="AP12883" s="9">
        <v>3.5447202540038152</v>
      </c>
    </row>
    <row r="12884" spans="40:42" x14ac:dyDescent="0.3">
      <c r="AN12884">
        <v>12880</v>
      </c>
      <c r="AO12884" s="11">
        <v>15850.16</v>
      </c>
      <c r="AP12884" s="9">
        <v>4.1902669511005275</v>
      </c>
    </row>
    <row r="12885" spans="40:42" x14ac:dyDescent="0.3">
      <c r="AN12885">
        <v>12881</v>
      </c>
      <c r="AO12885" s="11">
        <v>39920.620000000003</v>
      </c>
      <c r="AP12885" s="9">
        <v>4.3759560905366319</v>
      </c>
    </row>
    <row r="12886" spans="40:42" x14ac:dyDescent="0.3">
      <c r="AN12886">
        <v>12882</v>
      </c>
      <c r="AO12886" s="11">
        <v>27796.45</v>
      </c>
      <c r="AP12886" s="9">
        <v>3.2481256567752319</v>
      </c>
    </row>
    <row r="12887" spans="40:42" x14ac:dyDescent="0.3">
      <c r="AN12887">
        <v>12883</v>
      </c>
      <c r="AO12887" s="11">
        <v>24791.31</v>
      </c>
      <c r="AP12887" s="9">
        <v>3.4919898432373935</v>
      </c>
    </row>
    <row r="12888" spans="40:42" x14ac:dyDescent="0.3">
      <c r="AN12888">
        <v>12884</v>
      </c>
      <c r="AO12888" s="11">
        <v>26197.040000000001</v>
      </c>
      <c r="AP12888" s="9">
        <v>3.3230675379832872</v>
      </c>
    </row>
    <row r="12889" spans="40:42" x14ac:dyDescent="0.3">
      <c r="AN12889">
        <v>12885</v>
      </c>
      <c r="AO12889" s="11">
        <v>39162.559999999998</v>
      </c>
      <c r="AP12889" s="9">
        <v>3.159135810941232</v>
      </c>
    </row>
    <row r="12890" spans="40:42" x14ac:dyDescent="0.3">
      <c r="AN12890">
        <v>12886</v>
      </c>
      <c r="AO12890" s="11">
        <v>18220.7</v>
      </c>
      <c r="AP12890" s="9">
        <v>3.6009807670340885</v>
      </c>
    </row>
    <row r="12891" spans="40:42" x14ac:dyDescent="0.3">
      <c r="AN12891">
        <v>12887</v>
      </c>
      <c r="AO12891" s="11">
        <v>23747.68</v>
      </c>
      <c r="AP12891" s="9">
        <v>3.5930154666508143</v>
      </c>
    </row>
    <row r="12892" spans="40:42" x14ac:dyDescent="0.3">
      <c r="AN12892">
        <v>12888</v>
      </c>
      <c r="AO12892" s="11">
        <v>29641.39</v>
      </c>
      <c r="AP12892" s="9">
        <v>3.6167268273112696</v>
      </c>
    </row>
    <row r="12893" spans="40:42" x14ac:dyDescent="0.3">
      <c r="AN12893">
        <v>12889</v>
      </c>
      <c r="AO12893" s="11">
        <v>33907.68</v>
      </c>
      <c r="AP12893" s="9">
        <v>3.2362614512207482</v>
      </c>
    </row>
    <row r="12894" spans="40:42" x14ac:dyDescent="0.3">
      <c r="AN12894">
        <v>12890</v>
      </c>
      <c r="AO12894" s="11">
        <v>19250.939999999999</v>
      </c>
      <c r="AP12894" s="9">
        <v>3.0972028713920676</v>
      </c>
    </row>
    <row r="12895" spans="40:42" x14ac:dyDescent="0.3">
      <c r="AN12895">
        <v>12891</v>
      </c>
      <c r="AO12895" s="11">
        <v>31982.38</v>
      </c>
      <c r="AP12895" s="9">
        <v>3.0699711021534677</v>
      </c>
    </row>
    <row r="12896" spans="40:42" x14ac:dyDescent="0.3">
      <c r="AN12896">
        <v>12892</v>
      </c>
      <c r="AO12896" s="11">
        <v>35008.33</v>
      </c>
      <c r="AP12896" s="9">
        <v>5.1268040686196246</v>
      </c>
    </row>
    <row r="12897" spans="40:42" x14ac:dyDescent="0.3">
      <c r="AN12897">
        <v>12893</v>
      </c>
      <c r="AO12897" s="11">
        <v>20147.759999999998</v>
      </c>
      <c r="AP12897" s="9">
        <v>3.4540061184135022</v>
      </c>
    </row>
    <row r="12898" spans="40:42" x14ac:dyDescent="0.3">
      <c r="AN12898">
        <v>12894</v>
      </c>
      <c r="AO12898" s="11">
        <v>29501.61</v>
      </c>
      <c r="AP12898" s="9">
        <v>3.6511989635637576</v>
      </c>
    </row>
    <row r="12899" spans="40:42" x14ac:dyDescent="0.3">
      <c r="AN12899">
        <v>12895</v>
      </c>
      <c r="AO12899" s="11">
        <v>31934.41</v>
      </c>
      <c r="AP12899" s="9">
        <v>4.2419334496602152</v>
      </c>
    </row>
    <row r="12900" spans="40:42" x14ac:dyDescent="0.3">
      <c r="AN12900">
        <v>12896</v>
      </c>
      <c r="AO12900" s="11">
        <v>33208.29</v>
      </c>
      <c r="AP12900" s="9">
        <v>3.4349195772643832</v>
      </c>
    </row>
    <row r="12901" spans="40:42" x14ac:dyDescent="0.3">
      <c r="AN12901">
        <v>12897</v>
      </c>
      <c r="AO12901" s="11">
        <v>38205.15</v>
      </c>
      <c r="AP12901" s="9">
        <v>3.1892028655827489</v>
      </c>
    </row>
    <row r="12902" spans="40:42" x14ac:dyDescent="0.3">
      <c r="AN12902">
        <v>12898</v>
      </c>
      <c r="AO12902" s="11">
        <v>41474.94</v>
      </c>
      <c r="AP12902" s="9">
        <v>3.3961643600841973</v>
      </c>
    </row>
    <row r="12903" spans="40:42" x14ac:dyDescent="0.3">
      <c r="AN12903">
        <v>12899</v>
      </c>
      <c r="AO12903" s="11">
        <v>37567.269999999997</v>
      </c>
      <c r="AP12903" s="9">
        <v>3.455363863569588</v>
      </c>
    </row>
    <row r="12904" spans="40:42" x14ac:dyDescent="0.3">
      <c r="AN12904">
        <v>12900</v>
      </c>
      <c r="AO12904" s="11">
        <v>33210.58</v>
      </c>
      <c r="AP12904" s="9">
        <v>4.2705420012682724</v>
      </c>
    </row>
    <row r="12905" spans="40:42" x14ac:dyDescent="0.3">
      <c r="AN12905">
        <v>12901</v>
      </c>
      <c r="AO12905" s="11">
        <v>19859.240000000002</v>
      </c>
      <c r="AP12905" s="9">
        <v>3.0482829596381511</v>
      </c>
    </row>
    <row r="12906" spans="40:42" x14ac:dyDescent="0.3">
      <c r="AN12906">
        <v>12902</v>
      </c>
      <c r="AO12906" s="11">
        <v>22937.66</v>
      </c>
      <c r="AP12906" s="9">
        <v>3.4851475399632821</v>
      </c>
    </row>
    <row r="12907" spans="40:42" x14ac:dyDescent="0.3">
      <c r="AN12907">
        <v>12903</v>
      </c>
      <c r="AO12907" s="11">
        <v>29279.14</v>
      </c>
      <c r="AP12907" s="9">
        <v>3.130617209604992</v>
      </c>
    </row>
    <row r="12908" spans="40:42" x14ac:dyDescent="0.3">
      <c r="AN12908">
        <v>12904</v>
      </c>
      <c r="AO12908" s="11">
        <v>23738.94</v>
      </c>
      <c r="AP12908" s="9">
        <v>3.5553397042533685</v>
      </c>
    </row>
    <row r="12909" spans="40:42" x14ac:dyDescent="0.3">
      <c r="AN12909">
        <v>12905</v>
      </c>
      <c r="AO12909" s="11">
        <v>40546.47</v>
      </c>
      <c r="AP12909" s="9">
        <v>3.7356044309770229</v>
      </c>
    </row>
    <row r="12910" spans="40:42" x14ac:dyDescent="0.3">
      <c r="AN12910">
        <v>12906</v>
      </c>
      <c r="AO12910" s="11">
        <v>23844.080000000002</v>
      </c>
      <c r="AP12910" s="9">
        <v>3.6853165433949102</v>
      </c>
    </row>
    <row r="12911" spans="40:42" x14ac:dyDescent="0.3">
      <c r="AN12911">
        <v>12907</v>
      </c>
      <c r="AO12911" s="11">
        <v>18796.169999999998</v>
      </c>
      <c r="AP12911" s="9">
        <v>2.6231558046475327</v>
      </c>
    </row>
    <row r="12912" spans="40:42" x14ac:dyDescent="0.3">
      <c r="AN12912">
        <v>12908</v>
      </c>
      <c r="AO12912" s="11">
        <v>22822.68</v>
      </c>
      <c r="AP12912" s="9">
        <v>3.6929292953582604</v>
      </c>
    </row>
    <row r="12913" spans="40:42" x14ac:dyDescent="0.3">
      <c r="AN12913">
        <v>12909</v>
      </c>
      <c r="AO12913" s="11">
        <v>18826.04</v>
      </c>
      <c r="AP12913" s="9">
        <v>3.4074488855171667</v>
      </c>
    </row>
    <row r="12914" spans="40:42" x14ac:dyDescent="0.3">
      <c r="AN12914">
        <v>12910</v>
      </c>
      <c r="AO12914" s="11">
        <v>19718.080000000002</v>
      </c>
      <c r="AP12914" s="9">
        <v>2.9805648999384533</v>
      </c>
    </row>
    <row r="12915" spans="40:42" x14ac:dyDescent="0.3">
      <c r="AN12915">
        <v>12911</v>
      </c>
      <c r="AO12915" s="11">
        <v>17222.29</v>
      </c>
      <c r="AP12915" s="9">
        <v>3.5738237374193242</v>
      </c>
    </row>
    <row r="12916" spans="40:42" x14ac:dyDescent="0.3">
      <c r="AN12916">
        <v>12912</v>
      </c>
      <c r="AO12916" s="11">
        <v>23625.24</v>
      </c>
      <c r="AP12916" s="9">
        <v>3.365222706621013</v>
      </c>
    </row>
    <row r="12917" spans="40:42" x14ac:dyDescent="0.3">
      <c r="AN12917">
        <v>12913</v>
      </c>
      <c r="AO12917" s="11">
        <v>22963.83</v>
      </c>
      <c r="AP12917" s="9">
        <v>3.4916504831851629</v>
      </c>
    </row>
    <row r="12918" spans="40:42" x14ac:dyDescent="0.3">
      <c r="AN12918">
        <v>12914</v>
      </c>
      <c r="AO12918" s="11">
        <v>25719.38</v>
      </c>
      <c r="AP12918" s="9">
        <v>3.7118255270541383</v>
      </c>
    </row>
    <row r="12919" spans="40:42" x14ac:dyDescent="0.3">
      <c r="AN12919">
        <v>12915</v>
      </c>
      <c r="AO12919" s="11">
        <v>23781.48</v>
      </c>
      <c r="AP12919" s="9">
        <v>3.1175974285147761</v>
      </c>
    </row>
    <row r="12920" spans="40:42" x14ac:dyDescent="0.3">
      <c r="AN12920">
        <v>12916</v>
      </c>
      <c r="AO12920" s="11">
        <v>26902.65</v>
      </c>
      <c r="AP12920" s="9">
        <v>3.6640787365516334</v>
      </c>
    </row>
    <row r="12921" spans="40:42" x14ac:dyDescent="0.3">
      <c r="AN12921">
        <v>12917</v>
      </c>
      <c r="AO12921" s="11">
        <v>29136.720000000001</v>
      </c>
      <c r="AP12921" s="9">
        <v>3.5021137999593646</v>
      </c>
    </row>
    <row r="12922" spans="40:42" x14ac:dyDescent="0.3">
      <c r="AN12922">
        <v>12918</v>
      </c>
      <c r="AO12922" s="11">
        <v>43394.05</v>
      </c>
      <c r="AP12922" s="9">
        <v>3.6721228050270405</v>
      </c>
    </row>
    <row r="12923" spans="40:42" x14ac:dyDescent="0.3">
      <c r="AN12923">
        <v>12919</v>
      </c>
      <c r="AO12923" s="11">
        <v>33955.46</v>
      </c>
      <c r="AP12923" s="9">
        <v>3.3166008328660337</v>
      </c>
    </row>
    <row r="12924" spans="40:42" x14ac:dyDescent="0.3">
      <c r="AN12924">
        <v>12920</v>
      </c>
      <c r="AO12924" s="11">
        <v>18337.86</v>
      </c>
      <c r="AP12924" s="9">
        <v>2.6579213326460565</v>
      </c>
    </row>
    <row r="12925" spans="40:42" x14ac:dyDescent="0.3">
      <c r="AN12925">
        <v>12921</v>
      </c>
      <c r="AO12925" s="11">
        <v>19192.27</v>
      </c>
      <c r="AP12925" s="9">
        <v>3.2649735436741936</v>
      </c>
    </row>
    <row r="12926" spans="40:42" x14ac:dyDescent="0.3">
      <c r="AN12926">
        <v>12922</v>
      </c>
      <c r="AO12926" s="11">
        <v>19344.919999999998</v>
      </c>
      <c r="AP12926" s="9">
        <v>3.0661358502472646</v>
      </c>
    </row>
    <row r="12927" spans="40:42" x14ac:dyDescent="0.3">
      <c r="AN12927">
        <v>12923</v>
      </c>
      <c r="AO12927" s="11">
        <v>19988.48</v>
      </c>
      <c r="AP12927" s="9">
        <v>3.3600226854196924</v>
      </c>
    </row>
    <row r="12928" spans="40:42" x14ac:dyDescent="0.3">
      <c r="AN12928">
        <v>12924</v>
      </c>
      <c r="AO12928" s="11">
        <v>22669.759999999998</v>
      </c>
      <c r="AP12928" s="9">
        <v>2.6755140885900031</v>
      </c>
    </row>
    <row r="12929" spans="40:42" x14ac:dyDescent="0.3">
      <c r="AN12929">
        <v>12925</v>
      </c>
      <c r="AO12929" s="11">
        <v>15511.63</v>
      </c>
      <c r="AP12929" s="9">
        <v>2.9031798080915645</v>
      </c>
    </row>
    <row r="12930" spans="40:42" x14ac:dyDescent="0.3">
      <c r="AN12930">
        <v>12926</v>
      </c>
      <c r="AO12930" s="11">
        <v>37109.56</v>
      </c>
      <c r="AP12930" s="9">
        <v>3.294462547671841</v>
      </c>
    </row>
    <row r="12931" spans="40:42" x14ac:dyDescent="0.3">
      <c r="AN12931">
        <v>12927</v>
      </c>
      <c r="AO12931" s="11">
        <v>43487.59</v>
      </c>
      <c r="AP12931" s="9">
        <v>4.8675668843425175</v>
      </c>
    </row>
    <row r="12932" spans="40:42" x14ac:dyDescent="0.3">
      <c r="AN12932">
        <v>12928</v>
      </c>
      <c r="AO12932" s="11">
        <v>24128.99</v>
      </c>
      <c r="AP12932" s="9">
        <v>3.3578798137777297</v>
      </c>
    </row>
    <row r="12933" spans="40:42" x14ac:dyDescent="0.3">
      <c r="AN12933">
        <v>12929</v>
      </c>
      <c r="AO12933" s="11">
        <v>32981.79</v>
      </c>
      <c r="AP12933" s="9">
        <v>3.3914147138532282</v>
      </c>
    </row>
    <row r="12934" spans="40:42" x14ac:dyDescent="0.3">
      <c r="AN12934">
        <v>12930</v>
      </c>
      <c r="AO12934" s="11">
        <v>21202.34</v>
      </c>
      <c r="AP12934" s="9">
        <v>3.1847297311087908</v>
      </c>
    </row>
    <row r="12935" spans="40:42" x14ac:dyDescent="0.3">
      <c r="AN12935">
        <v>12931</v>
      </c>
      <c r="AO12935" s="11">
        <v>19280.810000000001</v>
      </c>
      <c r="AP12935" s="9">
        <v>3.4002617324104922</v>
      </c>
    </row>
    <row r="12936" spans="40:42" x14ac:dyDescent="0.3">
      <c r="AN12936">
        <v>12932</v>
      </c>
      <c r="AO12936" s="11">
        <v>22648.02</v>
      </c>
      <c r="AP12936" s="9">
        <v>2.8539765233142345</v>
      </c>
    </row>
    <row r="12937" spans="40:42" x14ac:dyDescent="0.3">
      <c r="AN12937">
        <v>12933</v>
      </c>
      <c r="AO12937" s="11">
        <v>31141</v>
      </c>
      <c r="AP12937" s="9">
        <v>3.400300245590818</v>
      </c>
    </row>
    <row r="12938" spans="40:42" x14ac:dyDescent="0.3">
      <c r="AN12938">
        <v>12934</v>
      </c>
      <c r="AO12938" s="11">
        <v>21228.78</v>
      </c>
      <c r="AP12938" s="9">
        <v>3.6177194069510898</v>
      </c>
    </row>
    <row r="12939" spans="40:42" x14ac:dyDescent="0.3">
      <c r="AN12939">
        <v>12935</v>
      </c>
      <c r="AO12939" s="11">
        <v>25443.14</v>
      </c>
      <c r="AP12939" s="9">
        <v>3.4253711783929619</v>
      </c>
    </row>
    <row r="12940" spans="40:42" x14ac:dyDescent="0.3">
      <c r="AN12940">
        <v>12936</v>
      </c>
      <c r="AO12940" s="11">
        <v>23389.66</v>
      </c>
      <c r="AP12940" s="9">
        <v>3.4002566374936336</v>
      </c>
    </row>
    <row r="12941" spans="40:42" x14ac:dyDescent="0.3">
      <c r="AN12941">
        <v>12937</v>
      </c>
      <c r="AO12941" s="11">
        <v>26438.93</v>
      </c>
      <c r="AP12941" s="9">
        <v>3.7034573486985241</v>
      </c>
    </row>
    <row r="12942" spans="40:42" x14ac:dyDescent="0.3">
      <c r="AN12942">
        <v>12938</v>
      </c>
      <c r="AO12942" s="11">
        <v>17394.330000000002</v>
      </c>
      <c r="AP12942" s="9">
        <v>3.5336100468246232</v>
      </c>
    </row>
    <row r="12943" spans="40:42" x14ac:dyDescent="0.3">
      <c r="AN12943">
        <v>12939</v>
      </c>
      <c r="AO12943" s="11">
        <v>19655.169999999998</v>
      </c>
      <c r="AP12943" s="9">
        <v>3.1037118949482085</v>
      </c>
    </row>
    <row r="12944" spans="40:42" x14ac:dyDescent="0.3">
      <c r="AN12944">
        <v>12940</v>
      </c>
      <c r="AO12944" s="11">
        <v>21638.61</v>
      </c>
      <c r="AP12944" s="9">
        <v>3.6105923814909544</v>
      </c>
    </row>
    <row r="12945" spans="40:42" x14ac:dyDescent="0.3">
      <c r="AN12945">
        <v>12941</v>
      </c>
      <c r="AO12945" s="11">
        <v>26859.37</v>
      </c>
      <c r="AP12945" s="9">
        <v>3.3299053652000059</v>
      </c>
    </row>
    <row r="12946" spans="40:42" x14ac:dyDescent="0.3">
      <c r="AN12946">
        <v>12942</v>
      </c>
      <c r="AO12946" s="11">
        <v>23977.8</v>
      </c>
      <c r="AP12946" s="9">
        <v>2.6863959124403451</v>
      </c>
    </row>
    <row r="12947" spans="40:42" x14ac:dyDescent="0.3">
      <c r="AN12947">
        <v>12943</v>
      </c>
      <c r="AO12947" s="11">
        <v>28573.18</v>
      </c>
      <c r="AP12947" s="9">
        <v>3.0978624823473631</v>
      </c>
    </row>
    <row r="12948" spans="40:42" x14ac:dyDescent="0.3">
      <c r="AN12948">
        <v>12944</v>
      </c>
      <c r="AO12948" s="11">
        <v>31069.41</v>
      </c>
      <c r="AP12948" s="9">
        <v>3.8851170197896994</v>
      </c>
    </row>
    <row r="12949" spans="40:42" x14ac:dyDescent="0.3">
      <c r="AN12949">
        <v>12945</v>
      </c>
      <c r="AO12949" s="11">
        <v>21799.53</v>
      </c>
      <c r="AP12949" s="9">
        <v>3.335559420658742</v>
      </c>
    </row>
    <row r="12950" spans="40:42" x14ac:dyDescent="0.3">
      <c r="AN12950">
        <v>12946</v>
      </c>
      <c r="AO12950" s="11">
        <v>24394.41</v>
      </c>
      <c r="AP12950" s="9">
        <v>3.2281735630269193</v>
      </c>
    </row>
    <row r="12951" spans="40:42" x14ac:dyDescent="0.3">
      <c r="AN12951">
        <v>12947</v>
      </c>
      <c r="AO12951" s="11">
        <v>21157.94</v>
      </c>
      <c r="AP12951" s="9">
        <v>3.6947813393542663</v>
      </c>
    </row>
    <row r="12952" spans="40:42" x14ac:dyDescent="0.3">
      <c r="AN12952">
        <v>12948</v>
      </c>
      <c r="AO12952" s="11">
        <v>31822.07</v>
      </c>
      <c r="AP12952" s="9">
        <v>3.1680817407968784</v>
      </c>
    </row>
    <row r="12953" spans="40:42" x14ac:dyDescent="0.3">
      <c r="AN12953">
        <v>12949</v>
      </c>
      <c r="AO12953" s="11">
        <v>13015.24</v>
      </c>
      <c r="AP12953" s="9">
        <v>2.6807035108928683</v>
      </c>
    </row>
    <row r="12954" spans="40:42" x14ac:dyDescent="0.3">
      <c r="AN12954">
        <v>12950</v>
      </c>
      <c r="AO12954" s="11">
        <v>22213.38</v>
      </c>
      <c r="AP12954" s="9">
        <v>3.2403818436280769</v>
      </c>
    </row>
    <row r="12955" spans="40:42" x14ac:dyDescent="0.3">
      <c r="AN12955">
        <v>12951</v>
      </c>
      <c r="AO12955" s="11">
        <v>20876.830000000002</v>
      </c>
      <c r="AP12955" s="9">
        <v>3.7663323178846593</v>
      </c>
    </row>
    <row r="12956" spans="40:42" x14ac:dyDescent="0.3">
      <c r="AN12956">
        <v>12952</v>
      </c>
      <c r="AO12956" s="11">
        <v>19591.62</v>
      </c>
      <c r="AP12956" s="9">
        <v>2.9289975687681271</v>
      </c>
    </row>
    <row r="12957" spans="40:42" x14ac:dyDescent="0.3">
      <c r="AN12957">
        <v>12953</v>
      </c>
      <c r="AO12957" s="11">
        <v>32485.23</v>
      </c>
      <c r="AP12957" s="9">
        <v>2.6051536406922087</v>
      </c>
    </row>
    <row r="12958" spans="40:42" x14ac:dyDescent="0.3">
      <c r="AN12958">
        <v>12954</v>
      </c>
      <c r="AO12958" s="11">
        <v>22899.42</v>
      </c>
      <c r="AP12958" s="9">
        <v>3.6605388404679933</v>
      </c>
    </row>
    <row r="12959" spans="40:42" x14ac:dyDescent="0.3">
      <c r="AN12959">
        <v>12955</v>
      </c>
      <c r="AO12959" s="11">
        <v>38193.879999999997</v>
      </c>
      <c r="AP12959" s="9">
        <v>3.5887394861033313</v>
      </c>
    </row>
    <row r="12960" spans="40:42" x14ac:dyDescent="0.3">
      <c r="AN12960">
        <v>12956</v>
      </c>
      <c r="AO12960" s="11">
        <v>19934.43</v>
      </c>
      <c r="AP12960" s="9">
        <v>3.5321185803433059</v>
      </c>
    </row>
    <row r="12961" spans="40:42" x14ac:dyDescent="0.3">
      <c r="AN12961">
        <v>12957</v>
      </c>
      <c r="AO12961" s="11">
        <v>29170.51</v>
      </c>
      <c r="AP12961" s="9">
        <v>3.107674377874214</v>
      </c>
    </row>
    <row r="12962" spans="40:42" x14ac:dyDescent="0.3">
      <c r="AN12962">
        <v>12958</v>
      </c>
      <c r="AO12962" s="11">
        <v>23380.46</v>
      </c>
      <c r="AP12962" s="9">
        <v>3.0431923394570632</v>
      </c>
    </row>
    <row r="12963" spans="40:42" x14ac:dyDescent="0.3">
      <c r="AN12963">
        <v>12959</v>
      </c>
      <c r="AO12963" s="11">
        <v>35256.550000000003</v>
      </c>
      <c r="AP12963" s="9">
        <v>3.8129117464574427</v>
      </c>
    </row>
    <row r="12964" spans="40:42" x14ac:dyDescent="0.3">
      <c r="AN12964">
        <v>12960</v>
      </c>
      <c r="AO12964" s="11">
        <v>48991.08</v>
      </c>
      <c r="AP12964" s="9">
        <v>3.7892202013465135</v>
      </c>
    </row>
    <row r="12965" spans="40:42" x14ac:dyDescent="0.3">
      <c r="AN12965">
        <v>12961</v>
      </c>
      <c r="AO12965" s="11">
        <v>25623.52</v>
      </c>
      <c r="AP12965" s="9">
        <v>4.9354383319713246</v>
      </c>
    </row>
    <row r="12966" spans="40:42" x14ac:dyDescent="0.3">
      <c r="AN12966">
        <v>12962</v>
      </c>
      <c r="AO12966" s="11">
        <v>26605.93</v>
      </c>
      <c r="AP12966" s="9">
        <v>3.4716910687552152</v>
      </c>
    </row>
    <row r="12967" spans="40:42" x14ac:dyDescent="0.3">
      <c r="AN12967">
        <v>12963</v>
      </c>
      <c r="AO12967" s="11">
        <v>37853.33</v>
      </c>
      <c r="AP12967" s="9">
        <v>3.8217979829796134</v>
      </c>
    </row>
    <row r="12968" spans="40:42" x14ac:dyDescent="0.3">
      <c r="AN12968">
        <v>12964</v>
      </c>
      <c r="AO12968" s="11">
        <v>48521.94</v>
      </c>
      <c r="AP12968" s="9">
        <v>3.7554103012808544</v>
      </c>
    </row>
    <row r="12969" spans="40:42" x14ac:dyDescent="0.3">
      <c r="AN12969">
        <v>12965</v>
      </c>
      <c r="AO12969" s="11">
        <v>32612.81</v>
      </c>
      <c r="AP12969" s="9">
        <v>3.5936976543973991</v>
      </c>
    </row>
    <row r="12970" spans="40:42" x14ac:dyDescent="0.3">
      <c r="AN12970">
        <v>12966</v>
      </c>
      <c r="AO12970" s="11">
        <v>21881.62</v>
      </c>
      <c r="AP12970" s="9">
        <v>3.4869178870010216</v>
      </c>
    </row>
    <row r="12971" spans="40:42" x14ac:dyDescent="0.3">
      <c r="AN12971">
        <v>12967</v>
      </c>
      <c r="AO12971" s="11">
        <v>22465.66</v>
      </c>
      <c r="AP12971" s="9">
        <v>3.2828569949611888</v>
      </c>
    </row>
    <row r="12972" spans="40:42" x14ac:dyDescent="0.3">
      <c r="AN12972">
        <v>12968</v>
      </c>
      <c r="AO12972" s="11">
        <v>15811.12</v>
      </c>
      <c r="AP12972" s="9">
        <v>2.8567789115156752</v>
      </c>
    </row>
    <row r="12973" spans="40:42" x14ac:dyDescent="0.3">
      <c r="AN12973">
        <v>12969</v>
      </c>
      <c r="AO12973" s="11">
        <v>16718.05</v>
      </c>
      <c r="AP12973" s="9">
        <v>3.2514415064132884</v>
      </c>
    </row>
    <row r="12974" spans="40:42" x14ac:dyDescent="0.3">
      <c r="AN12974">
        <v>12970</v>
      </c>
      <c r="AO12974" s="11">
        <v>11890.99</v>
      </c>
      <c r="AP12974" s="9">
        <v>3.1138169763635499</v>
      </c>
    </row>
    <row r="12975" spans="40:42" x14ac:dyDescent="0.3">
      <c r="AN12975">
        <v>12971</v>
      </c>
      <c r="AO12975" s="11">
        <v>27422.7</v>
      </c>
      <c r="AP12975" s="9">
        <v>3.2736732611326484</v>
      </c>
    </row>
    <row r="12976" spans="40:42" x14ac:dyDescent="0.3">
      <c r="AN12976">
        <v>12972</v>
      </c>
      <c r="AO12976" s="11">
        <v>32868.449999999997</v>
      </c>
      <c r="AP12976" s="9">
        <v>2.9023748674189469</v>
      </c>
    </row>
    <row r="12977" spans="40:42" x14ac:dyDescent="0.3">
      <c r="AN12977">
        <v>12973</v>
      </c>
      <c r="AO12977" s="11">
        <v>27248.639999999999</v>
      </c>
      <c r="AP12977" s="9">
        <v>2.8391722854197021</v>
      </c>
    </row>
    <row r="12978" spans="40:42" x14ac:dyDescent="0.3">
      <c r="AN12978">
        <v>12974</v>
      </c>
      <c r="AO12978" s="11">
        <v>29597</v>
      </c>
      <c r="AP12978" s="9">
        <v>3.5306592775321985</v>
      </c>
    </row>
    <row r="12979" spans="40:42" x14ac:dyDescent="0.3">
      <c r="AN12979">
        <v>12975</v>
      </c>
      <c r="AO12979" s="11">
        <v>26251.03</v>
      </c>
      <c r="AP12979" s="9">
        <v>3.4889576877220523</v>
      </c>
    </row>
    <row r="12980" spans="40:42" x14ac:dyDescent="0.3">
      <c r="AN12980">
        <v>12976</v>
      </c>
      <c r="AO12980" s="11">
        <v>29219.01</v>
      </c>
      <c r="AP12980" s="9">
        <v>3.377650220636002</v>
      </c>
    </row>
    <row r="12981" spans="40:42" x14ac:dyDescent="0.3">
      <c r="AN12981">
        <v>12977</v>
      </c>
      <c r="AO12981" s="11">
        <v>22453.02</v>
      </c>
      <c r="AP12981" s="9">
        <v>3.7274842793917493</v>
      </c>
    </row>
    <row r="12982" spans="40:42" x14ac:dyDescent="0.3">
      <c r="AN12982">
        <v>12978</v>
      </c>
      <c r="AO12982" s="11">
        <v>25745.21</v>
      </c>
      <c r="AP12982" s="9">
        <v>3.277410517487521</v>
      </c>
    </row>
    <row r="12983" spans="40:42" x14ac:dyDescent="0.3">
      <c r="AN12983">
        <v>12979</v>
      </c>
      <c r="AO12983" s="11">
        <v>26984.62</v>
      </c>
      <c r="AP12983" s="9">
        <v>4.0563455854937018</v>
      </c>
    </row>
    <row r="12984" spans="40:42" x14ac:dyDescent="0.3">
      <c r="AN12984">
        <v>12980</v>
      </c>
      <c r="AO12984" s="11">
        <v>53121.760000000002</v>
      </c>
      <c r="AP12984" s="9">
        <v>4.5759177998110632</v>
      </c>
    </row>
    <row r="12985" spans="40:42" x14ac:dyDescent="0.3">
      <c r="AN12985">
        <v>12981</v>
      </c>
      <c r="AO12985" s="11">
        <v>38515.47</v>
      </c>
      <c r="AP12985" s="9">
        <v>3.4139231433257935</v>
      </c>
    </row>
    <row r="12986" spans="40:42" x14ac:dyDescent="0.3">
      <c r="AN12986">
        <v>12982</v>
      </c>
      <c r="AO12986" s="11">
        <v>19812.2</v>
      </c>
      <c r="AP12986" s="9">
        <v>3.1730810489515204</v>
      </c>
    </row>
    <row r="12987" spans="40:42" x14ac:dyDescent="0.3">
      <c r="AN12987">
        <v>12983</v>
      </c>
      <c r="AO12987" s="11">
        <v>20639.990000000002</v>
      </c>
      <c r="AP12987" s="9">
        <v>3.3576967964495226</v>
      </c>
    </row>
    <row r="12988" spans="40:42" x14ac:dyDescent="0.3">
      <c r="AN12988">
        <v>12984</v>
      </c>
      <c r="AO12988" s="11">
        <v>26555.56</v>
      </c>
      <c r="AP12988" s="9">
        <v>3.2046619064024036</v>
      </c>
    </row>
    <row r="12989" spans="40:42" x14ac:dyDescent="0.3">
      <c r="AN12989">
        <v>12985</v>
      </c>
      <c r="AO12989" s="11">
        <v>30274.46</v>
      </c>
      <c r="AP12989" s="9">
        <v>4.0325228475072112</v>
      </c>
    </row>
    <row r="12990" spans="40:42" x14ac:dyDescent="0.3">
      <c r="AN12990">
        <v>12986</v>
      </c>
      <c r="AO12990" s="11">
        <v>28201.73</v>
      </c>
      <c r="AP12990" s="9">
        <v>2.9238954755119808</v>
      </c>
    </row>
    <row r="12991" spans="40:42" x14ac:dyDescent="0.3">
      <c r="AN12991">
        <v>12987</v>
      </c>
      <c r="AO12991" s="11">
        <v>47238.86</v>
      </c>
      <c r="AP12991" s="9">
        <v>4.1496217437323066</v>
      </c>
    </row>
    <row r="12992" spans="40:42" x14ac:dyDescent="0.3">
      <c r="AN12992">
        <v>12988</v>
      </c>
      <c r="AO12992" s="11">
        <v>31511.599999999999</v>
      </c>
      <c r="AP12992" s="9">
        <v>3.5269234095803963</v>
      </c>
    </row>
    <row r="12993" spans="40:42" x14ac:dyDescent="0.3">
      <c r="AN12993">
        <v>12989</v>
      </c>
      <c r="AO12993" s="11">
        <v>21227.75</v>
      </c>
      <c r="AP12993" s="9">
        <v>3.0702002122346457</v>
      </c>
    </row>
    <row r="12994" spans="40:42" x14ac:dyDescent="0.3">
      <c r="AN12994">
        <v>12990</v>
      </c>
      <c r="AO12994" s="11">
        <v>26694.41</v>
      </c>
      <c r="AP12994" s="9">
        <v>3.2061809595650774</v>
      </c>
    </row>
    <row r="12995" spans="40:42" x14ac:dyDescent="0.3">
      <c r="AN12995">
        <v>12991</v>
      </c>
      <c r="AO12995" s="11">
        <v>31124.19</v>
      </c>
      <c r="AP12995" s="9">
        <v>3.4806545500368271</v>
      </c>
    </row>
    <row r="12996" spans="40:42" x14ac:dyDescent="0.3">
      <c r="AN12996">
        <v>12992</v>
      </c>
      <c r="AO12996" s="11">
        <v>29019.13</v>
      </c>
      <c r="AP12996" s="9">
        <v>3.0662340223510496</v>
      </c>
    </row>
    <row r="12997" spans="40:42" x14ac:dyDescent="0.3">
      <c r="AN12997">
        <v>12993</v>
      </c>
      <c r="AO12997" s="11">
        <v>32454.66</v>
      </c>
      <c r="AP12997" s="9">
        <v>3.4583069557096571</v>
      </c>
    </row>
    <row r="12998" spans="40:42" x14ac:dyDescent="0.3">
      <c r="AN12998">
        <v>12994</v>
      </c>
      <c r="AO12998" s="11">
        <v>20508.04</v>
      </c>
      <c r="AP12998" s="9">
        <v>3.372468781400713</v>
      </c>
    </row>
    <row r="12999" spans="40:42" x14ac:dyDescent="0.3">
      <c r="AN12999">
        <v>12995</v>
      </c>
      <c r="AO12999" s="11">
        <v>50667.96</v>
      </c>
      <c r="AP12999" s="9">
        <v>4.2047556471177954</v>
      </c>
    </row>
    <row r="13000" spans="40:42" x14ac:dyDescent="0.3">
      <c r="AN13000">
        <v>12996</v>
      </c>
      <c r="AO13000" s="11">
        <v>27426.98</v>
      </c>
      <c r="AP13000" s="9">
        <v>3.0229279857679141</v>
      </c>
    </row>
    <row r="13001" spans="40:42" x14ac:dyDescent="0.3">
      <c r="AN13001">
        <v>12997</v>
      </c>
      <c r="AO13001" s="11">
        <v>25700.5</v>
      </c>
      <c r="AP13001" s="9">
        <v>3.0687773687963107</v>
      </c>
    </row>
    <row r="13002" spans="40:42" x14ac:dyDescent="0.3">
      <c r="AN13002">
        <v>12998</v>
      </c>
      <c r="AO13002" s="11">
        <v>18796.48</v>
      </c>
      <c r="AP13002" s="9">
        <v>3.4381737627003255</v>
      </c>
    </row>
    <row r="13003" spans="40:42" x14ac:dyDescent="0.3">
      <c r="AN13003">
        <v>12999</v>
      </c>
      <c r="AO13003" s="11">
        <v>29798.82</v>
      </c>
      <c r="AP13003" s="9">
        <v>3.2733546273308582</v>
      </c>
    </row>
    <row r="13004" spans="40:42" x14ac:dyDescent="0.3">
      <c r="AN13004">
        <v>13000</v>
      </c>
      <c r="AO13004" s="11">
        <v>19472.580000000002</v>
      </c>
      <c r="AP13004" s="9">
        <v>3.1007568354470258</v>
      </c>
    </row>
    <row r="13005" spans="40:42" x14ac:dyDescent="0.3">
      <c r="AN13005">
        <v>13001</v>
      </c>
      <c r="AO13005" s="11">
        <v>30566.14</v>
      </c>
      <c r="AP13005" s="9">
        <v>3.372390630309035</v>
      </c>
    </row>
    <row r="13006" spans="40:42" x14ac:dyDescent="0.3">
      <c r="AN13006">
        <v>13002</v>
      </c>
      <c r="AO13006" s="11">
        <v>25769.73</v>
      </c>
      <c r="AP13006" s="9">
        <v>3.4283368386504027</v>
      </c>
    </row>
    <row r="13007" spans="40:42" x14ac:dyDescent="0.3">
      <c r="AN13007">
        <v>13003</v>
      </c>
      <c r="AO13007" s="11">
        <v>15589.86</v>
      </c>
      <c r="AP13007" s="9">
        <v>3.6823009712176122</v>
      </c>
    </row>
    <row r="13008" spans="40:42" x14ac:dyDescent="0.3">
      <c r="AN13008">
        <v>13004</v>
      </c>
      <c r="AO13008" s="11">
        <v>20637.11</v>
      </c>
      <c r="AP13008" s="9">
        <v>3.3585257779827069</v>
      </c>
    </row>
    <row r="13009" spans="40:42" x14ac:dyDescent="0.3">
      <c r="AN13009">
        <v>13005</v>
      </c>
      <c r="AO13009" s="11">
        <v>22518.14</v>
      </c>
      <c r="AP13009" s="9">
        <v>3.2555340398386647</v>
      </c>
    </row>
    <row r="13010" spans="40:42" x14ac:dyDescent="0.3">
      <c r="AN13010">
        <v>13006</v>
      </c>
      <c r="AO13010" s="11">
        <v>25503.73</v>
      </c>
      <c r="AP13010" s="9">
        <v>2.8347218047533072</v>
      </c>
    </row>
    <row r="13011" spans="40:42" x14ac:dyDescent="0.3">
      <c r="AN13011">
        <v>13007</v>
      </c>
      <c r="AO13011" s="11">
        <v>17668.22</v>
      </c>
      <c r="AP13011" s="9">
        <v>3.0630514030069516</v>
      </c>
    </row>
    <row r="13012" spans="40:42" x14ac:dyDescent="0.3">
      <c r="AN13012">
        <v>13008</v>
      </c>
      <c r="AO13012" s="11">
        <v>13890.73</v>
      </c>
      <c r="AP13012" s="9">
        <v>2.9012801955428618</v>
      </c>
    </row>
    <row r="13013" spans="40:42" x14ac:dyDescent="0.3">
      <c r="AN13013">
        <v>13009</v>
      </c>
      <c r="AO13013" s="11">
        <v>27122.26</v>
      </c>
      <c r="AP13013" s="9">
        <v>3.5436677642134549</v>
      </c>
    </row>
    <row r="13014" spans="40:42" x14ac:dyDescent="0.3">
      <c r="AN13014">
        <v>13010</v>
      </c>
      <c r="AO13014" s="11">
        <v>31459.62</v>
      </c>
      <c r="AP13014" s="9">
        <v>3.9429377420400424</v>
      </c>
    </row>
    <row r="13015" spans="40:42" x14ac:dyDescent="0.3">
      <c r="AN13015">
        <v>13011</v>
      </c>
      <c r="AO13015" s="11">
        <v>28150.35</v>
      </c>
      <c r="AP13015" s="9">
        <v>3.5533854360006494</v>
      </c>
    </row>
    <row r="13016" spans="40:42" x14ac:dyDescent="0.3">
      <c r="AN13016">
        <v>13012</v>
      </c>
      <c r="AO13016" s="11">
        <v>28202.7</v>
      </c>
      <c r="AP13016" s="9">
        <v>3.5301260448460243</v>
      </c>
    </row>
    <row r="13017" spans="40:42" x14ac:dyDescent="0.3">
      <c r="AN13017">
        <v>13013</v>
      </c>
      <c r="AO13017" s="11">
        <v>36647.599999999999</v>
      </c>
      <c r="AP13017" s="9">
        <v>3.6039268267932929</v>
      </c>
    </row>
    <row r="13018" spans="40:42" x14ac:dyDescent="0.3">
      <c r="AN13018">
        <v>13014</v>
      </c>
      <c r="AO13018" s="11">
        <v>29069.29</v>
      </c>
      <c r="AP13018" s="9">
        <v>3.4329331811550348</v>
      </c>
    </row>
    <row r="13019" spans="40:42" x14ac:dyDescent="0.3">
      <c r="AN13019">
        <v>13015</v>
      </c>
      <c r="AO13019" s="11">
        <v>23297.54</v>
      </c>
      <c r="AP13019" s="9">
        <v>2.7176182161126889</v>
      </c>
    </row>
    <row r="13020" spans="40:42" x14ac:dyDescent="0.3">
      <c r="AN13020">
        <v>13016</v>
      </c>
      <c r="AO13020" s="11">
        <v>21554.880000000001</v>
      </c>
      <c r="AP13020" s="9">
        <v>3.4144408985391119</v>
      </c>
    </row>
    <row r="13021" spans="40:42" x14ac:dyDescent="0.3">
      <c r="AN13021">
        <v>13017</v>
      </c>
      <c r="AO13021" s="11">
        <v>30247.46</v>
      </c>
      <c r="AP13021" s="9">
        <v>3.6782930235680431</v>
      </c>
    </row>
    <row r="13022" spans="40:42" x14ac:dyDescent="0.3">
      <c r="AN13022">
        <v>13018</v>
      </c>
      <c r="AO13022" s="11">
        <v>33965.47</v>
      </c>
      <c r="AP13022" s="9">
        <v>3.489121223788064</v>
      </c>
    </row>
    <row r="13023" spans="40:42" x14ac:dyDescent="0.3">
      <c r="AN13023">
        <v>13019</v>
      </c>
      <c r="AO13023" s="11">
        <v>55503.43</v>
      </c>
      <c r="AP13023" s="9">
        <v>4.3612367483722494</v>
      </c>
    </row>
    <row r="13024" spans="40:42" x14ac:dyDescent="0.3">
      <c r="AN13024">
        <v>13020</v>
      </c>
      <c r="AO13024" s="11">
        <v>27647.14</v>
      </c>
      <c r="AP13024" s="9">
        <v>3.1737752876682874</v>
      </c>
    </row>
    <row r="13025" spans="40:42" x14ac:dyDescent="0.3">
      <c r="AN13025">
        <v>13021</v>
      </c>
      <c r="AO13025" s="11">
        <v>35248.519999999997</v>
      </c>
      <c r="AP13025" s="9">
        <v>3.1858682479065612</v>
      </c>
    </row>
    <row r="13026" spans="40:42" x14ac:dyDescent="0.3">
      <c r="AN13026">
        <v>13022</v>
      </c>
      <c r="AO13026" s="11">
        <v>33639.64</v>
      </c>
      <c r="AP13026" s="9">
        <v>4.2904246485449038</v>
      </c>
    </row>
    <row r="13027" spans="40:42" x14ac:dyDescent="0.3">
      <c r="AN13027">
        <v>13023</v>
      </c>
      <c r="AO13027" s="11">
        <v>35883.129999999997</v>
      </c>
      <c r="AP13027" s="9">
        <v>3.409004039258162</v>
      </c>
    </row>
    <row r="13028" spans="40:42" x14ac:dyDescent="0.3">
      <c r="AN13028">
        <v>13024</v>
      </c>
      <c r="AO13028" s="11">
        <v>32585.58</v>
      </c>
      <c r="AP13028" s="9">
        <v>3.3298968568895808</v>
      </c>
    </row>
    <row r="13029" spans="40:42" x14ac:dyDescent="0.3">
      <c r="AN13029">
        <v>13025</v>
      </c>
      <c r="AO13029" s="11">
        <v>28582.080000000002</v>
      </c>
      <c r="AP13029" s="9">
        <v>3.4866476162071183</v>
      </c>
    </row>
    <row r="13030" spans="40:42" x14ac:dyDescent="0.3">
      <c r="AN13030">
        <v>13026</v>
      </c>
      <c r="AO13030" s="11">
        <v>21334.12</v>
      </c>
      <c r="AP13030" s="9">
        <v>2.866811826662897</v>
      </c>
    </row>
    <row r="13031" spans="40:42" x14ac:dyDescent="0.3">
      <c r="AN13031">
        <v>13027</v>
      </c>
      <c r="AO13031" s="11">
        <v>24503.7</v>
      </c>
      <c r="AP13031" s="9">
        <v>3.3492317556122688</v>
      </c>
    </row>
    <row r="13032" spans="40:42" x14ac:dyDescent="0.3">
      <c r="AN13032">
        <v>13028</v>
      </c>
      <c r="AO13032" s="11">
        <v>15614.44</v>
      </c>
      <c r="AP13032" s="9">
        <v>2.4656638475652253</v>
      </c>
    </row>
    <row r="13033" spans="40:42" x14ac:dyDescent="0.3">
      <c r="AN13033">
        <v>13029</v>
      </c>
      <c r="AO13033" s="11">
        <v>22306.76</v>
      </c>
      <c r="AP13033" s="9">
        <v>2.9527958125606082</v>
      </c>
    </row>
    <row r="13034" spans="40:42" x14ac:dyDescent="0.3">
      <c r="AN13034">
        <v>13030</v>
      </c>
      <c r="AO13034" s="11">
        <v>23810.240000000002</v>
      </c>
      <c r="AP13034" s="9">
        <v>3.2834597362076052</v>
      </c>
    </row>
    <row r="13035" spans="40:42" x14ac:dyDescent="0.3">
      <c r="AN13035">
        <v>13031</v>
      </c>
      <c r="AO13035" s="11">
        <v>21512.37</v>
      </c>
      <c r="AP13035" s="9">
        <v>3.5720781253881153</v>
      </c>
    </row>
    <row r="13036" spans="40:42" x14ac:dyDescent="0.3">
      <c r="AN13036">
        <v>13032</v>
      </c>
      <c r="AO13036" s="11">
        <v>18801.47</v>
      </c>
      <c r="AP13036" s="9">
        <v>3.3812694922934807</v>
      </c>
    </row>
    <row r="13037" spans="40:42" x14ac:dyDescent="0.3">
      <c r="AN13037">
        <v>13033</v>
      </c>
      <c r="AO13037" s="11">
        <v>38099.79</v>
      </c>
      <c r="AP13037" s="9">
        <v>3.552938766551986</v>
      </c>
    </row>
    <row r="13038" spans="40:42" x14ac:dyDescent="0.3">
      <c r="AN13038">
        <v>13034</v>
      </c>
      <c r="AO13038" s="11">
        <v>20139.939999999999</v>
      </c>
      <c r="AP13038" s="9">
        <v>3.0828768872629455</v>
      </c>
    </row>
    <row r="13039" spans="40:42" x14ac:dyDescent="0.3">
      <c r="AN13039">
        <v>13035</v>
      </c>
      <c r="AO13039" s="11">
        <v>20004.990000000002</v>
      </c>
      <c r="AP13039" s="9">
        <v>3.5582737891793825</v>
      </c>
    </row>
    <row r="13040" spans="40:42" x14ac:dyDescent="0.3">
      <c r="AN13040">
        <v>13036</v>
      </c>
      <c r="AO13040" s="11">
        <v>42675.95</v>
      </c>
      <c r="AP13040" s="9">
        <v>3.8745958454992495</v>
      </c>
    </row>
    <row r="13041" spans="40:42" x14ac:dyDescent="0.3">
      <c r="AN13041">
        <v>13037</v>
      </c>
      <c r="AO13041" s="11">
        <v>24425.45</v>
      </c>
      <c r="AP13041" s="9">
        <v>3.4415654362788444</v>
      </c>
    </row>
    <row r="13042" spans="40:42" x14ac:dyDescent="0.3">
      <c r="AN13042">
        <v>13038</v>
      </c>
      <c r="AO13042" s="11">
        <v>25340.84</v>
      </c>
      <c r="AP13042" s="9">
        <v>3.3394430380961317</v>
      </c>
    </row>
    <row r="13043" spans="40:42" x14ac:dyDescent="0.3">
      <c r="AN13043">
        <v>13039</v>
      </c>
      <c r="AO13043" s="11">
        <v>31239.65</v>
      </c>
      <c r="AP13043" s="9">
        <v>3.2558496803328731</v>
      </c>
    </row>
    <row r="13044" spans="40:42" x14ac:dyDescent="0.3">
      <c r="AN13044">
        <v>13040</v>
      </c>
      <c r="AO13044" s="11">
        <v>33886.5</v>
      </c>
      <c r="AP13044" s="9">
        <v>3.1399881968129884</v>
      </c>
    </row>
    <row r="13045" spans="40:42" x14ac:dyDescent="0.3">
      <c r="AN13045">
        <v>13041</v>
      </c>
      <c r="AO13045" s="11">
        <v>20267.509999999998</v>
      </c>
      <c r="AP13045" s="9">
        <v>3.7400945911636856</v>
      </c>
    </row>
    <row r="13046" spans="40:42" x14ac:dyDescent="0.3">
      <c r="AN13046">
        <v>13042</v>
      </c>
      <c r="AO13046" s="11">
        <v>28885.759999999998</v>
      </c>
      <c r="AP13046" s="9">
        <v>3.4748310201020414</v>
      </c>
    </row>
    <row r="13047" spans="40:42" x14ac:dyDescent="0.3">
      <c r="AN13047">
        <v>13043</v>
      </c>
      <c r="AO13047" s="11">
        <v>32209.54</v>
      </c>
      <c r="AP13047" s="9">
        <v>3.7252977644447194</v>
      </c>
    </row>
    <row r="13048" spans="40:42" x14ac:dyDescent="0.3">
      <c r="AN13048">
        <v>13044</v>
      </c>
      <c r="AO13048" s="11">
        <v>22287.11</v>
      </c>
      <c r="AP13048" s="9">
        <v>3.8962111545319713</v>
      </c>
    </row>
    <row r="13049" spans="40:42" x14ac:dyDescent="0.3">
      <c r="AN13049">
        <v>13045</v>
      </c>
      <c r="AO13049" s="11">
        <v>32496.76</v>
      </c>
      <c r="AP13049" s="9">
        <v>3.2356606338046348</v>
      </c>
    </row>
    <row r="13050" spans="40:42" x14ac:dyDescent="0.3">
      <c r="AN13050">
        <v>13046</v>
      </c>
      <c r="AO13050" s="11">
        <v>17719.03</v>
      </c>
      <c r="AP13050" s="9">
        <v>3.5214233383840283</v>
      </c>
    </row>
    <row r="13051" spans="40:42" x14ac:dyDescent="0.3">
      <c r="AN13051">
        <v>13047</v>
      </c>
      <c r="AO13051" s="11">
        <v>29064.67</v>
      </c>
      <c r="AP13051" s="9">
        <v>3.1759077836158398</v>
      </c>
    </row>
    <row r="13052" spans="40:42" x14ac:dyDescent="0.3">
      <c r="AN13052">
        <v>13048</v>
      </c>
      <c r="AO13052" s="11">
        <v>28290.79</v>
      </c>
      <c r="AP13052" s="9">
        <v>3.5752572966916016</v>
      </c>
    </row>
    <row r="13053" spans="40:42" x14ac:dyDescent="0.3">
      <c r="AN13053">
        <v>13049</v>
      </c>
      <c r="AO13053" s="11">
        <v>20951.8</v>
      </c>
      <c r="AP13053" s="9">
        <v>3.0246902062849772</v>
      </c>
    </row>
    <row r="13054" spans="40:42" x14ac:dyDescent="0.3">
      <c r="AN13054">
        <v>13050</v>
      </c>
      <c r="AO13054" s="11">
        <v>30313.01</v>
      </c>
      <c r="AP13054" s="9">
        <v>3.7527176221897722</v>
      </c>
    </row>
    <row r="13055" spans="40:42" x14ac:dyDescent="0.3">
      <c r="AN13055">
        <v>13051</v>
      </c>
      <c r="AO13055" s="11">
        <v>47343.519999999997</v>
      </c>
      <c r="AP13055" s="9">
        <v>3.716981844072611</v>
      </c>
    </row>
    <row r="13056" spans="40:42" x14ac:dyDescent="0.3">
      <c r="AN13056">
        <v>13052</v>
      </c>
      <c r="AO13056" s="11">
        <v>29091.7</v>
      </c>
      <c r="AP13056" s="9">
        <v>3.0651611114923329</v>
      </c>
    </row>
    <row r="13057" spans="40:42" x14ac:dyDescent="0.3">
      <c r="AN13057">
        <v>13053</v>
      </c>
      <c r="AO13057" s="11">
        <v>25369.14</v>
      </c>
      <c r="AP13057" s="9">
        <v>3.2420340781852732</v>
      </c>
    </row>
    <row r="13058" spans="40:42" x14ac:dyDescent="0.3">
      <c r="AN13058">
        <v>13054</v>
      </c>
      <c r="AO13058" s="11">
        <v>13482.05</v>
      </c>
      <c r="AP13058" s="9">
        <v>3.1128246155425989</v>
      </c>
    </row>
    <row r="13059" spans="40:42" x14ac:dyDescent="0.3">
      <c r="AN13059">
        <v>13055</v>
      </c>
      <c r="AO13059" s="11">
        <v>22063.62</v>
      </c>
      <c r="AP13059" s="9">
        <v>3.4971399763473259</v>
      </c>
    </row>
    <row r="13060" spans="40:42" x14ac:dyDescent="0.3">
      <c r="AN13060">
        <v>13056</v>
      </c>
      <c r="AO13060" s="11">
        <v>37865.879999999997</v>
      </c>
      <c r="AP13060" s="9">
        <v>3.7848004977045742</v>
      </c>
    </row>
    <row r="13061" spans="40:42" x14ac:dyDescent="0.3">
      <c r="AN13061">
        <v>13057</v>
      </c>
      <c r="AO13061" s="11">
        <v>24322.62</v>
      </c>
      <c r="AP13061" s="9">
        <v>2.8499186760724187</v>
      </c>
    </row>
    <row r="13062" spans="40:42" x14ac:dyDescent="0.3">
      <c r="AN13062">
        <v>13058</v>
      </c>
      <c r="AO13062" s="11">
        <v>17745.29</v>
      </c>
      <c r="AP13062" s="9">
        <v>3.1728778805291924</v>
      </c>
    </row>
    <row r="13063" spans="40:42" x14ac:dyDescent="0.3">
      <c r="AN13063">
        <v>13059</v>
      </c>
      <c r="AO13063" s="11">
        <v>17519.55</v>
      </c>
      <c r="AP13063" s="9">
        <v>3.0153276909758189</v>
      </c>
    </row>
    <row r="13064" spans="40:42" x14ac:dyDescent="0.3">
      <c r="AN13064">
        <v>13060</v>
      </c>
      <c r="AO13064" s="11">
        <v>47426.46</v>
      </c>
      <c r="AP13064" s="9">
        <v>4.0585478296375106</v>
      </c>
    </row>
    <row r="13065" spans="40:42" x14ac:dyDescent="0.3">
      <c r="AN13065">
        <v>13061</v>
      </c>
      <c r="AO13065" s="11">
        <v>20276.95</v>
      </c>
      <c r="AP13065" s="9">
        <v>2.7052940122282609</v>
      </c>
    </row>
    <row r="13066" spans="40:42" x14ac:dyDescent="0.3">
      <c r="AN13066">
        <v>13062</v>
      </c>
      <c r="AO13066" s="11">
        <v>21807.26</v>
      </c>
      <c r="AP13066" s="9">
        <v>3.1340163305619138</v>
      </c>
    </row>
    <row r="13067" spans="40:42" x14ac:dyDescent="0.3">
      <c r="AN13067">
        <v>13063</v>
      </c>
      <c r="AO13067" s="11">
        <v>30918.87</v>
      </c>
      <c r="AP13067" s="9">
        <v>3.4011920493656995</v>
      </c>
    </row>
    <row r="13068" spans="40:42" x14ac:dyDescent="0.3">
      <c r="AN13068">
        <v>13064</v>
      </c>
      <c r="AO13068" s="11">
        <v>32349.99</v>
      </c>
      <c r="AP13068" s="9">
        <v>3.8458708284724641</v>
      </c>
    </row>
    <row r="13069" spans="40:42" x14ac:dyDescent="0.3">
      <c r="AN13069">
        <v>13065</v>
      </c>
      <c r="AO13069" s="11">
        <v>22208.87</v>
      </c>
      <c r="AP13069" s="9">
        <v>3.5083671100897007</v>
      </c>
    </row>
    <row r="13070" spans="40:42" x14ac:dyDescent="0.3">
      <c r="AN13070">
        <v>13066</v>
      </c>
      <c r="AO13070" s="11">
        <v>24302.66</v>
      </c>
      <c r="AP13070" s="9">
        <v>3.3303409561416562</v>
      </c>
    </row>
    <row r="13071" spans="40:42" x14ac:dyDescent="0.3">
      <c r="AN13071">
        <v>13067</v>
      </c>
      <c r="AO13071" s="11">
        <v>19765.27</v>
      </c>
      <c r="AP13071" s="9">
        <v>4.0690724991643368</v>
      </c>
    </row>
    <row r="13072" spans="40:42" x14ac:dyDescent="0.3">
      <c r="AN13072">
        <v>13068</v>
      </c>
      <c r="AO13072" s="11">
        <v>57324.68</v>
      </c>
      <c r="AP13072" s="9">
        <v>3.8219665570878845</v>
      </c>
    </row>
    <row r="13073" spans="40:42" x14ac:dyDescent="0.3">
      <c r="AN13073">
        <v>13069</v>
      </c>
      <c r="AO13073" s="11">
        <v>25429.35</v>
      </c>
      <c r="AP13073" s="9">
        <v>3.4333198986188189</v>
      </c>
    </row>
    <row r="13074" spans="40:42" x14ac:dyDescent="0.3">
      <c r="AN13074">
        <v>13070</v>
      </c>
      <c r="AO13074" s="11">
        <v>33487.25</v>
      </c>
      <c r="AP13074" s="9">
        <v>3.2586516487575938</v>
      </c>
    </row>
    <row r="13075" spans="40:42" x14ac:dyDescent="0.3">
      <c r="AN13075">
        <v>13071</v>
      </c>
      <c r="AO13075" s="11">
        <v>26130.15</v>
      </c>
      <c r="AP13075" s="9">
        <v>4.2810439375293905</v>
      </c>
    </row>
    <row r="13076" spans="40:42" x14ac:dyDescent="0.3">
      <c r="AN13076">
        <v>13072</v>
      </c>
      <c r="AO13076" s="11">
        <v>22238.41</v>
      </c>
      <c r="AP13076" s="9">
        <v>3.2579596596834715</v>
      </c>
    </row>
    <row r="13077" spans="40:42" x14ac:dyDescent="0.3">
      <c r="AN13077">
        <v>13073</v>
      </c>
      <c r="AO13077" s="11">
        <v>22544.55</v>
      </c>
      <c r="AP13077" s="9">
        <v>3.2993386842031467</v>
      </c>
    </row>
    <row r="13078" spans="40:42" x14ac:dyDescent="0.3">
      <c r="AN13078">
        <v>13074</v>
      </c>
      <c r="AO13078" s="11">
        <v>22119.74</v>
      </c>
      <c r="AP13078" s="9">
        <v>2.9622425245648434</v>
      </c>
    </row>
    <row r="13079" spans="40:42" x14ac:dyDescent="0.3">
      <c r="AN13079">
        <v>13075</v>
      </c>
      <c r="AO13079" s="11">
        <v>29310.55</v>
      </c>
      <c r="AP13079" s="9">
        <v>3.4024706228175101</v>
      </c>
    </row>
    <row r="13080" spans="40:42" x14ac:dyDescent="0.3">
      <c r="AN13080">
        <v>13076</v>
      </c>
      <c r="AO13080" s="11">
        <v>19594.55</v>
      </c>
      <c r="AP13080" s="9">
        <v>3.2678506345981391</v>
      </c>
    </row>
    <row r="13081" spans="40:42" x14ac:dyDescent="0.3">
      <c r="AN13081">
        <v>13077</v>
      </c>
      <c r="AO13081" s="11">
        <v>27238.81</v>
      </c>
      <c r="AP13081" s="9">
        <v>3.5518507764312934</v>
      </c>
    </row>
    <row r="13082" spans="40:42" x14ac:dyDescent="0.3">
      <c r="AN13082">
        <v>13078</v>
      </c>
      <c r="AO13082" s="11">
        <v>25032.23</v>
      </c>
      <c r="AP13082" s="9">
        <v>3.2750261893354473</v>
      </c>
    </row>
    <row r="13083" spans="40:42" x14ac:dyDescent="0.3">
      <c r="AN13083">
        <v>13079</v>
      </c>
      <c r="AO13083" s="11">
        <v>22158.799999999999</v>
      </c>
      <c r="AP13083" s="9">
        <v>2.8711173849592555</v>
      </c>
    </row>
    <row r="13084" spans="40:42" x14ac:dyDescent="0.3">
      <c r="AN13084">
        <v>13080</v>
      </c>
      <c r="AO13084" s="11">
        <v>21141.25</v>
      </c>
      <c r="AP13084" s="9">
        <v>2.5973146274994687</v>
      </c>
    </row>
    <row r="13085" spans="40:42" x14ac:dyDescent="0.3">
      <c r="AN13085">
        <v>13081</v>
      </c>
      <c r="AO13085" s="11">
        <v>41444.53</v>
      </c>
      <c r="AP13085" s="9">
        <v>3.9572654734059345</v>
      </c>
    </row>
    <row r="13086" spans="40:42" x14ac:dyDescent="0.3">
      <c r="AN13086">
        <v>13082</v>
      </c>
      <c r="AO13086" s="11">
        <v>23439.24</v>
      </c>
      <c r="AP13086" s="9">
        <v>3.160805535918052</v>
      </c>
    </row>
    <row r="13087" spans="40:42" x14ac:dyDescent="0.3">
      <c r="AN13087">
        <v>13083</v>
      </c>
      <c r="AO13087" s="11">
        <v>20597.97</v>
      </c>
      <c r="AP13087" s="9">
        <v>2.9472060409349239</v>
      </c>
    </row>
    <row r="13088" spans="40:42" x14ac:dyDescent="0.3">
      <c r="AN13088">
        <v>13084</v>
      </c>
      <c r="AO13088" s="11">
        <v>24094.54</v>
      </c>
      <c r="AP13088" s="9">
        <v>3.7299357368220036</v>
      </c>
    </row>
    <row r="13089" spans="40:42" x14ac:dyDescent="0.3">
      <c r="AN13089">
        <v>13085</v>
      </c>
      <c r="AO13089" s="11">
        <v>39452.78</v>
      </c>
      <c r="AP13089" s="9">
        <v>3.7504520898191029</v>
      </c>
    </row>
    <row r="13090" spans="40:42" x14ac:dyDescent="0.3">
      <c r="AN13090">
        <v>13086</v>
      </c>
      <c r="AO13090" s="11">
        <v>21789.73</v>
      </c>
      <c r="AP13090" s="9">
        <v>2.7173958516115109</v>
      </c>
    </row>
    <row r="13091" spans="40:42" x14ac:dyDescent="0.3">
      <c r="AN13091">
        <v>13087</v>
      </c>
      <c r="AO13091" s="11">
        <v>47210.04</v>
      </c>
      <c r="AP13091" s="9">
        <v>4.2901997603569821</v>
      </c>
    </row>
    <row r="13092" spans="40:42" x14ac:dyDescent="0.3">
      <c r="AN13092">
        <v>13088</v>
      </c>
      <c r="AO13092" s="11">
        <v>29318.31</v>
      </c>
      <c r="AP13092" s="9">
        <v>3.0953045741249809</v>
      </c>
    </row>
    <row r="13093" spans="40:42" x14ac:dyDescent="0.3">
      <c r="AN13093">
        <v>13089</v>
      </c>
      <c r="AO13093" s="11">
        <v>16752.63</v>
      </c>
      <c r="AP13093" s="9">
        <v>3.0705106230590999</v>
      </c>
    </row>
    <row r="13094" spans="40:42" x14ac:dyDescent="0.3">
      <c r="AN13094">
        <v>13090</v>
      </c>
      <c r="AO13094" s="11">
        <v>27375.41</v>
      </c>
      <c r="AP13094" s="9">
        <v>3.352741700284847</v>
      </c>
    </row>
    <row r="13095" spans="40:42" x14ac:dyDescent="0.3">
      <c r="AN13095">
        <v>13091</v>
      </c>
      <c r="AO13095" s="11">
        <v>36640.769999999997</v>
      </c>
      <c r="AP13095" s="9">
        <v>4.000782613216888</v>
      </c>
    </row>
    <row r="13096" spans="40:42" x14ac:dyDescent="0.3">
      <c r="AN13096">
        <v>13092</v>
      </c>
      <c r="AO13096" s="11">
        <v>21008.99</v>
      </c>
      <c r="AP13096" s="9">
        <v>2.8312937651007442</v>
      </c>
    </row>
    <row r="13097" spans="40:42" x14ac:dyDescent="0.3">
      <c r="AN13097">
        <v>13093</v>
      </c>
      <c r="AO13097" s="11">
        <v>28012.74</v>
      </c>
      <c r="AP13097" s="9">
        <v>3.4418378585990412</v>
      </c>
    </row>
    <row r="13098" spans="40:42" x14ac:dyDescent="0.3">
      <c r="AN13098">
        <v>13094</v>
      </c>
      <c r="AO13098" s="11">
        <v>31348.48</v>
      </c>
      <c r="AP13098" s="9">
        <v>3.6273558562530166</v>
      </c>
    </row>
    <row r="13099" spans="40:42" x14ac:dyDescent="0.3">
      <c r="AN13099">
        <v>13095</v>
      </c>
      <c r="AO13099" s="11">
        <v>20242.25</v>
      </c>
      <c r="AP13099" s="9">
        <v>3.8543232417556803</v>
      </c>
    </row>
    <row r="13100" spans="40:42" x14ac:dyDescent="0.3">
      <c r="AN13100">
        <v>13096</v>
      </c>
      <c r="AO13100" s="11">
        <v>17068.84</v>
      </c>
      <c r="AP13100" s="9">
        <v>3.0704492361670743</v>
      </c>
    </row>
    <row r="13101" spans="40:42" x14ac:dyDescent="0.3">
      <c r="AN13101">
        <v>13097</v>
      </c>
      <c r="AO13101" s="11">
        <v>21119.32</v>
      </c>
      <c r="AP13101" s="9">
        <v>2.8990330612220356</v>
      </c>
    </row>
    <row r="13102" spans="40:42" x14ac:dyDescent="0.3">
      <c r="AN13102">
        <v>13098</v>
      </c>
      <c r="AO13102" s="11">
        <v>37679.74</v>
      </c>
      <c r="AP13102" s="9">
        <v>2.9982351746469718</v>
      </c>
    </row>
    <row r="13103" spans="40:42" x14ac:dyDescent="0.3">
      <c r="AN13103">
        <v>13099</v>
      </c>
      <c r="AO13103" s="11">
        <v>25071.040000000001</v>
      </c>
      <c r="AP13103" s="9">
        <v>3.358606486591301</v>
      </c>
    </row>
    <row r="13104" spans="40:42" x14ac:dyDescent="0.3">
      <c r="AN13104">
        <v>13100</v>
      </c>
      <c r="AO13104" s="11">
        <v>41716.71</v>
      </c>
      <c r="AP13104" s="9">
        <v>3.2472751926071393</v>
      </c>
    </row>
    <row r="13105" spans="40:42" x14ac:dyDescent="0.3">
      <c r="AN13105">
        <v>13101</v>
      </c>
      <c r="AO13105" s="11">
        <v>28010.17</v>
      </c>
      <c r="AP13105" s="9">
        <v>4.1210820900588638</v>
      </c>
    </row>
    <row r="13106" spans="40:42" x14ac:dyDescent="0.3">
      <c r="AN13106">
        <v>13102</v>
      </c>
      <c r="AO13106" s="11">
        <v>18806.150000000001</v>
      </c>
      <c r="AP13106" s="9">
        <v>2.7832474167608856</v>
      </c>
    </row>
    <row r="13107" spans="40:42" x14ac:dyDescent="0.3">
      <c r="AN13107">
        <v>13103</v>
      </c>
      <c r="AO13107" s="11">
        <v>24778.41</v>
      </c>
      <c r="AP13107" s="9">
        <v>2.9686554734390125</v>
      </c>
    </row>
    <row r="13108" spans="40:42" x14ac:dyDescent="0.3">
      <c r="AN13108">
        <v>13104</v>
      </c>
      <c r="AO13108" s="11">
        <v>39024.639999999999</v>
      </c>
      <c r="AP13108" s="9">
        <v>3.3190173674529553</v>
      </c>
    </row>
    <row r="13109" spans="40:42" x14ac:dyDescent="0.3">
      <c r="AN13109">
        <v>13105</v>
      </c>
      <c r="AO13109" s="11">
        <v>15164.36</v>
      </c>
      <c r="AP13109" s="9">
        <v>3.1893789112630069</v>
      </c>
    </row>
    <row r="13110" spans="40:42" x14ac:dyDescent="0.3">
      <c r="AN13110">
        <v>13106</v>
      </c>
      <c r="AO13110" s="11">
        <v>33604.199999999997</v>
      </c>
      <c r="AP13110" s="9">
        <v>3.1315449843794312</v>
      </c>
    </row>
    <row r="13111" spans="40:42" x14ac:dyDescent="0.3">
      <c r="AN13111">
        <v>13107</v>
      </c>
      <c r="AO13111" s="11">
        <v>18962.5</v>
      </c>
      <c r="AP13111" s="9">
        <v>3.4420788492613923</v>
      </c>
    </row>
    <row r="13112" spans="40:42" x14ac:dyDescent="0.3">
      <c r="AN13112">
        <v>13108</v>
      </c>
      <c r="AO13112" s="11">
        <v>19814.61</v>
      </c>
      <c r="AP13112" s="9">
        <v>3.3709976826992398</v>
      </c>
    </row>
    <row r="13113" spans="40:42" x14ac:dyDescent="0.3">
      <c r="AN13113">
        <v>13109</v>
      </c>
      <c r="AO13113" s="11">
        <v>44665.27</v>
      </c>
      <c r="AP13113" s="9">
        <v>3.1024527421756063</v>
      </c>
    </row>
    <row r="13114" spans="40:42" x14ac:dyDescent="0.3">
      <c r="AN13114">
        <v>13110</v>
      </c>
      <c r="AO13114" s="11">
        <v>25134.32</v>
      </c>
      <c r="AP13114" s="9">
        <v>3.098382151829457</v>
      </c>
    </row>
    <row r="13115" spans="40:42" x14ac:dyDescent="0.3">
      <c r="AN13115">
        <v>13111</v>
      </c>
      <c r="AO13115" s="11">
        <v>22227.91</v>
      </c>
      <c r="AP13115" s="9">
        <v>3.661409878983322</v>
      </c>
    </row>
    <row r="13116" spans="40:42" x14ac:dyDescent="0.3">
      <c r="AN13116">
        <v>13112</v>
      </c>
      <c r="AO13116" s="11">
        <v>14467.42</v>
      </c>
      <c r="AP13116" s="9">
        <v>3.0018513088694934</v>
      </c>
    </row>
    <row r="13117" spans="40:42" x14ac:dyDescent="0.3">
      <c r="AN13117">
        <v>13113</v>
      </c>
      <c r="AO13117" s="11">
        <v>28552.58</v>
      </c>
      <c r="AP13117" s="9">
        <v>3.5997230699934462</v>
      </c>
    </row>
    <row r="13118" spans="40:42" x14ac:dyDescent="0.3">
      <c r="AN13118">
        <v>13114</v>
      </c>
      <c r="AO13118" s="11">
        <v>34872.31</v>
      </c>
      <c r="AP13118" s="9">
        <v>3.573754721752926</v>
      </c>
    </row>
    <row r="13119" spans="40:42" x14ac:dyDescent="0.3">
      <c r="AN13119">
        <v>13115</v>
      </c>
      <c r="AO13119" s="11">
        <v>20243.73</v>
      </c>
      <c r="AP13119" s="9">
        <v>3.4625909505520127</v>
      </c>
    </row>
    <row r="13120" spans="40:42" x14ac:dyDescent="0.3">
      <c r="AN13120">
        <v>13116</v>
      </c>
      <c r="AO13120" s="11">
        <v>28564.09</v>
      </c>
      <c r="AP13120" s="9">
        <v>3.181372823812294</v>
      </c>
    </row>
    <row r="13121" spans="40:42" x14ac:dyDescent="0.3">
      <c r="AN13121">
        <v>13117</v>
      </c>
      <c r="AO13121" s="11">
        <v>21718.13</v>
      </c>
      <c r="AP13121" s="9">
        <v>3.4781469954517128</v>
      </c>
    </row>
    <row r="13122" spans="40:42" x14ac:dyDescent="0.3">
      <c r="AN13122">
        <v>13118</v>
      </c>
      <c r="AO13122" s="11">
        <v>25017.200000000001</v>
      </c>
      <c r="AP13122" s="9">
        <v>3.573268642245087</v>
      </c>
    </row>
    <row r="13123" spans="40:42" x14ac:dyDescent="0.3">
      <c r="AN13123">
        <v>13119</v>
      </c>
      <c r="AO13123" s="11">
        <v>19091.12</v>
      </c>
      <c r="AP13123" s="9">
        <v>2.9693456582915418</v>
      </c>
    </row>
    <row r="13124" spans="40:42" x14ac:dyDescent="0.3">
      <c r="AN13124">
        <v>13120</v>
      </c>
      <c r="AO13124" s="11">
        <v>23628.57</v>
      </c>
      <c r="AP13124" s="9">
        <v>3.0201292676333678</v>
      </c>
    </row>
    <row r="13125" spans="40:42" x14ac:dyDescent="0.3">
      <c r="AN13125">
        <v>13121</v>
      </c>
      <c r="AO13125" s="11">
        <v>24607.46</v>
      </c>
      <c r="AP13125" s="9">
        <v>3.6377144629168696</v>
      </c>
    </row>
    <row r="13126" spans="40:42" x14ac:dyDescent="0.3">
      <c r="AN13126">
        <v>13122</v>
      </c>
      <c r="AO13126" s="11">
        <v>21872.86</v>
      </c>
      <c r="AP13126" s="9">
        <v>3.457762385658953</v>
      </c>
    </row>
    <row r="13127" spans="40:42" x14ac:dyDescent="0.3">
      <c r="AN13127">
        <v>13123</v>
      </c>
      <c r="AO13127" s="11">
        <v>17774.79</v>
      </c>
      <c r="AP13127" s="9">
        <v>3.3808094549794481</v>
      </c>
    </row>
    <row r="13128" spans="40:42" x14ac:dyDescent="0.3">
      <c r="AN13128">
        <v>13124</v>
      </c>
      <c r="AO13128" s="11">
        <v>32727.79</v>
      </c>
      <c r="AP13128" s="9">
        <v>3.4903599461110555</v>
      </c>
    </row>
    <row r="13129" spans="40:42" x14ac:dyDescent="0.3">
      <c r="AN13129">
        <v>13125</v>
      </c>
      <c r="AO13129" s="11">
        <v>43831.94</v>
      </c>
      <c r="AP13129" s="9">
        <v>3.7157143804312165</v>
      </c>
    </row>
    <row r="13130" spans="40:42" x14ac:dyDescent="0.3">
      <c r="AN13130">
        <v>13126</v>
      </c>
      <c r="AO13130" s="11">
        <v>20861.91</v>
      </c>
      <c r="AP13130" s="9">
        <v>3.3791080151421484</v>
      </c>
    </row>
    <row r="13131" spans="40:42" x14ac:dyDescent="0.3">
      <c r="AN13131">
        <v>13127</v>
      </c>
      <c r="AO13131" s="11">
        <v>35694.33</v>
      </c>
      <c r="AP13131" s="9">
        <v>3.7019780763872818</v>
      </c>
    </row>
    <row r="13132" spans="40:42" x14ac:dyDescent="0.3">
      <c r="AN13132">
        <v>13128</v>
      </c>
      <c r="AO13132" s="11">
        <v>35385.129999999997</v>
      </c>
      <c r="AP13132" s="9">
        <v>4.0198510214981384</v>
      </c>
    </row>
    <row r="13133" spans="40:42" x14ac:dyDescent="0.3">
      <c r="AN13133">
        <v>13129</v>
      </c>
      <c r="AO13133" s="11">
        <v>23534.48</v>
      </c>
      <c r="AP13133" s="9">
        <v>3.11292984569838</v>
      </c>
    </row>
    <row r="13134" spans="40:42" x14ac:dyDescent="0.3">
      <c r="AN13134">
        <v>13130</v>
      </c>
      <c r="AO13134" s="11">
        <v>19126.5</v>
      </c>
      <c r="AP13134" s="9">
        <v>3.4767588491006158</v>
      </c>
    </row>
    <row r="13135" spans="40:42" x14ac:dyDescent="0.3">
      <c r="AN13135">
        <v>13131</v>
      </c>
      <c r="AO13135" s="11">
        <v>13239.79</v>
      </c>
      <c r="AP13135" s="9">
        <v>3.0459752134480076</v>
      </c>
    </row>
    <row r="13136" spans="40:42" x14ac:dyDescent="0.3">
      <c r="AN13136">
        <v>13132</v>
      </c>
      <c r="AO13136" s="11">
        <v>29339.41</v>
      </c>
      <c r="AP13136" s="9">
        <v>2.8246226870140632</v>
      </c>
    </row>
    <row r="13137" spans="40:42" x14ac:dyDescent="0.3">
      <c r="AN13137">
        <v>13133</v>
      </c>
      <c r="AO13137" s="11">
        <v>32935.160000000003</v>
      </c>
      <c r="AP13137" s="9">
        <v>3.606656742694383</v>
      </c>
    </row>
    <row r="13138" spans="40:42" x14ac:dyDescent="0.3">
      <c r="AN13138">
        <v>13134</v>
      </c>
      <c r="AO13138" s="11">
        <v>17765.240000000002</v>
      </c>
      <c r="AP13138" s="9">
        <v>3.0707889574659899</v>
      </c>
    </row>
    <row r="13139" spans="40:42" x14ac:dyDescent="0.3">
      <c r="AN13139">
        <v>13135</v>
      </c>
      <c r="AO13139" s="11">
        <v>30262.55</v>
      </c>
      <c r="AP13139" s="9">
        <v>3.2391829715703966</v>
      </c>
    </row>
    <row r="13140" spans="40:42" x14ac:dyDescent="0.3">
      <c r="AN13140">
        <v>13136</v>
      </c>
      <c r="AO13140" s="11">
        <v>37491.89</v>
      </c>
      <c r="AP13140" s="9">
        <v>2.9651801914661937</v>
      </c>
    </row>
    <row r="13141" spans="40:42" x14ac:dyDescent="0.3">
      <c r="AN13141">
        <v>13137</v>
      </c>
      <c r="AO13141" s="11">
        <v>19050.060000000001</v>
      </c>
      <c r="AP13141" s="9">
        <v>3.2530387487162855</v>
      </c>
    </row>
    <row r="13142" spans="40:42" x14ac:dyDescent="0.3">
      <c r="AN13142">
        <v>13138</v>
      </c>
      <c r="AO13142" s="11">
        <v>30394.35</v>
      </c>
      <c r="AP13142" s="9">
        <v>3.963706946948407</v>
      </c>
    </row>
    <row r="13143" spans="40:42" x14ac:dyDescent="0.3">
      <c r="AN13143">
        <v>13139</v>
      </c>
      <c r="AO13143" s="11">
        <v>28424.51</v>
      </c>
      <c r="AP13143" s="9">
        <v>3.1340275826396073</v>
      </c>
    </row>
    <row r="13144" spans="40:42" x14ac:dyDescent="0.3">
      <c r="AN13144">
        <v>13140</v>
      </c>
      <c r="AO13144" s="11">
        <v>35358.559999999998</v>
      </c>
      <c r="AP13144" s="9">
        <v>4.3044616042342527</v>
      </c>
    </row>
    <row r="13145" spans="40:42" x14ac:dyDescent="0.3">
      <c r="AN13145">
        <v>13141</v>
      </c>
      <c r="AO13145" s="11">
        <v>29018.09</v>
      </c>
      <c r="AP13145" s="9">
        <v>3.8630916484185609</v>
      </c>
    </row>
    <row r="13146" spans="40:42" x14ac:dyDescent="0.3">
      <c r="AN13146">
        <v>13142</v>
      </c>
      <c r="AO13146" s="11">
        <v>24312.35</v>
      </c>
      <c r="AP13146" s="9">
        <v>3.771058059078054</v>
      </c>
    </row>
    <row r="13147" spans="40:42" x14ac:dyDescent="0.3">
      <c r="AN13147">
        <v>13143</v>
      </c>
      <c r="AO13147" s="11">
        <v>15509.3</v>
      </c>
      <c r="AP13147" s="9">
        <v>3.5671354079258903</v>
      </c>
    </row>
    <row r="13148" spans="40:42" x14ac:dyDescent="0.3">
      <c r="AN13148">
        <v>13144</v>
      </c>
      <c r="AO13148" s="11">
        <v>31159.94</v>
      </c>
      <c r="AP13148" s="9">
        <v>4.0035662650275246</v>
      </c>
    </row>
    <row r="13149" spans="40:42" x14ac:dyDescent="0.3">
      <c r="AN13149">
        <v>13145</v>
      </c>
      <c r="AO13149" s="11">
        <v>22065.09</v>
      </c>
      <c r="AP13149" s="9">
        <v>2.805642542230101</v>
      </c>
    </row>
    <row r="13150" spans="40:42" x14ac:dyDescent="0.3">
      <c r="AN13150">
        <v>13146</v>
      </c>
      <c r="AO13150" s="11">
        <v>24269.61</v>
      </c>
      <c r="AP13150" s="9">
        <v>4.0424960339238538</v>
      </c>
    </row>
    <row r="13151" spans="40:42" x14ac:dyDescent="0.3">
      <c r="AN13151">
        <v>13147</v>
      </c>
      <c r="AO13151" s="11">
        <v>26927.759999999998</v>
      </c>
      <c r="AP13151" s="9">
        <v>3.0864176464903057</v>
      </c>
    </row>
    <row r="13152" spans="40:42" x14ac:dyDescent="0.3">
      <c r="AN13152">
        <v>13148</v>
      </c>
      <c r="AO13152" s="11">
        <v>15101.43</v>
      </c>
      <c r="AP13152" s="9">
        <v>3.3893576694191974</v>
      </c>
    </row>
    <row r="13153" spans="40:42" x14ac:dyDescent="0.3">
      <c r="AN13153">
        <v>13149</v>
      </c>
      <c r="AO13153" s="11">
        <v>21384.82</v>
      </c>
      <c r="AP13153" s="9">
        <v>3.3652926716625111</v>
      </c>
    </row>
    <row r="13154" spans="40:42" x14ac:dyDescent="0.3">
      <c r="AN13154">
        <v>13150</v>
      </c>
      <c r="AO13154" s="11">
        <v>29885.200000000001</v>
      </c>
      <c r="AP13154" s="9">
        <v>3.3852907579878564</v>
      </c>
    </row>
    <row r="13155" spans="40:42" x14ac:dyDescent="0.3">
      <c r="AN13155">
        <v>13151</v>
      </c>
      <c r="AO13155" s="11">
        <v>18973.03</v>
      </c>
      <c r="AP13155" s="9">
        <v>3.1414268186859085</v>
      </c>
    </row>
    <row r="13156" spans="40:42" x14ac:dyDescent="0.3">
      <c r="AN13156">
        <v>13152</v>
      </c>
      <c r="AO13156" s="11">
        <v>25110.240000000002</v>
      </c>
      <c r="AP13156" s="9">
        <v>3.0915161403559122</v>
      </c>
    </row>
    <row r="13157" spans="40:42" x14ac:dyDescent="0.3">
      <c r="AN13157">
        <v>13153</v>
      </c>
      <c r="AO13157" s="11">
        <v>35062.57</v>
      </c>
      <c r="AP13157" s="9">
        <v>3.7760992123170927</v>
      </c>
    </row>
    <row r="13158" spans="40:42" x14ac:dyDescent="0.3">
      <c r="AN13158">
        <v>13154</v>
      </c>
      <c r="AO13158" s="11">
        <v>26044.59</v>
      </c>
      <c r="AP13158" s="9">
        <v>3.3418142950664107</v>
      </c>
    </row>
    <row r="13159" spans="40:42" x14ac:dyDescent="0.3">
      <c r="AN13159">
        <v>13155</v>
      </c>
      <c r="AO13159" s="11">
        <v>34391.980000000003</v>
      </c>
      <c r="AP13159" s="9">
        <v>3.4335719295601255</v>
      </c>
    </row>
    <row r="13160" spans="40:42" x14ac:dyDescent="0.3">
      <c r="AN13160">
        <v>13156</v>
      </c>
      <c r="AO13160" s="11">
        <v>22823.58</v>
      </c>
      <c r="AP13160" s="9">
        <v>3.5424521216206877</v>
      </c>
    </row>
    <row r="13161" spans="40:42" x14ac:dyDescent="0.3">
      <c r="AN13161">
        <v>13157</v>
      </c>
      <c r="AO13161" s="11">
        <v>17435.12</v>
      </c>
      <c r="AP13161" s="9">
        <v>2.882356577206346</v>
      </c>
    </row>
    <row r="13162" spans="40:42" x14ac:dyDescent="0.3">
      <c r="AN13162">
        <v>13158</v>
      </c>
      <c r="AO13162" s="11">
        <v>21839.31</v>
      </c>
      <c r="AP13162" s="9">
        <v>3.0296334645127261</v>
      </c>
    </row>
    <row r="13163" spans="40:42" x14ac:dyDescent="0.3">
      <c r="AN13163">
        <v>13159</v>
      </c>
      <c r="AO13163" s="11">
        <v>25351.3</v>
      </c>
      <c r="AP13163" s="9">
        <v>3.2896014482974985</v>
      </c>
    </row>
    <row r="13164" spans="40:42" x14ac:dyDescent="0.3">
      <c r="AN13164">
        <v>13160</v>
      </c>
      <c r="AO13164" s="11">
        <v>44740.57</v>
      </c>
      <c r="AP13164" s="9">
        <v>3.0335452033804811</v>
      </c>
    </row>
    <row r="13165" spans="40:42" x14ac:dyDescent="0.3">
      <c r="AN13165">
        <v>13161</v>
      </c>
      <c r="AO13165" s="11">
        <v>41942.99</v>
      </c>
      <c r="AP13165" s="9">
        <v>3.968109952856238</v>
      </c>
    </row>
    <row r="13166" spans="40:42" x14ac:dyDescent="0.3">
      <c r="AN13166">
        <v>13162</v>
      </c>
      <c r="AO13166" s="11">
        <v>20228.189999999999</v>
      </c>
      <c r="AP13166" s="9">
        <v>3.0714813944864825</v>
      </c>
    </row>
    <row r="13167" spans="40:42" x14ac:dyDescent="0.3">
      <c r="AN13167">
        <v>13163</v>
      </c>
      <c r="AO13167" s="11">
        <v>32901.019999999997</v>
      </c>
      <c r="AP13167" s="9">
        <v>4.5704240179570705</v>
      </c>
    </row>
    <row r="13168" spans="40:42" x14ac:dyDescent="0.3">
      <c r="AN13168">
        <v>13164</v>
      </c>
      <c r="AO13168" s="11">
        <v>32344.22</v>
      </c>
      <c r="AP13168" s="9">
        <v>3.0187501608437977</v>
      </c>
    </row>
    <row r="13169" spans="40:42" x14ac:dyDescent="0.3">
      <c r="AN13169">
        <v>13165</v>
      </c>
      <c r="AO13169" s="11">
        <v>35774.97</v>
      </c>
      <c r="AP13169" s="9">
        <v>3.2214451494055583</v>
      </c>
    </row>
    <row r="13170" spans="40:42" x14ac:dyDescent="0.3">
      <c r="AN13170">
        <v>13166</v>
      </c>
      <c r="AO13170" s="11">
        <v>29937.58</v>
      </c>
      <c r="AP13170" s="9">
        <v>3.1562501071395452</v>
      </c>
    </row>
    <row r="13171" spans="40:42" x14ac:dyDescent="0.3">
      <c r="AN13171">
        <v>13167</v>
      </c>
      <c r="AO13171" s="11">
        <v>25321.14</v>
      </c>
      <c r="AP13171" s="9">
        <v>3.6942757514664932</v>
      </c>
    </row>
    <row r="13172" spans="40:42" x14ac:dyDescent="0.3">
      <c r="AN13172">
        <v>13168</v>
      </c>
      <c r="AO13172" s="11">
        <v>22530.17</v>
      </c>
      <c r="AP13172" s="9">
        <v>3.2477098891599194</v>
      </c>
    </row>
    <row r="13173" spans="40:42" x14ac:dyDescent="0.3">
      <c r="AN13173">
        <v>13169</v>
      </c>
      <c r="AO13173" s="11">
        <v>31338.57</v>
      </c>
      <c r="AP13173" s="9">
        <v>3.1102025863163156</v>
      </c>
    </row>
    <row r="13174" spans="40:42" x14ac:dyDescent="0.3">
      <c r="AN13174">
        <v>13170</v>
      </c>
      <c r="AO13174" s="11">
        <v>20319.990000000002</v>
      </c>
      <c r="AP13174" s="9">
        <v>2.9940925547620814</v>
      </c>
    </row>
    <row r="13175" spans="40:42" x14ac:dyDescent="0.3">
      <c r="AN13175">
        <v>13171</v>
      </c>
      <c r="AO13175" s="11">
        <v>28851.11</v>
      </c>
      <c r="AP13175" s="9">
        <v>3.2839757815693362</v>
      </c>
    </row>
    <row r="13176" spans="40:42" x14ac:dyDescent="0.3">
      <c r="AN13176">
        <v>13172</v>
      </c>
      <c r="AO13176" s="11">
        <v>22137.91</v>
      </c>
      <c r="AP13176" s="9">
        <v>2.7319521904417901</v>
      </c>
    </row>
    <row r="13177" spans="40:42" x14ac:dyDescent="0.3">
      <c r="AN13177">
        <v>13173</v>
      </c>
      <c r="AO13177" s="11">
        <v>32977.410000000003</v>
      </c>
      <c r="AP13177" s="9">
        <v>4.2375551490201406</v>
      </c>
    </row>
    <row r="13178" spans="40:42" x14ac:dyDescent="0.3">
      <c r="AN13178">
        <v>13174</v>
      </c>
      <c r="AO13178" s="11">
        <v>32803.72</v>
      </c>
      <c r="AP13178" s="9">
        <v>3.5432255642642692</v>
      </c>
    </row>
    <row r="13179" spans="40:42" x14ac:dyDescent="0.3">
      <c r="AN13179">
        <v>13175</v>
      </c>
      <c r="AO13179" s="11">
        <v>37309.839999999997</v>
      </c>
      <c r="AP13179" s="9">
        <v>3.4571705856394872</v>
      </c>
    </row>
    <row r="13180" spans="40:42" x14ac:dyDescent="0.3">
      <c r="AN13180">
        <v>13176</v>
      </c>
      <c r="AO13180" s="11">
        <v>21067.97</v>
      </c>
      <c r="AP13180" s="9">
        <v>3.1975332289926932</v>
      </c>
    </row>
    <row r="13181" spans="40:42" x14ac:dyDescent="0.3">
      <c r="AN13181">
        <v>13177</v>
      </c>
      <c r="AO13181" s="11">
        <v>27897.599999999999</v>
      </c>
      <c r="AP13181" s="9">
        <v>3.9812337559658006</v>
      </c>
    </row>
    <row r="13182" spans="40:42" x14ac:dyDescent="0.3">
      <c r="AN13182">
        <v>13178</v>
      </c>
      <c r="AO13182" s="11">
        <v>36399.040000000001</v>
      </c>
      <c r="AP13182" s="9">
        <v>3.9044786630772998</v>
      </c>
    </row>
    <row r="13183" spans="40:42" x14ac:dyDescent="0.3">
      <c r="AN13183">
        <v>13179</v>
      </c>
      <c r="AO13183" s="11">
        <v>23420.36</v>
      </c>
      <c r="AP13183" s="9">
        <v>3.4458418661754626</v>
      </c>
    </row>
    <row r="13184" spans="40:42" x14ac:dyDescent="0.3">
      <c r="AN13184">
        <v>13180</v>
      </c>
      <c r="AO13184" s="11">
        <v>19645.66</v>
      </c>
      <c r="AP13184" s="9">
        <v>2.7454430459205326</v>
      </c>
    </row>
    <row r="13185" spans="40:42" x14ac:dyDescent="0.3">
      <c r="AN13185">
        <v>13181</v>
      </c>
      <c r="AO13185" s="11">
        <v>17692.23</v>
      </c>
      <c r="AP13185" s="9">
        <v>3.2648528552386926</v>
      </c>
    </row>
    <row r="13186" spans="40:42" x14ac:dyDescent="0.3">
      <c r="AN13186">
        <v>13182</v>
      </c>
      <c r="AO13186" s="11">
        <v>24071.98</v>
      </c>
      <c r="AP13186" s="9">
        <v>3.617656279876345</v>
      </c>
    </row>
    <row r="13187" spans="40:42" x14ac:dyDescent="0.3">
      <c r="AN13187">
        <v>13183</v>
      </c>
      <c r="AO13187" s="11">
        <v>27465.119999999999</v>
      </c>
      <c r="AP13187" s="9">
        <v>3.4176055694251244</v>
      </c>
    </row>
    <row r="13188" spans="40:42" x14ac:dyDescent="0.3">
      <c r="AN13188">
        <v>13184</v>
      </c>
      <c r="AO13188" s="11">
        <v>22632.12</v>
      </c>
      <c r="AP13188" s="9">
        <v>3.0749858657866094</v>
      </c>
    </row>
    <row r="13189" spans="40:42" x14ac:dyDescent="0.3">
      <c r="AN13189">
        <v>13185</v>
      </c>
      <c r="AO13189" s="11">
        <v>24336.31</v>
      </c>
      <c r="AP13189" s="9">
        <v>3.190103391056724</v>
      </c>
    </row>
    <row r="13190" spans="40:42" x14ac:dyDescent="0.3">
      <c r="AN13190">
        <v>13186</v>
      </c>
      <c r="AO13190" s="11">
        <v>31667.46</v>
      </c>
      <c r="AP13190" s="9">
        <v>3.6057205186660535</v>
      </c>
    </row>
    <row r="13191" spans="40:42" x14ac:dyDescent="0.3">
      <c r="AN13191">
        <v>13187</v>
      </c>
      <c r="AO13191" s="11">
        <v>28331.33</v>
      </c>
      <c r="AP13191" s="9">
        <v>2.9426577462385315</v>
      </c>
    </row>
    <row r="13192" spans="40:42" x14ac:dyDescent="0.3">
      <c r="AN13192">
        <v>13188</v>
      </c>
      <c r="AO13192" s="11">
        <v>26713.9</v>
      </c>
      <c r="AP13192" s="9">
        <v>3.2534354515168533</v>
      </c>
    </row>
    <row r="13193" spans="40:42" x14ac:dyDescent="0.3">
      <c r="AN13193">
        <v>13189</v>
      </c>
      <c r="AO13193" s="11">
        <v>25463.93</v>
      </c>
      <c r="AP13193" s="9">
        <v>3.3883775019428199</v>
      </c>
    </row>
    <row r="13194" spans="40:42" x14ac:dyDescent="0.3">
      <c r="AN13194">
        <v>13190</v>
      </c>
      <c r="AO13194" s="11">
        <v>16151.67</v>
      </c>
      <c r="AP13194" s="9">
        <v>2.8588456663707786</v>
      </c>
    </row>
    <row r="13195" spans="40:42" x14ac:dyDescent="0.3">
      <c r="AN13195">
        <v>13191</v>
      </c>
      <c r="AO13195" s="11">
        <v>23969.279999999999</v>
      </c>
      <c r="AP13195" s="9">
        <v>2.6167278525001989</v>
      </c>
    </row>
    <row r="13196" spans="40:42" x14ac:dyDescent="0.3">
      <c r="AN13196">
        <v>13192</v>
      </c>
      <c r="AO13196" s="11">
        <v>16327.51</v>
      </c>
      <c r="AP13196" s="9">
        <v>2.8365696525689237</v>
      </c>
    </row>
    <row r="13197" spans="40:42" x14ac:dyDescent="0.3">
      <c r="AN13197">
        <v>13193</v>
      </c>
      <c r="AO13197" s="11">
        <v>25648.240000000002</v>
      </c>
      <c r="AP13197" s="9">
        <v>3.4754912950698325</v>
      </c>
    </row>
    <row r="13198" spans="40:42" x14ac:dyDescent="0.3">
      <c r="AN13198">
        <v>13194</v>
      </c>
      <c r="AO13198" s="11">
        <v>30546.9</v>
      </c>
      <c r="AP13198" s="9">
        <v>3.7508856412149076</v>
      </c>
    </row>
    <row r="13199" spans="40:42" x14ac:dyDescent="0.3">
      <c r="AN13199">
        <v>13195</v>
      </c>
      <c r="AO13199" s="11">
        <v>21641.94</v>
      </c>
      <c r="AP13199" s="9">
        <v>3.8858049984672731</v>
      </c>
    </row>
    <row r="13200" spans="40:42" x14ac:dyDescent="0.3">
      <c r="AN13200">
        <v>13196</v>
      </c>
      <c r="AO13200" s="11">
        <v>37927.760000000002</v>
      </c>
      <c r="AP13200" s="9">
        <v>3.4301423787129073</v>
      </c>
    </row>
    <row r="13201" spans="40:42" x14ac:dyDescent="0.3">
      <c r="AN13201">
        <v>13197</v>
      </c>
      <c r="AO13201" s="11">
        <v>32702.03</v>
      </c>
      <c r="AP13201" s="9">
        <v>3.5611650279173142</v>
      </c>
    </row>
    <row r="13202" spans="40:42" x14ac:dyDescent="0.3">
      <c r="AN13202">
        <v>13198</v>
      </c>
      <c r="AO13202" s="11">
        <v>33981.699999999997</v>
      </c>
      <c r="AP13202" s="9">
        <v>3.8046821826983193</v>
      </c>
    </row>
    <row r="13203" spans="40:42" x14ac:dyDescent="0.3">
      <c r="AN13203">
        <v>13199</v>
      </c>
      <c r="AO13203" s="11">
        <v>29647.54</v>
      </c>
      <c r="AP13203" s="9">
        <v>3.7550807741406813</v>
      </c>
    </row>
    <row r="13204" spans="40:42" x14ac:dyDescent="0.3">
      <c r="AN13204">
        <v>13200</v>
      </c>
      <c r="AO13204" s="11">
        <v>35629.29</v>
      </c>
      <c r="AP13204" s="9">
        <v>3.3549438761852022</v>
      </c>
    </row>
    <row r="13205" spans="40:42" x14ac:dyDescent="0.3">
      <c r="AN13205">
        <v>13201</v>
      </c>
      <c r="AO13205" s="11">
        <v>29197.99</v>
      </c>
      <c r="AP13205" s="9">
        <v>3.0132594941368032</v>
      </c>
    </row>
    <row r="13206" spans="40:42" x14ac:dyDescent="0.3">
      <c r="AN13206">
        <v>13202</v>
      </c>
      <c r="AO13206" s="11">
        <v>40524.82</v>
      </c>
      <c r="AP13206" s="9">
        <v>3.3557499041964984</v>
      </c>
    </row>
    <row r="13207" spans="40:42" x14ac:dyDescent="0.3">
      <c r="AN13207">
        <v>13203</v>
      </c>
      <c r="AO13207" s="11">
        <v>18027</v>
      </c>
      <c r="AP13207" s="9">
        <v>3.2372107048296872</v>
      </c>
    </row>
    <row r="13208" spans="40:42" x14ac:dyDescent="0.3">
      <c r="AN13208">
        <v>13204</v>
      </c>
      <c r="AO13208" s="11">
        <v>28045.14</v>
      </c>
      <c r="AP13208" s="9">
        <v>3.2346239946614181</v>
      </c>
    </row>
    <row r="13209" spans="40:42" x14ac:dyDescent="0.3">
      <c r="AN13209">
        <v>13205</v>
      </c>
      <c r="AO13209" s="11">
        <v>34047.53</v>
      </c>
      <c r="AP13209" s="9">
        <v>3.500084104257418</v>
      </c>
    </row>
    <row r="13210" spans="40:42" x14ac:dyDescent="0.3">
      <c r="AN13210">
        <v>13206</v>
      </c>
      <c r="AO13210" s="11">
        <v>20498.95</v>
      </c>
      <c r="AP13210" s="9">
        <v>2.804082325193948</v>
      </c>
    </row>
    <row r="13211" spans="40:42" x14ac:dyDescent="0.3">
      <c r="AN13211">
        <v>13207</v>
      </c>
      <c r="AO13211" s="11">
        <v>22849.47</v>
      </c>
      <c r="AP13211" s="9">
        <v>2.9609765435020918</v>
      </c>
    </row>
    <row r="13212" spans="40:42" x14ac:dyDescent="0.3">
      <c r="AN13212">
        <v>13208</v>
      </c>
      <c r="AO13212" s="11">
        <v>28239.06</v>
      </c>
      <c r="AP13212" s="9">
        <v>3.3925520331327497</v>
      </c>
    </row>
    <row r="13213" spans="40:42" x14ac:dyDescent="0.3">
      <c r="AN13213">
        <v>13209</v>
      </c>
      <c r="AO13213" s="11">
        <v>20010.099999999999</v>
      </c>
      <c r="AP13213" s="9">
        <v>2.9515554700132598</v>
      </c>
    </row>
    <row r="13214" spans="40:42" x14ac:dyDescent="0.3">
      <c r="AN13214">
        <v>13210</v>
      </c>
      <c r="AO13214" s="11">
        <v>23660.98</v>
      </c>
      <c r="AP13214" s="9">
        <v>3.4318376438812033</v>
      </c>
    </row>
    <row r="13215" spans="40:42" x14ac:dyDescent="0.3">
      <c r="AN13215">
        <v>13211</v>
      </c>
      <c r="AO13215" s="11">
        <v>28852.080000000002</v>
      </c>
      <c r="AP13215" s="9">
        <v>2.6870755808225213</v>
      </c>
    </row>
    <row r="13216" spans="40:42" x14ac:dyDescent="0.3">
      <c r="AN13216">
        <v>13212</v>
      </c>
      <c r="AO13216" s="11">
        <v>27689.07</v>
      </c>
      <c r="AP13216" s="9">
        <v>3.3687210959295597</v>
      </c>
    </row>
    <row r="13217" spans="40:42" x14ac:dyDescent="0.3">
      <c r="AN13217">
        <v>13213</v>
      </c>
      <c r="AO13217" s="11">
        <v>29294.78</v>
      </c>
      <c r="AP13217" s="9">
        <v>3.5506603925609195</v>
      </c>
    </row>
    <row r="13218" spans="40:42" x14ac:dyDescent="0.3">
      <c r="AN13218">
        <v>13214</v>
      </c>
      <c r="AO13218" s="11">
        <v>24457.16</v>
      </c>
      <c r="AP13218" s="9">
        <v>3.17951548696329</v>
      </c>
    </row>
    <row r="13219" spans="40:42" x14ac:dyDescent="0.3">
      <c r="AN13219">
        <v>13215</v>
      </c>
      <c r="AO13219" s="11">
        <v>30150.880000000001</v>
      </c>
      <c r="AP13219" s="9">
        <v>3.4301378236996953</v>
      </c>
    </row>
    <row r="13220" spans="40:42" x14ac:dyDescent="0.3">
      <c r="AN13220">
        <v>13216</v>
      </c>
      <c r="AO13220" s="11">
        <v>37045.910000000003</v>
      </c>
      <c r="AP13220" s="9">
        <v>3.7241150731462791</v>
      </c>
    </row>
    <row r="13221" spans="40:42" x14ac:dyDescent="0.3">
      <c r="AN13221">
        <v>13217</v>
      </c>
      <c r="AO13221" s="11">
        <v>33223.089999999997</v>
      </c>
      <c r="AP13221" s="9">
        <v>3.144928338604617</v>
      </c>
    </row>
    <row r="13222" spans="40:42" x14ac:dyDescent="0.3">
      <c r="AN13222">
        <v>13218</v>
      </c>
      <c r="AO13222" s="11">
        <v>30003.17</v>
      </c>
      <c r="AP13222" s="9">
        <v>3.4844096361681149</v>
      </c>
    </row>
    <row r="13223" spans="40:42" x14ac:dyDescent="0.3">
      <c r="AN13223">
        <v>13219</v>
      </c>
      <c r="AO13223" s="11">
        <v>32076.47</v>
      </c>
      <c r="AP13223" s="9">
        <v>3.4731627047187801</v>
      </c>
    </row>
    <row r="13224" spans="40:42" x14ac:dyDescent="0.3">
      <c r="AN13224">
        <v>13220</v>
      </c>
      <c r="AO13224" s="11">
        <v>23307.63</v>
      </c>
      <c r="AP13224" s="9">
        <v>3.8329987287376976</v>
      </c>
    </row>
    <row r="13225" spans="40:42" x14ac:dyDescent="0.3">
      <c r="AN13225">
        <v>13221</v>
      </c>
      <c r="AO13225" s="11">
        <v>17474.2</v>
      </c>
      <c r="AP13225" s="9">
        <v>3.0173311327476084</v>
      </c>
    </row>
    <row r="13226" spans="40:42" x14ac:dyDescent="0.3">
      <c r="AN13226">
        <v>13222</v>
      </c>
      <c r="AO13226" s="11">
        <v>27293</v>
      </c>
      <c r="AP13226" s="9">
        <v>3.4903428659520559</v>
      </c>
    </row>
    <row r="13227" spans="40:42" x14ac:dyDescent="0.3">
      <c r="AN13227">
        <v>13223</v>
      </c>
      <c r="AO13227" s="11">
        <v>26158.03</v>
      </c>
      <c r="AP13227" s="9">
        <v>2.9864000112659865</v>
      </c>
    </row>
    <row r="13228" spans="40:42" x14ac:dyDescent="0.3">
      <c r="AN13228">
        <v>13224</v>
      </c>
      <c r="AO13228" s="11">
        <v>34720.800000000003</v>
      </c>
      <c r="AP13228" s="9">
        <v>4.0866998300738828</v>
      </c>
    </row>
    <row r="13229" spans="40:42" x14ac:dyDescent="0.3">
      <c r="AN13229">
        <v>13225</v>
      </c>
      <c r="AO13229" s="11">
        <v>23707.23</v>
      </c>
      <c r="AP13229" s="9">
        <v>2.7665117832913375</v>
      </c>
    </row>
    <row r="13230" spans="40:42" x14ac:dyDescent="0.3">
      <c r="AN13230">
        <v>13226</v>
      </c>
      <c r="AO13230" s="11">
        <v>26607.119999999999</v>
      </c>
      <c r="AP13230" s="9">
        <v>3.6824358440830727</v>
      </c>
    </row>
    <row r="13231" spans="40:42" x14ac:dyDescent="0.3">
      <c r="AN13231">
        <v>13227</v>
      </c>
      <c r="AO13231" s="11">
        <v>23124.33</v>
      </c>
      <c r="AP13231" s="9">
        <v>2.8642212897344081</v>
      </c>
    </row>
    <row r="13232" spans="40:42" x14ac:dyDescent="0.3">
      <c r="AN13232">
        <v>13228</v>
      </c>
      <c r="AO13232" s="11">
        <v>15278.76</v>
      </c>
      <c r="AP13232" s="9">
        <v>2.683483689699651</v>
      </c>
    </row>
    <row r="13233" spans="40:42" x14ac:dyDescent="0.3">
      <c r="AN13233">
        <v>13229</v>
      </c>
      <c r="AO13233" s="11">
        <v>26766.3</v>
      </c>
      <c r="AP13233" s="9">
        <v>2.8580276419866029</v>
      </c>
    </row>
    <row r="13234" spans="40:42" x14ac:dyDescent="0.3">
      <c r="AN13234">
        <v>13230</v>
      </c>
      <c r="AO13234" s="11">
        <v>23273.58</v>
      </c>
      <c r="AP13234" s="9">
        <v>3.7262518232512387</v>
      </c>
    </row>
    <row r="13235" spans="40:42" x14ac:dyDescent="0.3">
      <c r="AN13235">
        <v>13231</v>
      </c>
      <c r="AO13235" s="11">
        <v>30403.55</v>
      </c>
      <c r="AP13235" s="9">
        <v>3.5284226601861293</v>
      </c>
    </row>
    <row r="13236" spans="40:42" x14ac:dyDescent="0.3">
      <c r="AN13236">
        <v>13232</v>
      </c>
      <c r="AO13236" s="11">
        <v>36209.040000000001</v>
      </c>
      <c r="AP13236" s="9">
        <v>3.1319796325324103</v>
      </c>
    </row>
    <row r="13237" spans="40:42" x14ac:dyDescent="0.3">
      <c r="AN13237">
        <v>13233</v>
      </c>
      <c r="AO13237" s="11">
        <v>22640.11</v>
      </c>
      <c r="AP13237" s="9">
        <v>3.0359032407133064</v>
      </c>
    </row>
    <row r="13238" spans="40:42" x14ac:dyDescent="0.3">
      <c r="AN13238">
        <v>13234</v>
      </c>
      <c r="AO13238" s="11">
        <v>20784.28</v>
      </c>
      <c r="AP13238" s="9">
        <v>3.1991663220530446</v>
      </c>
    </row>
    <row r="13239" spans="40:42" x14ac:dyDescent="0.3">
      <c r="AN13239">
        <v>13235</v>
      </c>
      <c r="AO13239" s="11">
        <v>31120.21</v>
      </c>
      <c r="AP13239" s="9">
        <v>3.6388048260429824</v>
      </c>
    </row>
    <row r="13240" spans="40:42" x14ac:dyDescent="0.3">
      <c r="AN13240">
        <v>13236</v>
      </c>
      <c r="AO13240" s="11">
        <v>32228.73</v>
      </c>
      <c r="AP13240" s="9">
        <v>3.8055513140624577</v>
      </c>
    </row>
    <row r="13241" spans="40:42" x14ac:dyDescent="0.3">
      <c r="AN13241">
        <v>13237</v>
      </c>
      <c r="AO13241" s="11">
        <v>25652.19</v>
      </c>
      <c r="AP13241" s="9">
        <v>3.1660338311152754</v>
      </c>
    </row>
    <row r="13242" spans="40:42" x14ac:dyDescent="0.3">
      <c r="AN13242">
        <v>13238</v>
      </c>
      <c r="AO13242" s="11">
        <v>23819.79</v>
      </c>
      <c r="AP13242" s="9">
        <v>3.2501156950328078</v>
      </c>
    </row>
    <row r="13243" spans="40:42" x14ac:dyDescent="0.3">
      <c r="AN13243">
        <v>13239</v>
      </c>
      <c r="AO13243" s="11">
        <v>22788.720000000001</v>
      </c>
      <c r="AP13243" s="9">
        <v>3.1799824829872074</v>
      </c>
    </row>
    <row r="13244" spans="40:42" x14ac:dyDescent="0.3">
      <c r="AN13244">
        <v>13240</v>
      </c>
      <c r="AO13244" s="11">
        <v>40912.9</v>
      </c>
      <c r="AP13244" s="9">
        <v>3.5614520001998087</v>
      </c>
    </row>
    <row r="13245" spans="40:42" x14ac:dyDescent="0.3">
      <c r="AN13245">
        <v>13241</v>
      </c>
      <c r="AO13245" s="11">
        <v>36669.33</v>
      </c>
      <c r="AP13245" s="9">
        <v>4.0260550562891559</v>
      </c>
    </row>
    <row r="13246" spans="40:42" x14ac:dyDescent="0.3">
      <c r="AN13246">
        <v>13242</v>
      </c>
      <c r="AO13246" s="11">
        <v>18674.87</v>
      </c>
      <c r="AP13246" s="9">
        <v>2.8312652030673542</v>
      </c>
    </row>
    <row r="13247" spans="40:42" x14ac:dyDescent="0.3">
      <c r="AN13247">
        <v>13243</v>
      </c>
      <c r="AO13247" s="11">
        <v>26780.11</v>
      </c>
      <c r="AP13247" s="9">
        <v>2.9309122031901169</v>
      </c>
    </row>
    <row r="13248" spans="40:42" x14ac:dyDescent="0.3">
      <c r="AN13248">
        <v>13244</v>
      </c>
      <c r="AO13248" s="11">
        <v>35451.339999999997</v>
      </c>
      <c r="AP13248" s="9">
        <v>3.2924461888769097</v>
      </c>
    </row>
    <row r="13249" spans="40:42" x14ac:dyDescent="0.3">
      <c r="AN13249">
        <v>13245</v>
      </c>
      <c r="AO13249" s="11">
        <v>37681.65</v>
      </c>
      <c r="AP13249" s="9">
        <v>3.6015380157545471</v>
      </c>
    </row>
    <row r="13250" spans="40:42" x14ac:dyDescent="0.3">
      <c r="AN13250">
        <v>13246</v>
      </c>
      <c r="AO13250" s="11">
        <v>29868.6</v>
      </c>
      <c r="AP13250" s="9">
        <v>3.8989624580622912</v>
      </c>
    </row>
    <row r="13251" spans="40:42" x14ac:dyDescent="0.3">
      <c r="AN13251">
        <v>13247</v>
      </c>
      <c r="AO13251" s="11">
        <v>18186.150000000001</v>
      </c>
      <c r="AP13251" s="9">
        <v>2.5164857750209122</v>
      </c>
    </row>
    <row r="13252" spans="40:42" x14ac:dyDescent="0.3">
      <c r="AN13252">
        <v>13248</v>
      </c>
      <c r="AO13252" s="11">
        <v>36939.089999999997</v>
      </c>
      <c r="AP13252" s="9">
        <v>3.1425816299758864</v>
      </c>
    </row>
    <row r="13253" spans="40:42" x14ac:dyDescent="0.3">
      <c r="AN13253">
        <v>13249</v>
      </c>
      <c r="AO13253" s="11">
        <v>29770.21</v>
      </c>
      <c r="AP13253" s="9">
        <v>3.6419829049495327</v>
      </c>
    </row>
    <row r="13254" spans="40:42" x14ac:dyDescent="0.3">
      <c r="AN13254">
        <v>13250</v>
      </c>
      <c r="AO13254" s="11">
        <v>26261.01</v>
      </c>
      <c r="AP13254" s="9">
        <v>3.092397333480406</v>
      </c>
    </row>
    <row r="13255" spans="40:42" x14ac:dyDescent="0.3">
      <c r="AN13255">
        <v>13251</v>
      </c>
      <c r="AO13255" s="11">
        <v>17584.64</v>
      </c>
      <c r="AP13255" s="9">
        <v>2.8711178374530717</v>
      </c>
    </row>
    <row r="13256" spans="40:42" x14ac:dyDescent="0.3">
      <c r="AN13256">
        <v>13252</v>
      </c>
      <c r="AO13256" s="11">
        <v>30838.23</v>
      </c>
      <c r="AP13256" s="9">
        <v>3.1698114882456689</v>
      </c>
    </row>
    <row r="13257" spans="40:42" x14ac:dyDescent="0.3">
      <c r="AN13257">
        <v>13253</v>
      </c>
      <c r="AO13257" s="11">
        <v>28263.81</v>
      </c>
      <c r="AP13257" s="9">
        <v>3.5146267167037024</v>
      </c>
    </row>
    <row r="13258" spans="40:42" x14ac:dyDescent="0.3">
      <c r="AN13258">
        <v>13254</v>
      </c>
      <c r="AO13258" s="11">
        <v>21019.34</v>
      </c>
      <c r="AP13258" s="9">
        <v>2.9788033842715622</v>
      </c>
    </row>
    <row r="13259" spans="40:42" x14ac:dyDescent="0.3">
      <c r="AN13259">
        <v>13255</v>
      </c>
      <c r="AO13259" s="11">
        <v>37510.21</v>
      </c>
      <c r="AP13259" s="9">
        <v>3.8467750434707821</v>
      </c>
    </row>
    <row r="13260" spans="40:42" x14ac:dyDescent="0.3">
      <c r="AN13260">
        <v>13256</v>
      </c>
      <c r="AO13260" s="11">
        <v>26307.64</v>
      </c>
      <c r="AP13260" s="9">
        <v>3.3713417505526189</v>
      </c>
    </row>
    <row r="13261" spans="40:42" x14ac:dyDescent="0.3">
      <c r="AN13261">
        <v>13257</v>
      </c>
      <c r="AO13261" s="11">
        <v>18851.98</v>
      </c>
      <c r="AP13261" s="9">
        <v>2.9738045520298275</v>
      </c>
    </row>
    <row r="13262" spans="40:42" x14ac:dyDescent="0.3">
      <c r="AN13262">
        <v>13258</v>
      </c>
      <c r="AO13262" s="11">
        <v>28083.52</v>
      </c>
      <c r="AP13262" s="9">
        <v>3.5339109659648065</v>
      </c>
    </row>
    <row r="13263" spans="40:42" x14ac:dyDescent="0.3">
      <c r="AN13263">
        <v>13259</v>
      </c>
      <c r="AO13263" s="11">
        <v>30705.94</v>
      </c>
      <c r="AP13263" s="9">
        <v>2.8924714487283865</v>
      </c>
    </row>
    <row r="13264" spans="40:42" x14ac:dyDescent="0.3">
      <c r="AN13264">
        <v>13260</v>
      </c>
      <c r="AO13264" s="11">
        <v>22925.119999999999</v>
      </c>
      <c r="AP13264" s="9">
        <v>3.0258842541191791</v>
      </c>
    </row>
    <row r="13265" spans="40:42" x14ac:dyDescent="0.3">
      <c r="AN13265">
        <v>13261</v>
      </c>
      <c r="AO13265" s="11">
        <v>24533.19</v>
      </c>
      <c r="AP13265" s="9">
        <v>2.885024351243124</v>
      </c>
    </row>
    <row r="13266" spans="40:42" x14ac:dyDescent="0.3">
      <c r="AN13266">
        <v>13262</v>
      </c>
      <c r="AO13266" s="11">
        <v>12650.29</v>
      </c>
      <c r="AP13266" s="9">
        <v>3.1129647408015466</v>
      </c>
    </row>
    <row r="13267" spans="40:42" x14ac:dyDescent="0.3">
      <c r="AN13267">
        <v>13263</v>
      </c>
      <c r="AO13267" s="11">
        <v>23552.42</v>
      </c>
      <c r="AP13267" s="9">
        <v>3.8773863290613835</v>
      </c>
    </row>
    <row r="13268" spans="40:42" x14ac:dyDescent="0.3">
      <c r="AN13268">
        <v>13264</v>
      </c>
      <c r="AO13268" s="11">
        <v>25215.58</v>
      </c>
      <c r="AP13268" s="9">
        <v>2.89455960991768</v>
      </c>
    </row>
    <row r="13269" spans="40:42" x14ac:dyDescent="0.3">
      <c r="AN13269">
        <v>13265</v>
      </c>
      <c r="AO13269" s="11">
        <v>26367.22</v>
      </c>
      <c r="AP13269" s="9">
        <v>3.2956351204248402</v>
      </c>
    </row>
    <row r="13270" spans="40:42" x14ac:dyDescent="0.3">
      <c r="AN13270">
        <v>13266</v>
      </c>
      <c r="AO13270" s="11">
        <v>31895.47</v>
      </c>
      <c r="AP13270" s="9">
        <v>3.2586245968373211</v>
      </c>
    </row>
    <row r="13271" spans="40:42" x14ac:dyDescent="0.3">
      <c r="AN13271">
        <v>13267</v>
      </c>
      <c r="AO13271" s="11">
        <v>20616.39</v>
      </c>
      <c r="AP13271" s="9">
        <v>2.9583098518566788</v>
      </c>
    </row>
    <row r="13272" spans="40:42" x14ac:dyDescent="0.3">
      <c r="AN13272">
        <v>13268</v>
      </c>
      <c r="AO13272" s="11">
        <v>20094.39</v>
      </c>
      <c r="AP13272" s="9">
        <v>3.1593336267798025</v>
      </c>
    </row>
    <row r="13273" spans="40:42" x14ac:dyDescent="0.3">
      <c r="AN13273">
        <v>13269</v>
      </c>
      <c r="AO13273" s="11">
        <v>21991.97</v>
      </c>
      <c r="AP13273" s="9">
        <v>3.9908850899500972</v>
      </c>
    </row>
    <row r="13274" spans="40:42" x14ac:dyDescent="0.3">
      <c r="AN13274">
        <v>13270</v>
      </c>
      <c r="AO13274" s="11">
        <v>23562.77</v>
      </c>
      <c r="AP13274" s="9">
        <v>2.8991279640738763</v>
      </c>
    </row>
    <row r="13275" spans="40:42" x14ac:dyDescent="0.3">
      <c r="AN13275">
        <v>13271</v>
      </c>
      <c r="AO13275" s="11">
        <v>28264.58</v>
      </c>
      <c r="AP13275" s="9">
        <v>3.2518591587179806</v>
      </c>
    </row>
    <row r="13276" spans="40:42" x14ac:dyDescent="0.3">
      <c r="AN13276">
        <v>13272</v>
      </c>
      <c r="AO13276" s="11">
        <v>30142.31</v>
      </c>
      <c r="AP13276" s="9">
        <v>4.2935068172792406</v>
      </c>
    </row>
    <row r="13277" spans="40:42" x14ac:dyDescent="0.3">
      <c r="AN13277">
        <v>13273</v>
      </c>
      <c r="AO13277" s="11">
        <v>25209.52</v>
      </c>
      <c r="AP13277" s="9">
        <v>3.3968522999619735</v>
      </c>
    </row>
    <row r="13278" spans="40:42" x14ac:dyDescent="0.3">
      <c r="AN13278">
        <v>13274</v>
      </c>
      <c r="AO13278" s="11">
        <v>27842.37</v>
      </c>
      <c r="AP13278" s="9">
        <v>3.1725403123875107</v>
      </c>
    </row>
    <row r="13279" spans="40:42" x14ac:dyDescent="0.3">
      <c r="AN13279">
        <v>13275</v>
      </c>
      <c r="AO13279" s="11">
        <v>31581.48</v>
      </c>
      <c r="AP13279" s="9">
        <v>3.7596705056841793</v>
      </c>
    </row>
    <row r="13280" spans="40:42" x14ac:dyDescent="0.3">
      <c r="AN13280">
        <v>13276</v>
      </c>
      <c r="AO13280" s="11">
        <v>38250.65</v>
      </c>
      <c r="AP13280" s="9">
        <v>3.7576058483040051</v>
      </c>
    </row>
    <row r="13281" spans="40:42" x14ac:dyDescent="0.3">
      <c r="AN13281">
        <v>13277</v>
      </c>
      <c r="AO13281" s="11">
        <v>21904.89</v>
      </c>
      <c r="AP13281" s="9">
        <v>3.0674409480225897</v>
      </c>
    </row>
    <row r="13282" spans="40:42" x14ac:dyDescent="0.3">
      <c r="AN13282">
        <v>13278</v>
      </c>
      <c r="AO13282" s="11">
        <v>19409.29</v>
      </c>
      <c r="AP13282" s="9">
        <v>3.0041411551469177</v>
      </c>
    </row>
    <row r="13283" spans="40:42" x14ac:dyDescent="0.3">
      <c r="AN13283">
        <v>13279</v>
      </c>
      <c r="AO13283" s="11">
        <v>31453.58</v>
      </c>
      <c r="AP13283" s="9">
        <v>3.1308009620163384</v>
      </c>
    </row>
    <row r="13284" spans="40:42" x14ac:dyDescent="0.3">
      <c r="AN13284">
        <v>13280</v>
      </c>
      <c r="AO13284" s="11">
        <v>22139.43</v>
      </c>
      <c r="AP13284" s="9">
        <v>3.3891024415468967</v>
      </c>
    </row>
    <row r="13285" spans="40:42" x14ac:dyDescent="0.3">
      <c r="AN13285">
        <v>13281</v>
      </c>
      <c r="AO13285" s="11">
        <v>19924.63</v>
      </c>
      <c r="AP13285" s="9">
        <v>3.4222490734854305</v>
      </c>
    </row>
    <row r="13286" spans="40:42" x14ac:dyDescent="0.3">
      <c r="AN13286">
        <v>13282</v>
      </c>
      <c r="AO13286" s="11">
        <v>34819.14</v>
      </c>
      <c r="AP13286" s="9">
        <v>3.184544760235458</v>
      </c>
    </row>
    <row r="13287" spans="40:42" x14ac:dyDescent="0.3">
      <c r="AN13287">
        <v>13283</v>
      </c>
      <c r="AO13287" s="11">
        <v>25036.73</v>
      </c>
      <c r="AP13287" s="9">
        <v>3.799143296427415</v>
      </c>
    </row>
    <row r="13288" spans="40:42" x14ac:dyDescent="0.3">
      <c r="AN13288">
        <v>13284</v>
      </c>
      <c r="AO13288" s="11">
        <v>25417.93</v>
      </c>
      <c r="AP13288" s="9">
        <v>3.5173438499505076</v>
      </c>
    </row>
    <row r="13289" spans="40:42" x14ac:dyDescent="0.3">
      <c r="AN13289">
        <v>13285</v>
      </c>
      <c r="AO13289" s="11">
        <v>22797.97</v>
      </c>
      <c r="AP13289" s="9">
        <v>3.7811966261881467</v>
      </c>
    </row>
    <row r="13290" spans="40:42" x14ac:dyDescent="0.3">
      <c r="AN13290">
        <v>13286</v>
      </c>
      <c r="AO13290" s="11">
        <v>31165.37</v>
      </c>
      <c r="AP13290" s="9">
        <v>3.1013363528932016</v>
      </c>
    </row>
    <row r="13291" spans="40:42" x14ac:dyDescent="0.3">
      <c r="AN13291">
        <v>13287</v>
      </c>
      <c r="AO13291" s="11">
        <v>31731.99</v>
      </c>
      <c r="AP13291" s="9">
        <v>2.9739615504842334</v>
      </c>
    </row>
    <row r="13292" spans="40:42" x14ac:dyDescent="0.3">
      <c r="AN13292">
        <v>13288</v>
      </c>
      <c r="AO13292" s="11">
        <v>37392.53</v>
      </c>
      <c r="AP13292" s="9">
        <v>3.3120624770562803</v>
      </c>
    </row>
    <row r="13293" spans="40:42" x14ac:dyDescent="0.3">
      <c r="AN13293">
        <v>13289</v>
      </c>
      <c r="AO13293" s="11">
        <v>34130.93</v>
      </c>
      <c r="AP13293" s="9">
        <v>3.3774875465702157</v>
      </c>
    </row>
    <row r="13294" spans="40:42" x14ac:dyDescent="0.3">
      <c r="AN13294">
        <v>13290</v>
      </c>
      <c r="AO13294" s="11">
        <v>26882.799999999999</v>
      </c>
      <c r="AP13294" s="9">
        <v>3.6352319192469555</v>
      </c>
    </row>
    <row r="13295" spans="40:42" x14ac:dyDescent="0.3">
      <c r="AN13295">
        <v>13291</v>
      </c>
      <c r="AO13295" s="11">
        <v>26157.34</v>
      </c>
      <c r="AP13295" s="9">
        <v>3.755331792961234</v>
      </c>
    </row>
    <row r="13296" spans="40:42" x14ac:dyDescent="0.3">
      <c r="AN13296">
        <v>13292</v>
      </c>
      <c r="AO13296" s="11">
        <v>15271.89</v>
      </c>
      <c r="AP13296" s="9">
        <v>2.7381574215073758</v>
      </c>
    </row>
    <row r="13297" spans="40:42" x14ac:dyDescent="0.3">
      <c r="AN13297">
        <v>13293</v>
      </c>
      <c r="AO13297" s="11">
        <v>25649.59</v>
      </c>
      <c r="AP13297" s="9">
        <v>3.0121818295302627</v>
      </c>
    </row>
    <row r="13298" spans="40:42" x14ac:dyDescent="0.3">
      <c r="AN13298">
        <v>13294</v>
      </c>
      <c r="AO13298" s="11">
        <v>33048.19</v>
      </c>
      <c r="AP13298" s="9">
        <v>3.3797809432172907</v>
      </c>
    </row>
    <row r="13299" spans="40:42" x14ac:dyDescent="0.3">
      <c r="AN13299">
        <v>13295</v>
      </c>
      <c r="AO13299" s="11">
        <v>46736.91</v>
      </c>
      <c r="AP13299" s="9">
        <v>3.8247197657658609</v>
      </c>
    </row>
    <row r="13300" spans="40:42" x14ac:dyDescent="0.3">
      <c r="AN13300">
        <v>13296</v>
      </c>
      <c r="AO13300" s="11">
        <v>21633.24</v>
      </c>
      <c r="AP13300" s="9">
        <v>3.3921539248786088</v>
      </c>
    </row>
    <row r="13301" spans="40:42" x14ac:dyDescent="0.3">
      <c r="AN13301">
        <v>13297</v>
      </c>
      <c r="AO13301" s="11">
        <v>34355.089999999997</v>
      </c>
      <c r="AP13301" s="9">
        <v>3.6379188221900134</v>
      </c>
    </row>
    <row r="13302" spans="40:42" x14ac:dyDescent="0.3">
      <c r="AN13302">
        <v>13298</v>
      </c>
      <c r="AO13302" s="11">
        <v>28207.94</v>
      </c>
      <c r="AP13302" s="9">
        <v>3.4778576559468242</v>
      </c>
    </row>
    <row r="13303" spans="40:42" x14ac:dyDescent="0.3">
      <c r="AN13303">
        <v>13299</v>
      </c>
      <c r="AO13303" s="11">
        <v>36706.949999999997</v>
      </c>
      <c r="AP13303" s="9">
        <v>3.4184662324790334</v>
      </c>
    </row>
    <row r="13304" spans="40:42" x14ac:dyDescent="0.3">
      <c r="AN13304">
        <v>13300</v>
      </c>
      <c r="AO13304" s="11">
        <v>20760.3</v>
      </c>
      <c r="AP13304" s="9">
        <v>3.6059066810168137</v>
      </c>
    </row>
    <row r="13305" spans="40:42" x14ac:dyDescent="0.3">
      <c r="AN13305">
        <v>13301</v>
      </c>
      <c r="AO13305" s="11">
        <v>18158.68</v>
      </c>
      <c r="AP13305" s="9">
        <v>2.8408604515444633</v>
      </c>
    </row>
    <row r="13306" spans="40:42" x14ac:dyDescent="0.3">
      <c r="AN13306">
        <v>13302</v>
      </c>
      <c r="AO13306" s="11">
        <v>23069.79</v>
      </c>
      <c r="AP13306" s="9">
        <v>2.9518959378918077</v>
      </c>
    </row>
    <row r="13307" spans="40:42" x14ac:dyDescent="0.3">
      <c r="AN13307">
        <v>13303</v>
      </c>
      <c r="AO13307" s="11">
        <v>28622.46</v>
      </c>
      <c r="AP13307" s="9">
        <v>3.6012238451355372</v>
      </c>
    </row>
    <row r="13308" spans="40:42" x14ac:dyDescent="0.3">
      <c r="AN13308">
        <v>13304</v>
      </c>
      <c r="AO13308" s="11">
        <v>41106.559999999998</v>
      </c>
      <c r="AP13308" s="9">
        <v>3.4183230002666312</v>
      </c>
    </row>
    <row r="13309" spans="40:42" x14ac:dyDescent="0.3">
      <c r="AN13309">
        <v>13305</v>
      </c>
      <c r="AO13309" s="11">
        <v>19965.830000000002</v>
      </c>
      <c r="AP13309" s="9">
        <v>3.7473937443862706</v>
      </c>
    </row>
    <row r="13310" spans="40:42" x14ac:dyDescent="0.3">
      <c r="AN13310">
        <v>13306</v>
      </c>
      <c r="AO13310" s="11">
        <v>27509.94</v>
      </c>
      <c r="AP13310" s="9">
        <v>3.3202635543513197</v>
      </c>
    </row>
    <row r="13311" spans="40:42" x14ac:dyDescent="0.3">
      <c r="AN13311">
        <v>13307</v>
      </c>
      <c r="AO13311" s="11">
        <v>34339.370000000003</v>
      </c>
      <c r="AP13311" s="9">
        <v>3.5442031013147348</v>
      </c>
    </row>
    <row r="13312" spans="40:42" x14ac:dyDescent="0.3">
      <c r="AN13312">
        <v>13308</v>
      </c>
      <c r="AO13312" s="11">
        <v>20509.650000000001</v>
      </c>
      <c r="AP13312" s="9">
        <v>3.4541067361199271</v>
      </c>
    </row>
    <row r="13313" spans="40:42" x14ac:dyDescent="0.3">
      <c r="AN13313">
        <v>13309</v>
      </c>
      <c r="AO13313" s="11">
        <v>18315.36</v>
      </c>
      <c r="AP13313" s="9">
        <v>3.2921546539695061</v>
      </c>
    </row>
    <row r="13314" spans="40:42" x14ac:dyDescent="0.3">
      <c r="AN13314">
        <v>13310</v>
      </c>
      <c r="AO13314" s="11">
        <v>24740.2</v>
      </c>
      <c r="AP13314" s="9">
        <v>2.9217880936873595</v>
      </c>
    </row>
    <row r="13315" spans="40:42" x14ac:dyDescent="0.3">
      <c r="AN13315">
        <v>13311</v>
      </c>
      <c r="AO13315" s="11">
        <v>25493.759999999998</v>
      </c>
      <c r="AP13315" s="9">
        <v>3.2351706641655458</v>
      </c>
    </row>
    <row r="13316" spans="40:42" x14ac:dyDescent="0.3">
      <c r="AN13316">
        <v>13312</v>
      </c>
      <c r="AO13316" s="11">
        <v>25421.15</v>
      </c>
      <c r="AP13316" s="9">
        <v>2.9837385102012082</v>
      </c>
    </row>
    <row r="13317" spans="40:42" x14ac:dyDescent="0.3">
      <c r="AN13317">
        <v>13313</v>
      </c>
      <c r="AO13317" s="11">
        <v>34682.160000000003</v>
      </c>
      <c r="AP13317" s="9">
        <v>3.1468753884102028</v>
      </c>
    </row>
    <row r="13318" spans="40:42" x14ac:dyDescent="0.3">
      <c r="AN13318">
        <v>13314</v>
      </c>
      <c r="AO13318" s="11">
        <v>25950.53</v>
      </c>
      <c r="AP13318" s="9">
        <v>3.3493750267407756</v>
      </c>
    </row>
    <row r="13319" spans="40:42" x14ac:dyDescent="0.3">
      <c r="AN13319">
        <v>13315</v>
      </c>
      <c r="AO13319" s="11">
        <v>21759</v>
      </c>
      <c r="AP13319" s="9">
        <v>3.125021249847987</v>
      </c>
    </row>
    <row r="13320" spans="40:42" x14ac:dyDescent="0.3">
      <c r="AN13320">
        <v>13316</v>
      </c>
      <c r="AO13320" s="11">
        <v>27640.53</v>
      </c>
      <c r="AP13320" s="9">
        <v>3.6963214078925595</v>
      </c>
    </row>
    <row r="13321" spans="40:42" x14ac:dyDescent="0.3">
      <c r="AN13321">
        <v>13317</v>
      </c>
      <c r="AO13321" s="11">
        <v>16560.12</v>
      </c>
      <c r="AP13321" s="9">
        <v>3.4043703680546389</v>
      </c>
    </row>
    <row r="13322" spans="40:42" x14ac:dyDescent="0.3">
      <c r="AN13322">
        <v>13318</v>
      </c>
      <c r="AO13322" s="11">
        <v>19210.349999999999</v>
      </c>
      <c r="AP13322" s="9">
        <v>3.2918406835763068</v>
      </c>
    </row>
    <row r="13323" spans="40:42" x14ac:dyDescent="0.3">
      <c r="AN13323">
        <v>13319</v>
      </c>
      <c r="AO13323" s="11">
        <v>21642.1</v>
      </c>
      <c r="AP13323" s="9">
        <v>3.1153006850990423</v>
      </c>
    </row>
    <row r="13324" spans="40:42" x14ac:dyDescent="0.3">
      <c r="AN13324">
        <v>13320</v>
      </c>
      <c r="AO13324" s="11">
        <v>24558.09</v>
      </c>
      <c r="AP13324" s="9">
        <v>2.7697202822417983</v>
      </c>
    </row>
    <row r="13325" spans="40:42" x14ac:dyDescent="0.3">
      <c r="AN13325">
        <v>13321</v>
      </c>
      <c r="AO13325" s="11">
        <v>16656.990000000002</v>
      </c>
      <c r="AP13325" s="9">
        <v>3.038223540661428</v>
      </c>
    </row>
    <row r="13326" spans="40:42" x14ac:dyDescent="0.3">
      <c r="AN13326">
        <v>13322</v>
      </c>
      <c r="AO13326" s="11">
        <v>18316.73</v>
      </c>
      <c r="AP13326" s="9">
        <v>2.760425927218582</v>
      </c>
    </row>
    <row r="13327" spans="40:42" x14ac:dyDescent="0.3">
      <c r="AN13327">
        <v>13323</v>
      </c>
      <c r="AO13327" s="11">
        <v>22090.74</v>
      </c>
      <c r="AP13327" s="9">
        <v>3.2148688543023525</v>
      </c>
    </row>
    <row r="13328" spans="40:42" x14ac:dyDescent="0.3">
      <c r="AN13328">
        <v>13324</v>
      </c>
      <c r="AO13328" s="11">
        <v>18105.91</v>
      </c>
      <c r="AP13328" s="9">
        <v>2.9039222286164268</v>
      </c>
    </row>
    <row r="13329" spans="40:42" x14ac:dyDescent="0.3">
      <c r="AN13329">
        <v>13325</v>
      </c>
      <c r="AO13329" s="11">
        <v>18209.009999999998</v>
      </c>
      <c r="AP13329" s="9">
        <v>2.8816372942675583</v>
      </c>
    </row>
    <row r="13330" spans="40:42" x14ac:dyDescent="0.3">
      <c r="AN13330">
        <v>13326</v>
      </c>
      <c r="AO13330" s="11">
        <v>35807.730000000003</v>
      </c>
      <c r="AP13330" s="9">
        <v>3.5641751025621331</v>
      </c>
    </row>
    <row r="13331" spans="40:42" x14ac:dyDescent="0.3">
      <c r="AN13331">
        <v>13327</v>
      </c>
      <c r="AO13331" s="11">
        <v>23365.279999999999</v>
      </c>
      <c r="AP13331" s="9">
        <v>2.712246073994562</v>
      </c>
    </row>
    <row r="13332" spans="40:42" x14ac:dyDescent="0.3">
      <c r="AN13332">
        <v>13328</v>
      </c>
      <c r="AO13332" s="11">
        <v>26782.57</v>
      </c>
      <c r="AP13332" s="9">
        <v>3.3215224831051962</v>
      </c>
    </row>
    <row r="13333" spans="40:42" x14ac:dyDescent="0.3">
      <c r="AN13333">
        <v>13329</v>
      </c>
      <c r="AO13333" s="11">
        <v>25622.240000000002</v>
      </c>
      <c r="AP13333" s="9">
        <v>3.7972790968208505</v>
      </c>
    </row>
    <row r="13334" spans="40:42" x14ac:dyDescent="0.3">
      <c r="AN13334">
        <v>13330</v>
      </c>
      <c r="AO13334" s="11">
        <v>20773.79</v>
      </c>
      <c r="AP13334" s="9">
        <v>3.2410998480632056</v>
      </c>
    </row>
    <row r="13335" spans="40:42" x14ac:dyDescent="0.3">
      <c r="AN13335">
        <v>13331</v>
      </c>
      <c r="AO13335" s="11">
        <v>21235.15</v>
      </c>
      <c r="AP13335" s="9">
        <v>3.0184392606715713</v>
      </c>
    </row>
    <row r="13336" spans="40:42" x14ac:dyDescent="0.3">
      <c r="AN13336">
        <v>13332</v>
      </c>
      <c r="AO13336" s="11">
        <v>21452.03</v>
      </c>
      <c r="AP13336" s="9">
        <v>3.5617353115449952</v>
      </c>
    </row>
    <row r="13337" spans="40:42" x14ac:dyDescent="0.3">
      <c r="AN13337">
        <v>13333</v>
      </c>
      <c r="AO13337" s="11">
        <v>22824.6</v>
      </c>
      <c r="AP13337" s="9">
        <v>3.3946244476918448</v>
      </c>
    </row>
    <row r="13338" spans="40:42" x14ac:dyDescent="0.3">
      <c r="AN13338">
        <v>13334</v>
      </c>
      <c r="AO13338" s="11">
        <v>29276.34</v>
      </c>
      <c r="AP13338" s="9">
        <v>3.2037218446634705</v>
      </c>
    </row>
    <row r="13339" spans="40:42" x14ac:dyDescent="0.3">
      <c r="AN13339">
        <v>13335</v>
      </c>
      <c r="AO13339" s="11">
        <v>23459.05</v>
      </c>
      <c r="AP13339" s="9">
        <v>3.3010867139606361</v>
      </c>
    </row>
    <row r="13340" spans="40:42" x14ac:dyDescent="0.3">
      <c r="AN13340">
        <v>13336</v>
      </c>
      <c r="AO13340" s="11">
        <v>27909.49</v>
      </c>
      <c r="AP13340" s="9">
        <v>3.9355421412934244</v>
      </c>
    </row>
    <row r="13341" spans="40:42" x14ac:dyDescent="0.3">
      <c r="AN13341">
        <v>13337</v>
      </c>
      <c r="AO13341" s="11">
        <v>19406.759999999998</v>
      </c>
      <c r="AP13341" s="9">
        <v>3.4292522387534743</v>
      </c>
    </row>
    <row r="13342" spans="40:42" x14ac:dyDescent="0.3">
      <c r="AN13342">
        <v>13338</v>
      </c>
      <c r="AO13342" s="11">
        <v>24284.7</v>
      </c>
      <c r="AP13342" s="9">
        <v>3.2739322430022972</v>
      </c>
    </row>
    <row r="13343" spans="40:42" x14ac:dyDescent="0.3">
      <c r="AN13343">
        <v>13339</v>
      </c>
      <c r="AO13343" s="11">
        <v>15802.33</v>
      </c>
      <c r="AP13343" s="9">
        <v>2.9320508145499167</v>
      </c>
    </row>
    <row r="13344" spans="40:42" x14ac:dyDescent="0.3">
      <c r="AN13344">
        <v>13340</v>
      </c>
      <c r="AO13344" s="11">
        <v>28308.92</v>
      </c>
      <c r="AP13344" s="9">
        <v>3.7270573311133988</v>
      </c>
    </row>
    <row r="13345" spans="40:42" x14ac:dyDescent="0.3">
      <c r="AN13345">
        <v>13341</v>
      </c>
      <c r="AO13345" s="11">
        <v>27825.41</v>
      </c>
      <c r="AP13345" s="9">
        <v>3.3534514663841564</v>
      </c>
    </row>
    <row r="13346" spans="40:42" x14ac:dyDescent="0.3">
      <c r="AN13346">
        <v>13342</v>
      </c>
      <c r="AO13346" s="11">
        <v>15998.94</v>
      </c>
      <c r="AP13346" s="9">
        <v>3.2138331651811738</v>
      </c>
    </row>
    <row r="13347" spans="40:42" x14ac:dyDescent="0.3">
      <c r="AN13347">
        <v>13343</v>
      </c>
      <c r="AO13347" s="11">
        <v>20058.29</v>
      </c>
      <c r="AP13347" s="9">
        <v>2.6816372653387899</v>
      </c>
    </row>
    <row r="13348" spans="40:42" x14ac:dyDescent="0.3">
      <c r="AN13348">
        <v>13344</v>
      </c>
      <c r="AO13348" s="11">
        <v>16890.71</v>
      </c>
      <c r="AP13348" s="9">
        <v>3.3609199406539494</v>
      </c>
    </row>
    <row r="13349" spans="40:42" x14ac:dyDescent="0.3">
      <c r="AN13349">
        <v>13345</v>
      </c>
      <c r="AO13349" s="11">
        <v>35371.919999999998</v>
      </c>
      <c r="AP13349" s="9">
        <v>3.592026867775282</v>
      </c>
    </row>
    <row r="13350" spans="40:42" x14ac:dyDescent="0.3">
      <c r="AN13350">
        <v>13346</v>
      </c>
      <c r="AO13350" s="11">
        <v>25265.599999999999</v>
      </c>
      <c r="AP13350" s="9">
        <v>2.8540031320280583</v>
      </c>
    </row>
    <row r="13351" spans="40:42" x14ac:dyDescent="0.3">
      <c r="AN13351">
        <v>13347</v>
      </c>
      <c r="AO13351" s="11">
        <v>22842.09</v>
      </c>
      <c r="AP13351" s="9">
        <v>3.0047297670082691</v>
      </c>
    </row>
    <row r="13352" spans="40:42" x14ac:dyDescent="0.3">
      <c r="AN13352">
        <v>13348</v>
      </c>
      <c r="AO13352" s="11">
        <v>33266.120000000003</v>
      </c>
      <c r="AP13352" s="9">
        <v>2.9642049599406795</v>
      </c>
    </row>
    <row r="13353" spans="40:42" x14ac:dyDescent="0.3">
      <c r="AN13353">
        <v>13349</v>
      </c>
      <c r="AO13353" s="11">
        <v>24580.73</v>
      </c>
      <c r="AP13353" s="9">
        <v>3.0137495865306958</v>
      </c>
    </row>
    <row r="13354" spans="40:42" x14ac:dyDescent="0.3">
      <c r="AN13354">
        <v>13350</v>
      </c>
      <c r="AO13354" s="11">
        <v>30101.47</v>
      </c>
      <c r="AP13354" s="9">
        <v>3.5407643647463782</v>
      </c>
    </row>
    <row r="13355" spans="40:42" x14ac:dyDescent="0.3">
      <c r="AN13355">
        <v>13351</v>
      </c>
      <c r="AO13355" s="11">
        <v>29837.3</v>
      </c>
      <c r="AP13355" s="9">
        <v>2.8130260306350099</v>
      </c>
    </row>
    <row r="13356" spans="40:42" x14ac:dyDescent="0.3">
      <c r="AN13356">
        <v>13352</v>
      </c>
      <c r="AO13356" s="11">
        <v>22480.95</v>
      </c>
      <c r="AP13356" s="9">
        <v>3.1911599080540531</v>
      </c>
    </row>
    <row r="13357" spans="40:42" x14ac:dyDescent="0.3">
      <c r="AN13357">
        <v>13353</v>
      </c>
      <c r="AO13357" s="11">
        <v>23962.42</v>
      </c>
      <c r="AP13357" s="9">
        <v>3.0877472048412646</v>
      </c>
    </row>
    <row r="13358" spans="40:42" x14ac:dyDescent="0.3">
      <c r="AN13358">
        <v>13354</v>
      </c>
      <c r="AO13358" s="11">
        <v>39626.699999999997</v>
      </c>
      <c r="AP13358" s="9">
        <v>3.6452295279244291</v>
      </c>
    </row>
    <row r="13359" spans="40:42" x14ac:dyDescent="0.3">
      <c r="AN13359">
        <v>13355</v>
      </c>
      <c r="AO13359" s="11">
        <v>30710.16</v>
      </c>
      <c r="AP13359" s="9">
        <v>3.0218123821644669</v>
      </c>
    </row>
    <row r="13360" spans="40:42" x14ac:dyDescent="0.3">
      <c r="AN13360">
        <v>13356</v>
      </c>
      <c r="AO13360" s="11">
        <v>31223.3</v>
      </c>
      <c r="AP13360" s="9">
        <v>3.5142441770969861</v>
      </c>
    </row>
    <row r="13361" spans="40:42" x14ac:dyDescent="0.3">
      <c r="AN13361">
        <v>13357</v>
      </c>
      <c r="AO13361" s="11">
        <v>18593.68</v>
      </c>
      <c r="AP13361" s="9">
        <v>3.5527670768372004</v>
      </c>
    </row>
    <row r="13362" spans="40:42" x14ac:dyDescent="0.3">
      <c r="AN13362">
        <v>13358</v>
      </c>
      <c r="AO13362" s="11">
        <v>34196.339999999997</v>
      </c>
      <c r="AP13362" s="9">
        <v>3.3444472994740275</v>
      </c>
    </row>
    <row r="13363" spans="40:42" x14ac:dyDescent="0.3">
      <c r="AN13363">
        <v>13359</v>
      </c>
      <c r="AO13363" s="11">
        <v>21214.38</v>
      </c>
      <c r="AP13363" s="9">
        <v>3.0048580023063081</v>
      </c>
    </row>
    <row r="13364" spans="40:42" x14ac:dyDescent="0.3">
      <c r="AN13364">
        <v>13360</v>
      </c>
      <c r="AO13364" s="11">
        <v>24696.46</v>
      </c>
      <c r="AP13364" s="9">
        <v>3.4979788603036246</v>
      </c>
    </row>
    <row r="13365" spans="40:42" x14ac:dyDescent="0.3">
      <c r="AN13365">
        <v>13361</v>
      </c>
      <c r="AO13365" s="11">
        <v>27154.15</v>
      </c>
      <c r="AP13365" s="9">
        <v>3.0314600096991948</v>
      </c>
    </row>
    <row r="13366" spans="40:42" x14ac:dyDescent="0.3">
      <c r="AN13366">
        <v>13362</v>
      </c>
      <c r="AO13366" s="11">
        <v>33657.01</v>
      </c>
      <c r="AP13366" s="9">
        <v>3.2968731351243559</v>
      </c>
    </row>
    <row r="13367" spans="40:42" x14ac:dyDescent="0.3">
      <c r="AN13367">
        <v>13363</v>
      </c>
      <c r="AO13367" s="11">
        <v>32373.43</v>
      </c>
      <c r="AP13367" s="9">
        <v>3.8782413381719323</v>
      </c>
    </row>
    <row r="13368" spans="40:42" x14ac:dyDescent="0.3">
      <c r="AN13368">
        <v>13364</v>
      </c>
      <c r="AO13368" s="11">
        <v>22703.22</v>
      </c>
      <c r="AP13368" s="9">
        <v>2.9815644690958707</v>
      </c>
    </row>
    <row r="13369" spans="40:42" x14ac:dyDescent="0.3">
      <c r="AN13369">
        <v>13365</v>
      </c>
      <c r="AO13369" s="11">
        <v>31684.79</v>
      </c>
      <c r="AP13369" s="9">
        <v>3.0744421844524332</v>
      </c>
    </row>
    <row r="13370" spans="40:42" x14ac:dyDescent="0.3">
      <c r="AN13370">
        <v>13366</v>
      </c>
      <c r="AO13370" s="11">
        <v>22504.37</v>
      </c>
      <c r="AP13370" s="9">
        <v>3.1329637980339813</v>
      </c>
    </row>
    <row r="13371" spans="40:42" x14ac:dyDescent="0.3">
      <c r="AN13371">
        <v>13367</v>
      </c>
      <c r="AO13371" s="11">
        <v>26843.06</v>
      </c>
      <c r="AP13371" s="9">
        <v>2.8587547197547107</v>
      </c>
    </row>
    <row r="13372" spans="40:42" x14ac:dyDescent="0.3">
      <c r="AN13372">
        <v>13368</v>
      </c>
      <c r="AO13372" s="11">
        <v>31991.8</v>
      </c>
      <c r="AP13372" s="9">
        <v>2.971053558055178</v>
      </c>
    </row>
    <row r="13373" spans="40:42" x14ac:dyDescent="0.3">
      <c r="AN13373">
        <v>13369</v>
      </c>
      <c r="AO13373" s="11">
        <v>25911.86</v>
      </c>
      <c r="AP13373" s="9">
        <v>3.4583113739731308</v>
      </c>
    </row>
    <row r="13374" spans="40:42" x14ac:dyDescent="0.3">
      <c r="AN13374">
        <v>13370</v>
      </c>
      <c r="AO13374" s="11">
        <v>30586.080000000002</v>
      </c>
      <c r="AP13374" s="9">
        <v>4.2092731137854518</v>
      </c>
    </row>
    <row r="13375" spans="40:42" x14ac:dyDescent="0.3">
      <c r="AN13375">
        <v>13371</v>
      </c>
      <c r="AO13375" s="11">
        <v>19714.64</v>
      </c>
      <c r="AP13375" s="9">
        <v>3.0631015730801723</v>
      </c>
    </row>
    <row r="13376" spans="40:42" x14ac:dyDescent="0.3">
      <c r="AN13376">
        <v>13372</v>
      </c>
      <c r="AO13376" s="11">
        <v>20619.45</v>
      </c>
      <c r="AP13376" s="9">
        <v>3.2337608188255009</v>
      </c>
    </row>
    <row r="13377" spans="40:42" x14ac:dyDescent="0.3">
      <c r="AN13377">
        <v>13373</v>
      </c>
      <c r="AO13377" s="11">
        <v>28749.87</v>
      </c>
      <c r="AP13377" s="9">
        <v>3.4603566805590908</v>
      </c>
    </row>
    <row r="13378" spans="40:42" x14ac:dyDescent="0.3">
      <c r="AN13378">
        <v>13374</v>
      </c>
      <c r="AO13378" s="11">
        <v>29399.9</v>
      </c>
      <c r="AP13378" s="9">
        <v>3.398661211989936</v>
      </c>
    </row>
    <row r="13379" spans="40:42" x14ac:dyDescent="0.3">
      <c r="AN13379">
        <v>13375</v>
      </c>
      <c r="AO13379" s="11">
        <v>24732.19</v>
      </c>
      <c r="AP13379" s="9">
        <v>2.9020803193148579</v>
      </c>
    </row>
    <row r="13380" spans="40:42" x14ac:dyDescent="0.3">
      <c r="AN13380">
        <v>13376</v>
      </c>
      <c r="AO13380" s="11">
        <v>26021.72</v>
      </c>
      <c r="AP13380" s="9">
        <v>3.0663897025344178</v>
      </c>
    </row>
    <row r="13381" spans="40:42" x14ac:dyDescent="0.3">
      <c r="AN13381">
        <v>13377</v>
      </c>
      <c r="AO13381" s="11">
        <v>28663.46</v>
      </c>
      <c r="AP13381" s="9">
        <v>3.4474532599338601</v>
      </c>
    </row>
    <row r="13382" spans="40:42" x14ac:dyDescent="0.3">
      <c r="AN13382">
        <v>13378</v>
      </c>
      <c r="AO13382" s="11">
        <v>21618.81</v>
      </c>
      <c r="AP13382" s="9">
        <v>3.2443051548230613</v>
      </c>
    </row>
    <row r="13383" spans="40:42" x14ac:dyDescent="0.3">
      <c r="AN13383">
        <v>13379</v>
      </c>
      <c r="AO13383" s="11">
        <v>25643.7</v>
      </c>
      <c r="AP13383" s="9">
        <v>3.1662575071802297</v>
      </c>
    </row>
    <row r="13384" spans="40:42" x14ac:dyDescent="0.3">
      <c r="AN13384">
        <v>13380</v>
      </c>
      <c r="AO13384" s="11">
        <v>28154.560000000001</v>
      </c>
      <c r="AP13384" s="9">
        <v>2.9314920982611747</v>
      </c>
    </row>
    <row r="13385" spans="40:42" x14ac:dyDescent="0.3">
      <c r="AN13385">
        <v>13381</v>
      </c>
      <c r="AO13385" s="11">
        <v>18336.53</v>
      </c>
      <c r="AP13385" s="9">
        <v>2.8580056584979427</v>
      </c>
    </row>
    <row r="13386" spans="40:42" x14ac:dyDescent="0.3">
      <c r="AN13386">
        <v>13382</v>
      </c>
      <c r="AO13386" s="11">
        <v>27961.85</v>
      </c>
      <c r="AP13386" s="9">
        <v>3.6391034930405581</v>
      </c>
    </row>
    <row r="13387" spans="40:42" x14ac:dyDescent="0.3">
      <c r="AN13387">
        <v>13383</v>
      </c>
      <c r="AO13387" s="11">
        <v>28352.07</v>
      </c>
      <c r="AP13387" s="9">
        <v>3.1028565026308526</v>
      </c>
    </row>
    <row r="13388" spans="40:42" x14ac:dyDescent="0.3">
      <c r="AN13388">
        <v>13384</v>
      </c>
      <c r="AO13388" s="11">
        <v>33200.379999999997</v>
      </c>
      <c r="AP13388" s="9">
        <v>3.4815272545797016</v>
      </c>
    </row>
    <row r="13389" spans="40:42" x14ac:dyDescent="0.3">
      <c r="AN13389">
        <v>13385</v>
      </c>
      <c r="AO13389" s="11">
        <v>18039.150000000001</v>
      </c>
      <c r="AP13389" s="9">
        <v>2.8379542237782078</v>
      </c>
    </row>
    <row r="13390" spans="40:42" x14ac:dyDescent="0.3">
      <c r="AN13390">
        <v>13386</v>
      </c>
      <c r="AO13390" s="11">
        <v>43999.83</v>
      </c>
      <c r="AP13390" s="9">
        <v>4.0319907745470065</v>
      </c>
    </row>
    <row r="13391" spans="40:42" x14ac:dyDescent="0.3">
      <c r="AN13391">
        <v>13387</v>
      </c>
      <c r="AO13391" s="11">
        <v>24030.45</v>
      </c>
      <c r="AP13391" s="9">
        <v>2.8882695001069321</v>
      </c>
    </row>
    <row r="13392" spans="40:42" x14ac:dyDescent="0.3">
      <c r="AN13392">
        <v>13388</v>
      </c>
      <c r="AO13392" s="11">
        <v>31266.04</v>
      </c>
      <c r="AP13392" s="9">
        <v>3.9289822329515833</v>
      </c>
    </row>
    <row r="13393" spans="40:42" x14ac:dyDescent="0.3">
      <c r="AN13393">
        <v>13389</v>
      </c>
      <c r="AO13393" s="11">
        <v>40696.32</v>
      </c>
      <c r="AP13393" s="9">
        <v>3.5899491938830996</v>
      </c>
    </row>
    <row r="13394" spans="40:42" x14ac:dyDescent="0.3">
      <c r="AN13394">
        <v>13390</v>
      </c>
      <c r="AO13394" s="11">
        <v>35188.339999999997</v>
      </c>
      <c r="AP13394" s="9">
        <v>3.5399834926529921</v>
      </c>
    </row>
    <row r="13395" spans="40:42" x14ac:dyDescent="0.3">
      <c r="AN13395">
        <v>13391</v>
      </c>
      <c r="AO13395" s="11">
        <v>15282.26</v>
      </c>
      <c r="AP13395" s="9">
        <v>3.0593447340585542</v>
      </c>
    </row>
    <row r="13396" spans="40:42" x14ac:dyDescent="0.3">
      <c r="AN13396">
        <v>13392</v>
      </c>
      <c r="AO13396" s="11">
        <v>24685.06</v>
      </c>
      <c r="AP13396" s="9">
        <v>3.3886880461005155</v>
      </c>
    </row>
    <row r="13397" spans="40:42" x14ac:dyDescent="0.3">
      <c r="AN13397">
        <v>13393</v>
      </c>
      <c r="AO13397" s="11">
        <v>23114.59</v>
      </c>
      <c r="AP13397" s="9">
        <v>3.4322981199678528</v>
      </c>
    </row>
    <row r="13398" spans="40:42" x14ac:dyDescent="0.3">
      <c r="AN13398">
        <v>13394</v>
      </c>
      <c r="AO13398" s="11">
        <v>22350.35</v>
      </c>
      <c r="AP13398" s="9">
        <v>2.8582404574839022</v>
      </c>
    </row>
    <row r="13399" spans="40:42" x14ac:dyDescent="0.3">
      <c r="AN13399">
        <v>13395</v>
      </c>
      <c r="AO13399" s="11">
        <v>20582.45</v>
      </c>
      <c r="AP13399" s="9">
        <v>2.9523533594883382</v>
      </c>
    </row>
    <row r="13400" spans="40:42" x14ac:dyDescent="0.3">
      <c r="AN13400">
        <v>13396</v>
      </c>
      <c r="AO13400" s="11">
        <v>25077.24</v>
      </c>
      <c r="AP13400" s="9">
        <v>3.1258433267418608</v>
      </c>
    </row>
    <row r="13401" spans="40:42" x14ac:dyDescent="0.3">
      <c r="AN13401">
        <v>13397</v>
      </c>
      <c r="AO13401" s="11">
        <v>31801.45</v>
      </c>
      <c r="AP13401" s="9">
        <v>3.1347162275878535</v>
      </c>
    </row>
    <row r="13402" spans="40:42" x14ac:dyDescent="0.3">
      <c r="AN13402">
        <v>13398</v>
      </c>
      <c r="AO13402" s="11">
        <v>44594.97</v>
      </c>
      <c r="AP13402" s="9">
        <v>3.726655081631769</v>
      </c>
    </row>
    <row r="13403" spans="40:42" x14ac:dyDescent="0.3">
      <c r="AN13403">
        <v>13399</v>
      </c>
      <c r="AO13403" s="11">
        <v>13907.63</v>
      </c>
      <c r="AP13403" s="9">
        <v>2.979805106366324</v>
      </c>
    </row>
    <row r="13404" spans="40:42" x14ac:dyDescent="0.3">
      <c r="AN13404">
        <v>13400</v>
      </c>
      <c r="AO13404" s="11">
        <v>23637.51</v>
      </c>
      <c r="AP13404" s="9">
        <v>3.2426329793933335</v>
      </c>
    </row>
    <row r="13405" spans="40:42" x14ac:dyDescent="0.3">
      <c r="AN13405">
        <v>13401</v>
      </c>
      <c r="AO13405" s="11">
        <v>30187.75</v>
      </c>
      <c r="AP13405" s="9">
        <v>4.1305362894661446</v>
      </c>
    </row>
    <row r="13406" spans="40:42" x14ac:dyDescent="0.3">
      <c r="AN13406">
        <v>13402</v>
      </c>
      <c r="AO13406" s="11">
        <v>25653.27</v>
      </c>
      <c r="AP13406" s="9">
        <v>3.2681475258769512</v>
      </c>
    </row>
    <row r="13407" spans="40:42" x14ac:dyDescent="0.3">
      <c r="AN13407">
        <v>13403</v>
      </c>
      <c r="AO13407" s="11">
        <v>25862.77</v>
      </c>
      <c r="AP13407" s="9">
        <v>3.3233077358250043</v>
      </c>
    </row>
    <row r="13408" spans="40:42" x14ac:dyDescent="0.3">
      <c r="AN13408">
        <v>13404</v>
      </c>
      <c r="AO13408" s="11">
        <v>23792.83</v>
      </c>
      <c r="AP13408" s="9">
        <v>2.697074099150754</v>
      </c>
    </row>
    <row r="13409" spans="40:42" x14ac:dyDescent="0.3">
      <c r="AN13409">
        <v>13405</v>
      </c>
      <c r="AO13409" s="11">
        <v>43176.480000000003</v>
      </c>
      <c r="AP13409" s="9">
        <v>3.4238301064366987</v>
      </c>
    </row>
    <row r="13410" spans="40:42" x14ac:dyDescent="0.3">
      <c r="AN13410">
        <v>13406</v>
      </c>
      <c r="AO13410" s="11">
        <v>20605.7</v>
      </c>
      <c r="AP13410" s="9">
        <v>3.3452834003407186</v>
      </c>
    </row>
    <row r="13411" spans="40:42" x14ac:dyDescent="0.3">
      <c r="AN13411">
        <v>13407</v>
      </c>
      <c r="AO13411" s="11">
        <v>23279.63</v>
      </c>
      <c r="AP13411" s="9">
        <v>3.5586287293201915</v>
      </c>
    </row>
    <row r="13412" spans="40:42" x14ac:dyDescent="0.3">
      <c r="AN13412">
        <v>13408</v>
      </c>
      <c r="AO13412" s="11">
        <v>30673.56</v>
      </c>
      <c r="AP13412" s="9">
        <v>3.1899093893461234</v>
      </c>
    </row>
    <row r="13413" spans="40:42" x14ac:dyDescent="0.3">
      <c r="AN13413">
        <v>13409</v>
      </c>
      <c r="AO13413" s="11">
        <v>32857.4</v>
      </c>
      <c r="AP13413" s="9">
        <v>3.0597013584136583</v>
      </c>
    </row>
    <row r="13414" spans="40:42" x14ac:dyDescent="0.3">
      <c r="AN13414">
        <v>13410</v>
      </c>
      <c r="AO13414" s="11">
        <v>36239.08</v>
      </c>
      <c r="AP13414" s="9">
        <v>3.1759714518979356</v>
      </c>
    </row>
    <row r="13415" spans="40:42" x14ac:dyDescent="0.3">
      <c r="AN13415">
        <v>13411</v>
      </c>
      <c r="AO13415" s="11">
        <v>27552.67</v>
      </c>
      <c r="AP13415" s="9">
        <v>3.4558176865513137</v>
      </c>
    </row>
    <row r="13416" spans="40:42" x14ac:dyDescent="0.3">
      <c r="AN13416">
        <v>13412</v>
      </c>
      <c r="AO13416" s="11">
        <v>25995.22</v>
      </c>
      <c r="AP13416" s="9">
        <v>3.8301139041550973</v>
      </c>
    </row>
    <row r="13417" spans="40:42" x14ac:dyDescent="0.3">
      <c r="AN13417">
        <v>13413</v>
      </c>
      <c r="AO13417" s="11">
        <v>14940.13</v>
      </c>
      <c r="AP13417" s="9">
        <v>3.5108123508673801</v>
      </c>
    </row>
    <row r="13418" spans="40:42" x14ac:dyDescent="0.3">
      <c r="AN13418">
        <v>13414</v>
      </c>
      <c r="AO13418" s="11">
        <v>19149.650000000001</v>
      </c>
      <c r="AP13418" s="9">
        <v>2.9017308671972182</v>
      </c>
    </row>
    <row r="13419" spans="40:42" x14ac:dyDescent="0.3">
      <c r="AN13419">
        <v>13415</v>
      </c>
      <c r="AO13419" s="11">
        <v>35124.93</v>
      </c>
      <c r="AP13419" s="9">
        <v>3.9316865941762105</v>
      </c>
    </row>
    <row r="13420" spans="40:42" x14ac:dyDescent="0.3">
      <c r="AN13420">
        <v>13416</v>
      </c>
      <c r="AO13420" s="11">
        <v>25456.87</v>
      </c>
      <c r="AP13420" s="9">
        <v>3.4239471541281157</v>
      </c>
    </row>
    <row r="13421" spans="40:42" x14ac:dyDescent="0.3">
      <c r="AN13421">
        <v>13417</v>
      </c>
      <c r="AO13421" s="11">
        <v>21457.77</v>
      </c>
      <c r="AP13421" s="9">
        <v>2.8141517171179689</v>
      </c>
    </row>
    <row r="13422" spans="40:42" x14ac:dyDescent="0.3">
      <c r="AN13422">
        <v>13418</v>
      </c>
      <c r="AO13422" s="11">
        <v>29253.37</v>
      </c>
      <c r="AP13422" s="9">
        <v>3.5358757592640275</v>
      </c>
    </row>
    <row r="13423" spans="40:42" x14ac:dyDescent="0.3">
      <c r="AN13423">
        <v>13419</v>
      </c>
      <c r="AO13423" s="11">
        <v>17096.23</v>
      </c>
      <c r="AP13423" s="9">
        <v>2.5304782763869911</v>
      </c>
    </row>
    <row r="13424" spans="40:42" x14ac:dyDescent="0.3">
      <c r="AN13424">
        <v>13420</v>
      </c>
      <c r="AO13424" s="11">
        <v>30965.16</v>
      </c>
      <c r="AP13424" s="9">
        <v>2.8947804814541716</v>
      </c>
    </row>
    <row r="13425" spans="40:42" x14ac:dyDescent="0.3">
      <c r="AN13425">
        <v>13421</v>
      </c>
      <c r="AO13425" s="11">
        <v>34934.99</v>
      </c>
      <c r="AP13425" s="9">
        <v>3.2330248510413799</v>
      </c>
    </row>
    <row r="13426" spans="40:42" x14ac:dyDescent="0.3">
      <c r="AN13426">
        <v>13422</v>
      </c>
      <c r="AO13426" s="11">
        <v>19301.810000000001</v>
      </c>
      <c r="AP13426" s="9">
        <v>2.8439448604904731</v>
      </c>
    </row>
    <row r="13427" spans="40:42" x14ac:dyDescent="0.3">
      <c r="AN13427">
        <v>13423</v>
      </c>
      <c r="AO13427" s="11">
        <v>19195.97</v>
      </c>
      <c r="AP13427" s="9">
        <v>3.0878224415143398</v>
      </c>
    </row>
    <row r="13428" spans="40:42" x14ac:dyDescent="0.3">
      <c r="AN13428">
        <v>13424</v>
      </c>
      <c r="AO13428" s="11">
        <v>25004.86</v>
      </c>
      <c r="AP13428" s="9">
        <v>3.476663295764078</v>
      </c>
    </row>
    <row r="13429" spans="40:42" x14ac:dyDescent="0.3">
      <c r="AN13429">
        <v>13425</v>
      </c>
      <c r="AO13429" s="11">
        <v>45987.53</v>
      </c>
      <c r="AP13429" s="9">
        <v>5.479569145956801</v>
      </c>
    </row>
    <row r="13430" spans="40:42" x14ac:dyDescent="0.3">
      <c r="AN13430">
        <v>13426</v>
      </c>
      <c r="AO13430" s="11">
        <v>23896.68</v>
      </c>
      <c r="AP13430" s="9">
        <v>3.6013649898693165</v>
      </c>
    </row>
    <row r="13431" spans="40:42" x14ac:dyDescent="0.3">
      <c r="AN13431">
        <v>13427</v>
      </c>
      <c r="AO13431" s="11">
        <v>33065.15</v>
      </c>
      <c r="AP13431" s="9">
        <v>3.9110402856227275</v>
      </c>
    </row>
    <row r="13432" spans="40:42" x14ac:dyDescent="0.3">
      <c r="AN13432">
        <v>13428</v>
      </c>
      <c r="AO13432" s="11">
        <v>26544.28</v>
      </c>
      <c r="AP13432" s="9">
        <v>3.3329971347168619</v>
      </c>
    </row>
    <row r="13433" spans="40:42" x14ac:dyDescent="0.3">
      <c r="AN13433">
        <v>13429</v>
      </c>
      <c r="AO13433" s="11">
        <v>29411.75</v>
      </c>
      <c r="AP13433" s="9">
        <v>3.2706421414941569</v>
      </c>
    </row>
    <row r="13434" spans="40:42" x14ac:dyDescent="0.3">
      <c r="AN13434">
        <v>13430</v>
      </c>
      <c r="AO13434" s="11">
        <v>25581.759999999998</v>
      </c>
      <c r="AP13434" s="9">
        <v>3.2316011293636882</v>
      </c>
    </row>
    <row r="13435" spans="40:42" x14ac:dyDescent="0.3">
      <c r="AN13435">
        <v>13431</v>
      </c>
      <c r="AO13435" s="11">
        <v>12912.87</v>
      </c>
      <c r="AP13435" s="9">
        <v>3.5356917254008762</v>
      </c>
    </row>
    <row r="13436" spans="40:42" x14ac:dyDescent="0.3">
      <c r="AN13436">
        <v>13432</v>
      </c>
      <c r="AO13436" s="11">
        <v>32327.95</v>
      </c>
      <c r="AP13436" s="9">
        <v>4.0662757038282145</v>
      </c>
    </row>
    <row r="13437" spans="40:42" x14ac:dyDescent="0.3">
      <c r="AN13437">
        <v>13433</v>
      </c>
      <c r="AO13437" s="11">
        <v>21231.21</v>
      </c>
      <c r="AP13437" s="9">
        <v>2.8772678193008923</v>
      </c>
    </row>
    <row r="13438" spans="40:42" x14ac:dyDescent="0.3">
      <c r="AN13438">
        <v>13434</v>
      </c>
      <c r="AO13438" s="11">
        <v>20004.68</v>
      </c>
      <c r="AP13438" s="9">
        <v>2.962767380067763</v>
      </c>
    </row>
    <row r="13439" spans="40:42" x14ac:dyDescent="0.3">
      <c r="AN13439">
        <v>13435</v>
      </c>
      <c r="AO13439" s="11">
        <v>36373.360000000001</v>
      </c>
      <c r="AP13439" s="9">
        <v>3.5962242622052503</v>
      </c>
    </row>
    <row r="13440" spans="40:42" x14ac:dyDescent="0.3">
      <c r="AN13440">
        <v>13436</v>
      </c>
      <c r="AO13440" s="11">
        <v>35673.440000000002</v>
      </c>
      <c r="AP13440" s="9">
        <v>3.7721234354418987</v>
      </c>
    </row>
    <row r="13441" spans="40:42" x14ac:dyDescent="0.3">
      <c r="AN13441">
        <v>13437</v>
      </c>
      <c r="AO13441" s="11">
        <v>33606.44</v>
      </c>
      <c r="AP13441" s="9">
        <v>3.3610138751704941</v>
      </c>
    </row>
    <row r="13442" spans="40:42" x14ac:dyDescent="0.3">
      <c r="AN13442">
        <v>13438</v>
      </c>
      <c r="AO13442" s="11">
        <v>27134.35</v>
      </c>
      <c r="AP13442" s="9">
        <v>3.5241647728280783</v>
      </c>
    </row>
    <row r="13443" spans="40:42" x14ac:dyDescent="0.3">
      <c r="AN13443">
        <v>13439</v>
      </c>
      <c r="AO13443" s="11">
        <v>15837.45</v>
      </c>
      <c r="AP13443" s="9">
        <v>3.0952521844346816</v>
      </c>
    </row>
    <row r="13444" spans="40:42" x14ac:dyDescent="0.3">
      <c r="AN13444">
        <v>13440</v>
      </c>
      <c r="AO13444" s="11">
        <v>23847.34</v>
      </c>
      <c r="AP13444" s="9">
        <v>3.4601274033639031</v>
      </c>
    </row>
    <row r="13445" spans="40:42" x14ac:dyDescent="0.3">
      <c r="AN13445">
        <v>13441</v>
      </c>
      <c r="AO13445" s="11">
        <v>32988.800000000003</v>
      </c>
      <c r="AP13445" s="9">
        <v>3.6219299800374229</v>
      </c>
    </row>
    <row r="13446" spans="40:42" x14ac:dyDescent="0.3">
      <c r="AN13446">
        <v>13442</v>
      </c>
      <c r="AO13446" s="11">
        <v>21270.49</v>
      </c>
      <c r="AP13446" s="9">
        <v>2.8780509650897854</v>
      </c>
    </row>
    <row r="13447" spans="40:42" x14ac:dyDescent="0.3">
      <c r="AN13447">
        <v>13443</v>
      </c>
      <c r="AO13447" s="11">
        <v>43186.94</v>
      </c>
      <c r="AP13447" s="9">
        <v>3.5564976813155127</v>
      </c>
    </row>
    <row r="13448" spans="40:42" x14ac:dyDescent="0.3">
      <c r="AN13448">
        <v>13444</v>
      </c>
      <c r="AO13448" s="11">
        <v>44417.06</v>
      </c>
      <c r="AP13448" s="9">
        <v>3.4608004434529147</v>
      </c>
    </row>
    <row r="13449" spans="40:42" x14ac:dyDescent="0.3">
      <c r="AN13449">
        <v>13445</v>
      </c>
      <c r="AO13449" s="11">
        <v>26067.16</v>
      </c>
      <c r="AP13449" s="9">
        <v>3.4660661088993736</v>
      </c>
    </row>
    <row r="13450" spans="40:42" x14ac:dyDescent="0.3">
      <c r="AN13450">
        <v>13446</v>
      </c>
      <c r="AO13450" s="11">
        <v>39984.800000000003</v>
      </c>
      <c r="AP13450" s="9">
        <v>3.9697359375694825</v>
      </c>
    </row>
    <row r="13451" spans="40:42" x14ac:dyDescent="0.3">
      <c r="AN13451">
        <v>13447</v>
      </c>
      <c r="AO13451" s="11">
        <v>38026.42</v>
      </c>
      <c r="AP13451" s="9">
        <v>3.5492332381342466</v>
      </c>
    </row>
    <row r="13452" spans="40:42" x14ac:dyDescent="0.3">
      <c r="AN13452">
        <v>13448</v>
      </c>
      <c r="AO13452" s="11">
        <v>29190.560000000001</v>
      </c>
      <c r="AP13452" s="9">
        <v>2.9616945363914136</v>
      </c>
    </row>
    <row r="13453" spans="40:42" x14ac:dyDescent="0.3">
      <c r="AN13453">
        <v>13449</v>
      </c>
      <c r="AO13453" s="11">
        <v>24120.799999999999</v>
      </c>
      <c r="AP13453" s="9">
        <v>3.2456762092113598</v>
      </c>
    </row>
    <row r="13454" spans="40:42" x14ac:dyDescent="0.3">
      <c r="AN13454">
        <v>13450</v>
      </c>
      <c r="AO13454" s="11">
        <v>29657.96</v>
      </c>
      <c r="AP13454" s="9">
        <v>3.5014027178861635</v>
      </c>
    </row>
    <row r="13455" spans="40:42" x14ac:dyDescent="0.3">
      <c r="AN13455">
        <v>13451</v>
      </c>
      <c r="AO13455" s="11">
        <v>22687.01</v>
      </c>
      <c r="AP13455" s="9">
        <v>3.2526953783021728</v>
      </c>
    </row>
    <row r="13456" spans="40:42" x14ac:dyDescent="0.3">
      <c r="AN13456">
        <v>13452</v>
      </c>
      <c r="AO13456" s="11">
        <v>19084.64</v>
      </c>
      <c r="AP13456" s="9">
        <v>3.4273312857448865</v>
      </c>
    </row>
    <row r="13457" spans="40:42" x14ac:dyDescent="0.3">
      <c r="AN13457">
        <v>13453</v>
      </c>
      <c r="AO13457" s="11">
        <v>28134.799999999999</v>
      </c>
      <c r="AP13457" s="9">
        <v>3.2835602975233336</v>
      </c>
    </row>
    <row r="13458" spans="40:42" x14ac:dyDescent="0.3">
      <c r="AN13458">
        <v>13454</v>
      </c>
      <c r="AO13458" s="11">
        <v>18935.830000000002</v>
      </c>
      <c r="AP13458" s="9">
        <v>3.9472025820695658</v>
      </c>
    </row>
    <row r="13459" spans="40:42" x14ac:dyDescent="0.3">
      <c r="AN13459">
        <v>13455</v>
      </c>
      <c r="AO13459" s="11">
        <v>18468.38</v>
      </c>
      <c r="AP13459" s="9">
        <v>3.2959651974191746</v>
      </c>
    </row>
    <row r="13460" spans="40:42" x14ac:dyDescent="0.3">
      <c r="AN13460">
        <v>13456</v>
      </c>
      <c r="AO13460" s="11">
        <v>25687.58</v>
      </c>
      <c r="AP13460" s="9">
        <v>2.7417246191733788</v>
      </c>
    </row>
    <row r="13461" spans="40:42" x14ac:dyDescent="0.3">
      <c r="AN13461">
        <v>13457</v>
      </c>
      <c r="AO13461" s="11">
        <v>12927.08</v>
      </c>
      <c r="AP13461" s="9">
        <v>3.3231459328907462</v>
      </c>
    </row>
    <row r="13462" spans="40:42" x14ac:dyDescent="0.3">
      <c r="AN13462">
        <v>13458</v>
      </c>
      <c r="AO13462" s="11">
        <v>25278.69</v>
      </c>
      <c r="AP13462" s="9">
        <v>3.7419860697158596</v>
      </c>
    </row>
    <row r="13463" spans="40:42" x14ac:dyDescent="0.3">
      <c r="AN13463">
        <v>13459</v>
      </c>
      <c r="AO13463" s="11">
        <v>30966.54</v>
      </c>
      <c r="AP13463" s="9">
        <v>3.3607130632167448</v>
      </c>
    </row>
    <row r="13464" spans="40:42" x14ac:dyDescent="0.3">
      <c r="AN13464">
        <v>13460</v>
      </c>
      <c r="AO13464" s="11">
        <v>31942.87</v>
      </c>
      <c r="AP13464" s="9">
        <v>3.9123164157738848</v>
      </c>
    </row>
    <row r="13465" spans="40:42" x14ac:dyDescent="0.3">
      <c r="AN13465">
        <v>13461</v>
      </c>
      <c r="AO13465" s="11">
        <v>28651.73</v>
      </c>
      <c r="AP13465" s="9">
        <v>3.3993557956231144</v>
      </c>
    </row>
    <row r="13466" spans="40:42" x14ac:dyDescent="0.3">
      <c r="AN13466">
        <v>13462</v>
      </c>
      <c r="AO13466" s="11">
        <v>19683.18</v>
      </c>
      <c r="AP13466" s="9">
        <v>3.2865277572936531</v>
      </c>
    </row>
    <row r="13467" spans="40:42" x14ac:dyDescent="0.3">
      <c r="AN13467">
        <v>13463</v>
      </c>
      <c r="AO13467" s="11">
        <v>22286.720000000001</v>
      </c>
      <c r="AP13467" s="9">
        <v>3.2763522312704789</v>
      </c>
    </row>
    <row r="13468" spans="40:42" x14ac:dyDescent="0.3">
      <c r="AN13468">
        <v>13464</v>
      </c>
      <c r="AO13468" s="11">
        <v>26895.41</v>
      </c>
      <c r="AP13468" s="9">
        <v>3.4198618380719941</v>
      </c>
    </row>
    <row r="13469" spans="40:42" x14ac:dyDescent="0.3">
      <c r="AN13469">
        <v>13465</v>
      </c>
      <c r="AO13469" s="11">
        <v>55012.93</v>
      </c>
      <c r="AP13469" s="9">
        <v>3.8558845576086456</v>
      </c>
    </row>
    <row r="13470" spans="40:42" x14ac:dyDescent="0.3">
      <c r="AN13470">
        <v>13466</v>
      </c>
      <c r="AO13470" s="11">
        <v>29734.3</v>
      </c>
      <c r="AP13470" s="9">
        <v>3.7177482063455001</v>
      </c>
    </row>
    <row r="13471" spans="40:42" x14ac:dyDescent="0.3">
      <c r="AN13471">
        <v>13467</v>
      </c>
      <c r="AO13471" s="11">
        <v>38143.15</v>
      </c>
      <c r="AP13471" s="9">
        <v>3.5120523037348406</v>
      </c>
    </row>
    <row r="13472" spans="40:42" x14ac:dyDescent="0.3">
      <c r="AN13472">
        <v>13468</v>
      </c>
      <c r="AO13472" s="11">
        <v>18218.32</v>
      </c>
      <c r="AP13472" s="9">
        <v>2.7329308823830121</v>
      </c>
    </row>
    <row r="13473" spans="40:42" x14ac:dyDescent="0.3">
      <c r="AN13473">
        <v>13469</v>
      </c>
      <c r="AO13473" s="11">
        <v>23487</v>
      </c>
      <c r="AP13473" s="9">
        <v>4.0506670956958244</v>
      </c>
    </row>
    <row r="13474" spans="40:42" x14ac:dyDescent="0.3">
      <c r="AN13474">
        <v>13470</v>
      </c>
      <c r="AO13474" s="11">
        <v>29211.67</v>
      </c>
      <c r="AP13474" s="9">
        <v>3.2262685809609293</v>
      </c>
    </row>
    <row r="13475" spans="40:42" x14ac:dyDescent="0.3">
      <c r="AN13475">
        <v>13471</v>
      </c>
      <c r="AO13475" s="11">
        <v>45477.35</v>
      </c>
      <c r="AP13475" s="9">
        <v>4.1332570854963544</v>
      </c>
    </row>
    <row r="13476" spans="40:42" x14ac:dyDescent="0.3">
      <c r="AN13476">
        <v>13472</v>
      </c>
      <c r="AO13476" s="11">
        <v>31279.88</v>
      </c>
      <c r="AP13476" s="9">
        <v>3.2929074446363282</v>
      </c>
    </row>
    <row r="13477" spans="40:42" x14ac:dyDescent="0.3">
      <c r="AN13477">
        <v>13473</v>
      </c>
      <c r="AO13477" s="11">
        <v>19930.57</v>
      </c>
      <c r="AP13477" s="9">
        <v>3.392939412329115</v>
      </c>
    </row>
    <row r="13478" spans="40:42" x14ac:dyDescent="0.3">
      <c r="AN13478">
        <v>13474</v>
      </c>
      <c r="AO13478" s="11">
        <v>34414.800000000003</v>
      </c>
      <c r="AP13478" s="9">
        <v>2.8212488524198869</v>
      </c>
    </row>
    <row r="13479" spans="40:42" x14ac:dyDescent="0.3">
      <c r="AN13479">
        <v>13475</v>
      </c>
      <c r="AO13479" s="11">
        <v>37237.620000000003</v>
      </c>
      <c r="AP13479" s="9">
        <v>3.4121267774746142</v>
      </c>
    </row>
    <row r="13480" spans="40:42" x14ac:dyDescent="0.3">
      <c r="AN13480">
        <v>13476</v>
      </c>
      <c r="AO13480" s="11">
        <v>28310.41</v>
      </c>
      <c r="AP13480" s="9">
        <v>3.0123176172170512</v>
      </c>
    </row>
    <row r="13481" spans="40:42" x14ac:dyDescent="0.3">
      <c r="AN13481">
        <v>13477</v>
      </c>
      <c r="AO13481" s="11">
        <v>17402.13</v>
      </c>
      <c r="AP13481" s="9">
        <v>3.8083212599646026</v>
      </c>
    </row>
    <row r="13482" spans="40:42" x14ac:dyDescent="0.3">
      <c r="AN13482">
        <v>13478</v>
      </c>
      <c r="AO13482" s="11">
        <v>33150.75</v>
      </c>
      <c r="AP13482" s="9">
        <v>4.0325021145631723</v>
      </c>
    </row>
    <row r="13483" spans="40:42" x14ac:dyDescent="0.3">
      <c r="AN13483">
        <v>13479</v>
      </c>
      <c r="AO13483" s="11">
        <v>21755.919999999998</v>
      </c>
      <c r="AP13483" s="9">
        <v>2.7639124023363792</v>
      </c>
    </row>
    <row r="13484" spans="40:42" x14ac:dyDescent="0.3">
      <c r="AN13484">
        <v>13480</v>
      </c>
      <c r="AO13484" s="11">
        <v>29334.39</v>
      </c>
      <c r="AP13484" s="9">
        <v>3.0015390244476365</v>
      </c>
    </row>
    <row r="13485" spans="40:42" x14ac:dyDescent="0.3">
      <c r="AN13485">
        <v>13481</v>
      </c>
      <c r="AO13485" s="11">
        <v>25050.560000000001</v>
      </c>
      <c r="AP13485" s="9">
        <v>3.7098243521815824</v>
      </c>
    </row>
    <row r="13486" spans="40:42" x14ac:dyDescent="0.3">
      <c r="AN13486">
        <v>13482</v>
      </c>
      <c r="AO13486" s="11">
        <v>19383.88</v>
      </c>
      <c r="AP13486" s="9">
        <v>2.409765394819436</v>
      </c>
    </row>
    <row r="13487" spans="40:42" x14ac:dyDescent="0.3">
      <c r="AN13487">
        <v>13483</v>
      </c>
      <c r="AO13487" s="11">
        <v>23095.81</v>
      </c>
      <c r="AP13487" s="9">
        <v>3.499883788885144</v>
      </c>
    </row>
    <row r="13488" spans="40:42" x14ac:dyDescent="0.3">
      <c r="AN13488">
        <v>13484</v>
      </c>
      <c r="AO13488" s="11">
        <v>27512.73</v>
      </c>
      <c r="AP13488" s="9">
        <v>3.6029745099142296</v>
      </c>
    </row>
    <row r="13489" spans="40:42" x14ac:dyDescent="0.3">
      <c r="AN13489">
        <v>13485</v>
      </c>
      <c r="AO13489" s="11">
        <v>45900.65</v>
      </c>
      <c r="AP13489" s="9">
        <v>3.4733145997178814</v>
      </c>
    </row>
    <row r="13490" spans="40:42" x14ac:dyDescent="0.3">
      <c r="AN13490">
        <v>13486</v>
      </c>
      <c r="AO13490" s="11">
        <v>18772.27</v>
      </c>
      <c r="AP13490" s="9">
        <v>3.245750290383786</v>
      </c>
    </row>
    <row r="13491" spans="40:42" x14ac:dyDescent="0.3">
      <c r="AN13491">
        <v>13487</v>
      </c>
      <c r="AO13491" s="11">
        <v>18004.5</v>
      </c>
      <c r="AP13491" s="9">
        <v>3.4720068337989423</v>
      </c>
    </row>
    <row r="13492" spans="40:42" x14ac:dyDescent="0.3">
      <c r="AN13492">
        <v>13488</v>
      </c>
      <c r="AO13492" s="11">
        <v>27849.51</v>
      </c>
      <c r="AP13492" s="9">
        <v>3.7432920295071579</v>
      </c>
    </row>
    <row r="13493" spans="40:42" x14ac:dyDescent="0.3">
      <c r="AN13493">
        <v>13489</v>
      </c>
      <c r="AO13493" s="11">
        <v>24534.73</v>
      </c>
      <c r="AP13493" s="9">
        <v>2.8385096200110351</v>
      </c>
    </row>
    <row r="13494" spans="40:42" x14ac:dyDescent="0.3">
      <c r="AN13494">
        <v>13490</v>
      </c>
      <c r="AO13494" s="11">
        <v>31030.49</v>
      </c>
      <c r="AP13494" s="9">
        <v>3.0741214815047759</v>
      </c>
    </row>
    <row r="13495" spans="40:42" x14ac:dyDescent="0.3">
      <c r="AN13495">
        <v>13491</v>
      </c>
      <c r="AO13495" s="11">
        <v>46220.13</v>
      </c>
      <c r="AP13495" s="9">
        <v>4.4521040631609203</v>
      </c>
    </row>
    <row r="13496" spans="40:42" x14ac:dyDescent="0.3">
      <c r="AN13496">
        <v>13492</v>
      </c>
      <c r="AO13496" s="11">
        <v>22796.99</v>
      </c>
      <c r="AP13496" s="9">
        <v>2.8659754894441409</v>
      </c>
    </row>
    <row r="13497" spans="40:42" x14ac:dyDescent="0.3">
      <c r="AN13497">
        <v>13493</v>
      </c>
      <c r="AO13497" s="11">
        <v>26807.59</v>
      </c>
      <c r="AP13497" s="9">
        <v>3.2159508323906434</v>
      </c>
    </row>
    <row r="13498" spans="40:42" x14ac:dyDescent="0.3">
      <c r="AN13498">
        <v>13494</v>
      </c>
      <c r="AO13498" s="11">
        <v>36526.25</v>
      </c>
      <c r="AP13498" s="9">
        <v>3.9299536230233509</v>
      </c>
    </row>
    <row r="13499" spans="40:42" x14ac:dyDescent="0.3">
      <c r="AN13499">
        <v>13495</v>
      </c>
      <c r="AO13499" s="11">
        <v>22802.45</v>
      </c>
      <c r="AP13499" s="9">
        <v>3.4593243192298178</v>
      </c>
    </row>
    <row r="13500" spans="40:42" x14ac:dyDescent="0.3">
      <c r="AN13500">
        <v>13496</v>
      </c>
      <c r="AO13500" s="11">
        <v>24717.45</v>
      </c>
      <c r="AP13500" s="9">
        <v>3.5276182492914661</v>
      </c>
    </row>
    <row r="13501" spans="40:42" x14ac:dyDescent="0.3">
      <c r="AN13501">
        <v>13497</v>
      </c>
      <c r="AO13501" s="11">
        <v>19873.89</v>
      </c>
      <c r="AP13501" s="9">
        <v>4.2332598616467676</v>
      </c>
    </row>
    <row r="13502" spans="40:42" x14ac:dyDescent="0.3">
      <c r="AN13502">
        <v>13498</v>
      </c>
      <c r="AO13502" s="11">
        <v>36519.879999999997</v>
      </c>
      <c r="AP13502" s="9">
        <v>3.8504045905927948</v>
      </c>
    </row>
    <row r="13503" spans="40:42" x14ac:dyDescent="0.3">
      <c r="AN13503">
        <v>13499</v>
      </c>
      <c r="AO13503" s="11">
        <v>25191.919999999998</v>
      </c>
      <c r="AP13503" s="9">
        <v>2.9987057986976531</v>
      </c>
    </row>
    <row r="13504" spans="40:42" x14ac:dyDescent="0.3">
      <c r="AN13504">
        <v>13500</v>
      </c>
      <c r="AO13504" s="11">
        <v>22615.439999999999</v>
      </c>
      <c r="AP13504" s="9">
        <v>2.9900842517967572</v>
      </c>
    </row>
    <row r="13505" spans="40:42" x14ac:dyDescent="0.3">
      <c r="AN13505">
        <v>13501</v>
      </c>
      <c r="AO13505" s="11">
        <v>19056.54</v>
      </c>
      <c r="AP13505" s="9">
        <v>3.3414997632248546</v>
      </c>
    </row>
    <row r="13506" spans="40:42" x14ac:dyDescent="0.3">
      <c r="AN13506">
        <v>13502</v>
      </c>
      <c r="AO13506" s="11">
        <v>17424.22</v>
      </c>
      <c r="AP13506" s="9">
        <v>4.038337132982738</v>
      </c>
    </row>
    <row r="13507" spans="40:42" x14ac:dyDescent="0.3">
      <c r="AN13507">
        <v>13503</v>
      </c>
      <c r="AO13507" s="11">
        <v>28720.62</v>
      </c>
      <c r="AP13507" s="9">
        <v>3.2504614161224823</v>
      </c>
    </row>
    <row r="13508" spans="40:42" x14ac:dyDescent="0.3">
      <c r="AN13508">
        <v>13504</v>
      </c>
      <c r="AO13508" s="11">
        <v>26914.99</v>
      </c>
      <c r="AP13508" s="9">
        <v>3.0030014244074312</v>
      </c>
    </row>
    <row r="13509" spans="40:42" x14ac:dyDescent="0.3">
      <c r="AN13509">
        <v>13505</v>
      </c>
      <c r="AO13509" s="11">
        <v>25526.02</v>
      </c>
      <c r="AP13509" s="9">
        <v>3.1178162222010539</v>
      </c>
    </row>
    <row r="13510" spans="40:42" x14ac:dyDescent="0.3">
      <c r="AN13510">
        <v>13506</v>
      </c>
      <c r="AO13510" s="11">
        <v>13853.49</v>
      </c>
      <c r="AP13510" s="9">
        <v>2.4110218446722413</v>
      </c>
    </row>
    <row r="13511" spans="40:42" x14ac:dyDescent="0.3">
      <c r="AN13511">
        <v>13507</v>
      </c>
      <c r="AO13511" s="11">
        <v>19805.53</v>
      </c>
      <c r="AP13511" s="9">
        <v>3.3818027693175376</v>
      </c>
    </row>
    <row r="13512" spans="40:42" x14ac:dyDescent="0.3">
      <c r="AN13512">
        <v>13508</v>
      </c>
      <c r="AO13512" s="11">
        <v>37247.040000000001</v>
      </c>
      <c r="AP13512" s="9">
        <v>3.1490511898274112</v>
      </c>
    </row>
    <row r="13513" spans="40:42" x14ac:dyDescent="0.3">
      <c r="AN13513">
        <v>13509</v>
      </c>
      <c r="AO13513" s="11">
        <v>14175.9</v>
      </c>
      <c r="AP13513" s="9">
        <v>2.9692815831049466</v>
      </c>
    </row>
    <row r="13514" spans="40:42" x14ac:dyDescent="0.3">
      <c r="AN13514">
        <v>13510</v>
      </c>
      <c r="AO13514" s="11">
        <v>26159.49</v>
      </c>
      <c r="AP13514" s="9">
        <v>3.6996786138996267</v>
      </c>
    </row>
    <row r="13515" spans="40:42" x14ac:dyDescent="0.3">
      <c r="AN13515">
        <v>13511</v>
      </c>
      <c r="AO13515" s="11">
        <v>35328.19</v>
      </c>
      <c r="AP13515" s="9">
        <v>3.6516558644124157</v>
      </c>
    </row>
    <row r="13516" spans="40:42" x14ac:dyDescent="0.3">
      <c r="AN13516">
        <v>13512</v>
      </c>
      <c r="AO13516" s="11">
        <v>21315.71</v>
      </c>
      <c r="AP13516" s="9">
        <v>2.6219924668588086</v>
      </c>
    </row>
    <row r="13517" spans="40:42" x14ac:dyDescent="0.3">
      <c r="AN13517">
        <v>13513</v>
      </c>
      <c r="AO13517" s="11">
        <v>15969.26</v>
      </c>
      <c r="AP13517" s="9">
        <v>3.3101091047679869</v>
      </c>
    </row>
    <row r="13518" spans="40:42" x14ac:dyDescent="0.3">
      <c r="AN13518">
        <v>13514</v>
      </c>
      <c r="AO13518" s="11">
        <v>27957.46</v>
      </c>
      <c r="AP13518" s="9">
        <v>3.2245752720568266</v>
      </c>
    </row>
    <row r="13519" spans="40:42" x14ac:dyDescent="0.3">
      <c r="AN13519">
        <v>13515</v>
      </c>
      <c r="AO13519" s="11">
        <v>27967.77</v>
      </c>
      <c r="AP13519" s="9">
        <v>3.554116293368133</v>
      </c>
    </row>
    <row r="13520" spans="40:42" x14ac:dyDescent="0.3">
      <c r="AN13520">
        <v>13516</v>
      </c>
      <c r="AO13520" s="11">
        <v>22397.89</v>
      </c>
      <c r="AP13520" s="9">
        <v>3.3950024366718048</v>
      </c>
    </row>
    <row r="13521" spans="40:42" x14ac:dyDescent="0.3">
      <c r="AN13521">
        <v>13517</v>
      </c>
      <c r="AO13521" s="11">
        <v>27043.17</v>
      </c>
      <c r="AP13521" s="9">
        <v>3.3256343867634177</v>
      </c>
    </row>
    <row r="13522" spans="40:42" x14ac:dyDescent="0.3">
      <c r="AN13522">
        <v>13518</v>
      </c>
      <c r="AO13522" s="11">
        <v>19256.54</v>
      </c>
      <c r="AP13522" s="9">
        <v>3.5498408309517964</v>
      </c>
    </row>
    <row r="13523" spans="40:42" x14ac:dyDescent="0.3">
      <c r="AN13523">
        <v>13519</v>
      </c>
      <c r="AO13523" s="11">
        <v>22369.56</v>
      </c>
      <c r="AP13523" s="9">
        <v>3.9740762365561357</v>
      </c>
    </row>
    <row r="13524" spans="40:42" x14ac:dyDescent="0.3">
      <c r="AN13524">
        <v>13520</v>
      </c>
      <c r="AO13524" s="11">
        <v>20601.759999999998</v>
      </c>
      <c r="AP13524" s="9">
        <v>2.6617574843713125</v>
      </c>
    </row>
    <row r="13525" spans="40:42" x14ac:dyDescent="0.3">
      <c r="AN13525">
        <v>13521</v>
      </c>
      <c r="AO13525" s="11">
        <v>42143.76</v>
      </c>
      <c r="AP13525" s="9">
        <v>3.4375881742522427</v>
      </c>
    </row>
    <row r="13526" spans="40:42" x14ac:dyDescent="0.3">
      <c r="AN13526">
        <v>13522</v>
      </c>
      <c r="AO13526" s="11">
        <v>22014.46</v>
      </c>
      <c r="AP13526" s="9">
        <v>3.1544799926989544</v>
      </c>
    </row>
    <row r="13527" spans="40:42" x14ac:dyDescent="0.3">
      <c r="AN13527">
        <v>13523</v>
      </c>
      <c r="AO13527" s="11">
        <v>32597.34</v>
      </c>
      <c r="AP13527" s="9">
        <v>3.7453771700952316</v>
      </c>
    </row>
    <row r="13528" spans="40:42" x14ac:dyDescent="0.3">
      <c r="AN13528">
        <v>13524</v>
      </c>
      <c r="AO13528" s="11">
        <v>22628.83</v>
      </c>
      <c r="AP13528" s="9">
        <v>2.9246376166101746</v>
      </c>
    </row>
    <row r="13529" spans="40:42" x14ac:dyDescent="0.3">
      <c r="AN13529">
        <v>13525</v>
      </c>
      <c r="AO13529" s="11">
        <v>24632.66</v>
      </c>
      <c r="AP13529" s="9">
        <v>3.0987641698274557</v>
      </c>
    </row>
    <row r="13530" spans="40:42" x14ac:dyDescent="0.3">
      <c r="AN13530">
        <v>13526</v>
      </c>
      <c r="AO13530" s="11">
        <v>28636.69</v>
      </c>
      <c r="AP13530" s="9">
        <v>2.848370227519974</v>
      </c>
    </row>
    <row r="13531" spans="40:42" x14ac:dyDescent="0.3">
      <c r="AN13531">
        <v>13527</v>
      </c>
      <c r="AO13531" s="11">
        <v>20545.63</v>
      </c>
      <c r="AP13531" s="9">
        <v>3.2240466140385808</v>
      </c>
    </row>
    <row r="13532" spans="40:42" x14ac:dyDescent="0.3">
      <c r="AN13532">
        <v>13528</v>
      </c>
      <c r="AO13532" s="11">
        <v>20632.18</v>
      </c>
      <c r="AP13532" s="9">
        <v>3.1912804994310231</v>
      </c>
    </row>
    <row r="13533" spans="40:42" x14ac:dyDescent="0.3">
      <c r="AN13533">
        <v>13529</v>
      </c>
      <c r="AO13533" s="11">
        <v>25934.57</v>
      </c>
      <c r="AP13533" s="9">
        <v>2.9410746927370841</v>
      </c>
    </row>
    <row r="13534" spans="40:42" x14ac:dyDescent="0.3">
      <c r="AN13534">
        <v>13530</v>
      </c>
      <c r="AO13534" s="11">
        <v>30388.3</v>
      </c>
      <c r="AP13534" s="9">
        <v>3.0810260315494395</v>
      </c>
    </row>
    <row r="13535" spans="40:42" x14ac:dyDescent="0.3">
      <c r="AN13535">
        <v>13531</v>
      </c>
      <c r="AO13535" s="11">
        <v>25970</v>
      </c>
      <c r="AP13535" s="9">
        <v>2.9342570438857702</v>
      </c>
    </row>
    <row r="13536" spans="40:42" x14ac:dyDescent="0.3">
      <c r="AN13536">
        <v>13532</v>
      </c>
      <c r="AO13536" s="11">
        <v>25366.49</v>
      </c>
      <c r="AP13536" s="9">
        <v>3.6120881503859605</v>
      </c>
    </row>
    <row r="13537" spans="40:42" x14ac:dyDescent="0.3">
      <c r="AN13537">
        <v>13533</v>
      </c>
      <c r="AO13537" s="11">
        <v>25360.6</v>
      </c>
      <c r="AP13537" s="9">
        <v>3.3651736642884424</v>
      </c>
    </row>
    <row r="13538" spans="40:42" x14ac:dyDescent="0.3">
      <c r="AN13538">
        <v>13534</v>
      </c>
      <c r="AO13538" s="11">
        <v>19323</v>
      </c>
      <c r="AP13538" s="9">
        <v>3.4832798228119044</v>
      </c>
    </row>
    <row r="13539" spans="40:42" x14ac:dyDescent="0.3">
      <c r="AN13539">
        <v>13535</v>
      </c>
      <c r="AO13539" s="11">
        <v>25275.65</v>
      </c>
      <c r="AP13539" s="9">
        <v>3.4668908154658689</v>
      </c>
    </row>
    <row r="13540" spans="40:42" x14ac:dyDescent="0.3">
      <c r="AN13540">
        <v>13536</v>
      </c>
      <c r="AO13540" s="11">
        <v>46426.83</v>
      </c>
      <c r="AP13540" s="9">
        <v>3.5741177651926264</v>
      </c>
    </row>
    <row r="13541" spans="40:42" x14ac:dyDescent="0.3">
      <c r="AN13541">
        <v>13537</v>
      </c>
      <c r="AO13541" s="11">
        <v>34313.67</v>
      </c>
      <c r="AP13541" s="9">
        <v>3.4354195938480871</v>
      </c>
    </row>
    <row r="13542" spans="40:42" x14ac:dyDescent="0.3">
      <c r="AN13542">
        <v>13538</v>
      </c>
      <c r="AO13542" s="11">
        <v>33181.949999999997</v>
      </c>
      <c r="AP13542" s="9">
        <v>2.9612230970599618</v>
      </c>
    </row>
    <row r="13543" spans="40:42" x14ac:dyDescent="0.3">
      <c r="AN13543">
        <v>13539</v>
      </c>
      <c r="AO13543" s="11">
        <v>24734.400000000001</v>
      </c>
      <c r="AP13543" s="9">
        <v>3.2602617517660302</v>
      </c>
    </row>
    <row r="13544" spans="40:42" x14ac:dyDescent="0.3">
      <c r="AN13544">
        <v>13540</v>
      </c>
      <c r="AO13544" s="11">
        <v>24311.64</v>
      </c>
      <c r="AP13544" s="9">
        <v>3.3608232861144409</v>
      </c>
    </row>
    <row r="13545" spans="40:42" x14ac:dyDescent="0.3">
      <c r="AN13545">
        <v>13541</v>
      </c>
      <c r="AO13545" s="11">
        <v>15101.39</v>
      </c>
      <c r="AP13545" s="9">
        <v>2.9270334474857269</v>
      </c>
    </row>
    <row r="13546" spans="40:42" x14ac:dyDescent="0.3">
      <c r="AN13546">
        <v>13542</v>
      </c>
      <c r="AO13546" s="11">
        <v>27851.43</v>
      </c>
      <c r="AP13546" s="9">
        <v>3.6926031404213866</v>
      </c>
    </row>
    <row r="13547" spans="40:42" x14ac:dyDescent="0.3">
      <c r="AN13547">
        <v>13543</v>
      </c>
      <c r="AO13547" s="11">
        <v>24698.240000000002</v>
      </c>
      <c r="AP13547" s="9">
        <v>3.6530708878057818</v>
      </c>
    </row>
    <row r="13548" spans="40:42" x14ac:dyDescent="0.3">
      <c r="AN13548">
        <v>13544</v>
      </c>
      <c r="AO13548" s="11">
        <v>22742.68</v>
      </c>
      <c r="AP13548" s="9">
        <v>2.8842481235137023</v>
      </c>
    </row>
    <row r="13549" spans="40:42" x14ac:dyDescent="0.3">
      <c r="AN13549">
        <v>13545</v>
      </c>
      <c r="AO13549" s="11">
        <v>34950.57</v>
      </c>
      <c r="AP13549" s="9">
        <v>3.9651572427178099</v>
      </c>
    </row>
    <row r="13550" spans="40:42" x14ac:dyDescent="0.3">
      <c r="AN13550">
        <v>13546</v>
      </c>
      <c r="AO13550" s="11">
        <v>32041.919999999998</v>
      </c>
      <c r="AP13550" s="9">
        <v>3.3537043447399078</v>
      </c>
    </row>
    <row r="13551" spans="40:42" x14ac:dyDescent="0.3">
      <c r="AN13551">
        <v>13547</v>
      </c>
      <c r="AO13551" s="11">
        <v>20354.759999999998</v>
      </c>
      <c r="AP13551" s="9">
        <v>3.740136989393557</v>
      </c>
    </row>
    <row r="13552" spans="40:42" x14ac:dyDescent="0.3">
      <c r="AN13552">
        <v>13548</v>
      </c>
      <c r="AO13552" s="11">
        <v>44875.9</v>
      </c>
      <c r="AP13552" s="9">
        <v>3.8600150866490006</v>
      </c>
    </row>
    <row r="13553" spans="40:42" x14ac:dyDescent="0.3">
      <c r="AN13553">
        <v>13549</v>
      </c>
      <c r="AO13553" s="11">
        <v>29891.52</v>
      </c>
      <c r="AP13553" s="9">
        <v>4.6086981046097</v>
      </c>
    </row>
    <row r="13554" spans="40:42" x14ac:dyDescent="0.3">
      <c r="AN13554">
        <v>13550</v>
      </c>
      <c r="AO13554" s="11">
        <v>24024.36</v>
      </c>
      <c r="AP13554" s="9">
        <v>3.5030917260584635</v>
      </c>
    </row>
    <row r="13555" spans="40:42" x14ac:dyDescent="0.3">
      <c r="AN13555">
        <v>13551</v>
      </c>
      <c r="AO13555" s="11">
        <v>33114.769999999997</v>
      </c>
      <c r="AP13555" s="9">
        <v>3.6850223177080381</v>
      </c>
    </row>
    <row r="13556" spans="40:42" x14ac:dyDescent="0.3">
      <c r="AN13556">
        <v>13552</v>
      </c>
      <c r="AO13556" s="11">
        <v>38187.760000000002</v>
      </c>
      <c r="AP13556" s="9">
        <v>3.5227771130211276</v>
      </c>
    </row>
    <row r="13557" spans="40:42" x14ac:dyDescent="0.3">
      <c r="AN13557">
        <v>13553</v>
      </c>
      <c r="AO13557" s="11">
        <v>19468.169999999998</v>
      </c>
      <c r="AP13557" s="9">
        <v>3.0480350652123365</v>
      </c>
    </row>
    <row r="13558" spans="40:42" x14ac:dyDescent="0.3">
      <c r="AN13558">
        <v>13554</v>
      </c>
      <c r="AO13558" s="11">
        <v>23873.14</v>
      </c>
      <c r="AP13558" s="9">
        <v>3.1908592095534143</v>
      </c>
    </row>
    <row r="13559" spans="40:42" x14ac:dyDescent="0.3">
      <c r="AN13559">
        <v>13555</v>
      </c>
      <c r="AO13559" s="11">
        <v>21442.34</v>
      </c>
      <c r="AP13559" s="9">
        <v>2.9149431186439956</v>
      </c>
    </row>
    <row r="13560" spans="40:42" x14ac:dyDescent="0.3">
      <c r="AN13560">
        <v>13556</v>
      </c>
      <c r="AO13560" s="11">
        <v>23151.56</v>
      </c>
      <c r="AP13560" s="9">
        <v>3.0706727780326815</v>
      </c>
    </row>
    <row r="13561" spans="40:42" x14ac:dyDescent="0.3">
      <c r="AN13561">
        <v>13557</v>
      </c>
      <c r="AO13561" s="11">
        <v>17639.150000000001</v>
      </c>
      <c r="AP13561" s="9">
        <v>3.0277649582643051</v>
      </c>
    </row>
    <row r="13562" spans="40:42" x14ac:dyDescent="0.3">
      <c r="AN13562">
        <v>13558</v>
      </c>
      <c r="AO13562" s="11">
        <v>29379.16</v>
      </c>
      <c r="AP13562" s="9">
        <v>3.3771378264230387</v>
      </c>
    </row>
    <row r="13563" spans="40:42" x14ac:dyDescent="0.3">
      <c r="AN13563">
        <v>13559</v>
      </c>
      <c r="AO13563" s="11">
        <v>32997.71</v>
      </c>
      <c r="AP13563" s="9">
        <v>3.4781383166176205</v>
      </c>
    </row>
    <row r="13564" spans="40:42" x14ac:dyDescent="0.3">
      <c r="AN13564">
        <v>13560</v>
      </c>
      <c r="AO13564" s="11">
        <v>30067.78</v>
      </c>
      <c r="AP13564" s="9">
        <v>3.4409587143683269</v>
      </c>
    </row>
    <row r="13565" spans="40:42" x14ac:dyDescent="0.3">
      <c r="AN13565">
        <v>13561</v>
      </c>
      <c r="AO13565" s="11">
        <v>14889.47</v>
      </c>
      <c r="AP13565" s="9">
        <v>2.7256679156548564</v>
      </c>
    </row>
    <row r="13566" spans="40:42" x14ac:dyDescent="0.3">
      <c r="AN13566">
        <v>13562</v>
      </c>
      <c r="AO13566" s="11">
        <v>27015.91</v>
      </c>
      <c r="AP13566" s="9">
        <v>4.0466075940845743</v>
      </c>
    </row>
    <row r="13567" spans="40:42" x14ac:dyDescent="0.3">
      <c r="AN13567">
        <v>13563</v>
      </c>
      <c r="AO13567" s="11">
        <v>27538.14</v>
      </c>
      <c r="AP13567" s="9">
        <v>3.675517793916931</v>
      </c>
    </row>
    <row r="13568" spans="40:42" x14ac:dyDescent="0.3">
      <c r="AN13568">
        <v>13564</v>
      </c>
      <c r="AO13568" s="11">
        <v>36463.11</v>
      </c>
      <c r="AP13568" s="9">
        <v>3.4556639359159811</v>
      </c>
    </row>
    <row r="13569" spans="40:42" x14ac:dyDescent="0.3">
      <c r="AN13569">
        <v>13565</v>
      </c>
      <c r="AO13569" s="11">
        <v>22236.35</v>
      </c>
      <c r="AP13569" s="9">
        <v>3.9592484457010393</v>
      </c>
    </row>
    <row r="13570" spans="40:42" x14ac:dyDescent="0.3">
      <c r="AN13570">
        <v>13566</v>
      </c>
      <c r="AO13570" s="11">
        <v>21169.200000000001</v>
      </c>
      <c r="AP13570" s="9">
        <v>2.9360363844329123</v>
      </c>
    </row>
    <row r="13571" spans="40:42" x14ac:dyDescent="0.3">
      <c r="AN13571">
        <v>13567</v>
      </c>
      <c r="AO13571" s="11">
        <v>23502.36</v>
      </c>
      <c r="AP13571" s="9">
        <v>3.662800223405327</v>
      </c>
    </row>
    <row r="13572" spans="40:42" x14ac:dyDescent="0.3">
      <c r="AN13572">
        <v>13568</v>
      </c>
      <c r="AO13572" s="11">
        <v>26753.55</v>
      </c>
      <c r="AP13572" s="9">
        <v>3.188079772604949</v>
      </c>
    </row>
    <row r="13573" spans="40:42" x14ac:dyDescent="0.3">
      <c r="AN13573">
        <v>13569</v>
      </c>
      <c r="AO13573" s="11">
        <v>31515.53</v>
      </c>
      <c r="AP13573" s="9">
        <v>3.319797820820019</v>
      </c>
    </row>
    <row r="13574" spans="40:42" x14ac:dyDescent="0.3">
      <c r="AN13574">
        <v>13570</v>
      </c>
      <c r="AO13574" s="11">
        <v>29385.89</v>
      </c>
      <c r="AP13574" s="9">
        <v>3.7190182075895071</v>
      </c>
    </row>
    <row r="13575" spans="40:42" x14ac:dyDescent="0.3">
      <c r="AN13575">
        <v>13571</v>
      </c>
      <c r="AO13575" s="11">
        <v>24521.05</v>
      </c>
      <c r="AP13575" s="9">
        <v>3.888355125276564</v>
      </c>
    </row>
    <row r="13576" spans="40:42" x14ac:dyDescent="0.3">
      <c r="AN13576">
        <v>13572</v>
      </c>
      <c r="AO13576" s="11">
        <v>25825.8</v>
      </c>
      <c r="AP13576" s="9">
        <v>3.0544008912864111</v>
      </c>
    </row>
    <row r="13577" spans="40:42" x14ac:dyDescent="0.3">
      <c r="AN13577">
        <v>13573</v>
      </c>
      <c r="AO13577" s="11">
        <v>20786.02</v>
      </c>
      <c r="AP13577" s="9">
        <v>2.8008220522494542</v>
      </c>
    </row>
    <row r="13578" spans="40:42" x14ac:dyDescent="0.3">
      <c r="AN13578">
        <v>13574</v>
      </c>
      <c r="AO13578" s="11">
        <v>31077.57</v>
      </c>
      <c r="AP13578" s="9">
        <v>2.8998387898330735</v>
      </c>
    </row>
    <row r="13579" spans="40:42" x14ac:dyDescent="0.3">
      <c r="AN13579">
        <v>13575</v>
      </c>
      <c r="AO13579" s="11">
        <v>36646.44</v>
      </c>
      <c r="AP13579" s="9">
        <v>3.4801544817345036</v>
      </c>
    </row>
    <row r="13580" spans="40:42" x14ac:dyDescent="0.3">
      <c r="AN13580">
        <v>13576</v>
      </c>
      <c r="AO13580" s="11">
        <v>30748.63</v>
      </c>
      <c r="AP13580" s="9">
        <v>2.8414191942588753</v>
      </c>
    </row>
    <row r="13581" spans="40:42" x14ac:dyDescent="0.3">
      <c r="AN13581">
        <v>13577</v>
      </c>
      <c r="AO13581" s="11">
        <v>26891.77</v>
      </c>
      <c r="AP13581" s="9">
        <v>3.9439850003666099</v>
      </c>
    </row>
    <row r="13582" spans="40:42" x14ac:dyDescent="0.3">
      <c r="AN13582">
        <v>13578</v>
      </c>
      <c r="AO13582" s="11">
        <v>26699.06</v>
      </c>
      <c r="AP13582" s="9">
        <v>3.7152819646235562</v>
      </c>
    </row>
    <row r="13583" spans="40:42" x14ac:dyDescent="0.3">
      <c r="AN13583">
        <v>13579</v>
      </c>
      <c r="AO13583" s="11">
        <v>28498.34</v>
      </c>
      <c r="AP13583" s="9">
        <v>3.5885138273455315</v>
      </c>
    </row>
    <row r="13584" spans="40:42" x14ac:dyDescent="0.3">
      <c r="AN13584">
        <v>13580</v>
      </c>
      <c r="AO13584" s="11">
        <v>19019.689999999999</v>
      </c>
      <c r="AP13584" s="9">
        <v>2.5385522445842614</v>
      </c>
    </row>
    <row r="13585" spans="40:42" x14ac:dyDescent="0.3">
      <c r="AN13585">
        <v>13581</v>
      </c>
      <c r="AO13585" s="11">
        <v>32720.61</v>
      </c>
      <c r="AP13585" s="9">
        <v>3.3415436141891903</v>
      </c>
    </row>
    <row r="13586" spans="40:42" x14ac:dyDescent="0.3">
      <c r="AN13586">
        <v>13582</v>
      </c>
      <c r="AO13586" s="11">
        <v>21338.31</v>
      </c>
      <c r="AP13586" s="9">
        <v>3.3256391087084793</v>
      </c>
    </row>
    <row r="13587" spans="40:42" x14ac:dyDescent="0.3">
      <c r="AN13587">
        <v>13583</v>
      </c>
      <c r="AO13587" s="11">
        <v>20330.84</v>
      </c>
      <c r="AP13587" s="9">
        <v>3.4291020160666417</v>
      </c>
    </row>
    <row r="13588" spans="40:42" x14ac:dyDescent="0.3">
      <c r="AN13588">
        <v>13584</v>
      </c>
      <c r="AO13588" s="11">
        <v>33894.980000000003</v>
      </c>
      <c r="AP13588" s="9">
        <v>3.2315134842266606</v>
      </c>
    </row>
    <row r="13589" spans="40:42" x14ac:dyDescent="0.3">
      <c r="AN13589">
        <v>13585</v>
      </c>
      <c r="AO13589" s="11">
        <v>24571.05</v>
      </c>
      <c r="AP13589" s="9">
        <v>3.1780931064292859</v>
      </c>
    </row>
    <row r="13590" spans="40:42" x14ac:dyDescent="0.3">
      <c r="AN13590">
        <v>13586</v>
      </c>
      <c r="AO13590" s="11">
        <v>33514.199999999997</v>
      </c>
      <c r="AP13590" s="9">
        <v>3.829890578368921</v>
      </c>
    </row>
    <row r="13591" spans="40:42" x14ac:dyDescent="0.3">
      <c r="AN13591">
        <v>13587</v>
      </c>
      <c r="AO13591" s="11">
        <v>30631.07</v>
      </c>
      <c r="AP13591" s="9">
        <v>3.3304211429591035</v>
      </c>
    </row>
    <row r="13592" spans="40:42" x14ac:dyDescent="0.3">
      <c r="AN13592">
        <v>13588</v>
      </c>
      <c r="AO13592" s="11">
        <v>31118.65</v>
      </c>
      <c r="AP13592" s="9">
        <v>3.0799401561095379</v>
      </c>
    </row>
    <row r="13593" spans="40:42" x14ac:dyDescent="0.3">
      <c r="AN13593">
        <v>13589</v>
      </c>
      <c r="AO13593" s="11">
        <v>28994.03</v>
      </c>
      <c r="AP13593" s="9">
        <v>3.1807522131868744</v>
      </c>
    </row>
    <row r="13594" spans="40:42" x14ac:dyDescent="0.3">
      <c r="AN13594">
        <v>13590</v>
      </c>
      <c r="AO13594" s="11">
        <v>32607.919999999998</v>
      </c>
      <c r="AP13594" s="9">
        <v>3.9766244820613021</v>
      </c>
    </row>
    <row r="13595" spans="40:42" x14ac:dyDescent="0.3">
      <c r="AN13595">
        <v>13591</v>
      </c>
      <c r="AO13595" s="11">
        <v>36151.57</v>
      </c>
      <c r="AP13595" s="9">
        <v>3.5940027063316813</v>
      </c>
    </row>
    <row r="13596" spans="40:42" x14ac:dyDescent="0.3">
      <c r="AN13596">
        <v>13592</v>
      </c>
      <c r="AO13596" s="11">
        <v>23226.93</v>
      </c>
      <c r="AP13596" s="9">
        <v>3.3358539952775002</v>
      </c>
    </row>
    <row r="13597" spans="40:42" x14ac:dyDescent="0.3">
      <c r="AN13597">
        <v>13593</v>
      </c>
      <c r="AO13597" s="11">
        <v>28586.880000000001</v>
      </c>
      <c r="AP13597" s="9">
        <v>3.8159954371614537</v>
      </c>
    </row>
    <row r="13598" spans="40:42" x14ac:dyDescent="0.3">
      <c r="AN13598">
        <v>13594</v>
      </c>
      <c r="AO13598" s="11">
        <v>42248.5</v>
      </c>
      <c r="AP13598" s="9">
        <v>3.9154583358313402</v>
      </c>
    </row>
    <row r="13599" spans="40:42" x14ac:dyDescent="0.3">
      <c r="AN13599">
        <v>13595</v>
      </c>
      <c r="AO13599" s="11">
        <v>16775.5</v>
      </c>
      <c r="AP13599" s="9">
        <v>3.594424667931944</v>
      </c>
    </row>
    <row r="13600" spans="40:42" x14ac:dyDescent="0.3">
      <c r="AN13600">
        <v>13596</v>
      </c>
      <c r="AO13600" s="11">
        <v>39054.01</v>
      </c>
      <c r="AP13600" s="9">
        <v>4.1418472590676494</v>
      </c>
    </row>
    <row r="13601" spans="40:42" x14ac:dyDescent="0.3">
      <c r="AN13601">
        <v>13597</v>
      </c>
      <c r="AO13601" s="11">
        <v>24262.5</v>
      </c>
      <c r="AP13601" s="9">
        <v>3.1007636325440693</v>
      </c>
    </row>
    <row r="13602" spans="40:42" x14ac:dyDescent="0.3">
      <c r="AN13602">
        <v>13598</v>
      </c>
      <c r="AO13602" s="11">
        <v>34394.31</v>
      </c>
      <c r="AP13602" s="9">
        <v>3.6349571637282398</v>
      </c>
    </row>
    <row r="13603" spans="40:42" x14ac:dyDescent="0.3">
      <c r="AN13603">
        <v>13599</v>
      </c>
      <c r="AO13603" s="11">
        <v>21768.71</v>
      </c>
      <c r="AP13603" s="9">
        <v>2.6930532886341023</v>
      </c>
    </row>
    <row r="13604" spans="40:42" x14ac:dyDescent="0.3">
      <c r="AN13604">
        <v>13600</v>
      </c>
      <c r="AO13604" s="11">
        <v>26691.87</v>
      </c>
      <c r="AP13604" s="9">
        <v>3.8485081692489338</v>
      </c>
    </row>
    <row r="13605" spans="40:42" x14ac:dyDescent="0.3">
      <c r="AN13605">
        <v>13601</v>
      </c>
      <c r="AO13605" s="11">
        <v>29726.9</v>
      </c>
      <c r="AP13605" s="9">
        <v>3.5352042156707286</v>
      </c>
    </row>
    <row r="13606" spans="40:42" x14ac:dyDescent="0.3">
      <c r="AN13606">
        <v>13602</v>
      </c>
      <c r="AO13606" s="11">
        <v>35106.870000000003</v>
      </c>
      <c r="AP13606" s="9">
        <v>3.7891038835768813</v>
      </c>
    </row>
    <row r="13607" spans="40:42" x14ac:dyDescent="0.3">
      <c r="AN13607">
        <v>13603</v>
      </c>
      <c r="AO13607" s="11">
        <v>30656.11</v>
      </c>
      <c r="AP13607" s="9">
        <v>3.5134482542191847</v>
      </c>
    </row>
    <row r="13608" spans="40:42" x14ac:dyDescent="0.3">
      <c r="AN13608">
        <v>13604</v>
      </c>
      <c r="AO13608" s="11">
        <v>24257.85</v>
      </c>
      <c r="AP13608" s="9">
        <v>3.3735438257920314</v>
      </c>
    </row>
    <row r="13609" spans="40:42" x14ac:dyDescent="0.3">
      <c r="AN13609">
        <v>13605</v>
      </c>
      <c r="AO13609" s="11">
        <v>35096.080000000002</v>
      </c>
      <c r="AP13609" s="9">
        <v>3.5353621352202302</v>
      </c>
    </row>
    <row r="13610" spans="40:42" x14ac:dyDescent="0.3">
      <c r="AN13610">
        <v>13606</v>
      </c>
      <c r="AO13610" s="11">
        <v>35190.019999999997</v>
      </c>
      <c r="AP13610" s="9">
        <v>3.7500348560688423</v>
      </c>
    </row>
    <row r="13611" spans="40:42" x14ac:dyDescent="0.3">
      <c r="AN13611">
        <v>13607</v>
      </c>
      <c r="AO13611" s="11">
        <v>17287.560000000001</v>
      </c>
      <c r="AP13611" s="9">
        <v>3.576617000960796</v>
      </c>
    </row>
    <row r="13612" spans="40:42" x14ac:dyDescent="0.3">
      <c r="AN13612">
        <v>13608</v>
      </c>
      <c r="AO13612" s="11">
        <v>34385.410000000003</v>
      </c>
      <c r="AP13612" s="9">
        <v>3.5516116134381641</v>
      </c>
    </row>
    <row r="13613" spans="40:42" x14ac:dyDescent="0.3">
      <c r="AN13613">
        <v>13609</v>
      </c>
      <c r="AO13613" s="11">
        <v>38535.89</v>
      </c>
      <c r="AP13613" s="9">
        <v>3.9795819444868981</v>
      </c>
    </row>
    <row r="13614" spans="40:42" x14ac:dyDescent="0.3">
      <c r="AN13614">
        <v>13610</v>
      </c>
      <c r="AO13614" s="11">
        <v>19281.2</v>
      </c>
      <c r="AP13614" s="9">
        <v>3.534438148098682</v>
      </c>
    </row>
    <row r="13615" spans="40:42" x14ac:dyDescent="0.3">
      <c r="AN13615">
        <v>13611</v>
      </c>
      <c r="AO13615" s="11">
        <v>24207.17</v>
      </c>
      <c r="AP13615" s="9">
        <v>3.1002192482592568</v>
      </c>
    </row>
    <row r="13616" spans="40:42" x14ac:dyDescent="0.3">
      <c r="AN13616">
        <v>13612</v>
      </c>
      <c r="AO13616" s="11">
        <v>38390.18</v>
      </c>
      <c r="AP13616" s="9">
        <v>3.5271708521942049</v>
      </c>
    </row>
    <row r="13617" spans="40:42" x14ac:dyDescent="0.3">
      <c r="AN13617">
        <v>13613</v>
      </c>
      <c r="AO13617" s="11">
        <v>35898.39</v>
      </c>
      <c r="AP13617" s="9">
        <v>3.4382496214354474</v>
      </c>
    </row>
    <row r="13618" spans="40:42" x14ac:dyDescent="0.3">
      <c r="AN13618">
        <v>13614</v>
      </c>
      <c r="AO13618" s="11">
        <v>23994.09</v>
      </c>
      <c r="AP13618" s="9">
        <v>3.2670558073160119</v>
      </c>
    </row>
    <row r="13619" spans="40:42" x14ac:dyDescent="0.3">
      <c r="AN13619">
        <v>13615</v>
      </c>
      <c r="AO13619" s="11">
        <v>30952.48</v>
      </c>
      <c r="AP13619" s="9">
        <v>3.5592224033889721</v>
      </c>
    </row>
    <row r="13620" spans="40:42" x14ac:dyDescent="0.3">
      <c r="AN13620">
        <v>13616</v>
      </c>
      <c r="AO13620" s="11">
        <v>35282.94</v>
      </c>
      <c r="AP13620" s="9">
        <v>3.6198525409710038</v>
      </c>
    </row>
    <row r="13621" spans="40:42" x14ac:dyDescent="0.3">
      <c r="AN13621">
        <v>13617</v>
      </c>
      <c r="AO13621" s="11">
        <v>23696.11</v>
      </c>
      <c r="AP13621" s="9">
        <v>3.0503800865029551</v>
      </c>
    </row>
    <row r="13622" spans="40:42" x14ac:dyDescent="0.3">
      <c r="AN13622">
        <v>13618</v>
      </c>
      <c r="AO13622" s="11">
        <v>21743.46</v>
      </c>
      <c r="AP13622" s="9">
        <v>3.204654714188512</v>
      </c>
    </row>
    <row r="13623" spans="40:42" x14ac:dyDescent="0.3">
      <c r="AN13623">
        <v>13619</v>
      </c>
      <c r="AO13623" s="11">
        <v>21915.24</v>
      </c>
      <c r="AP13623" s="9">
        <v>2.8830934213134909</v>
      </c>
    </row>
    <row r="13624" spans="40:42" x14ac:dyDescent="0.3">
      <c r="AN13624">
        <v>13620</v>
      </c>
      <c r="AO13624" s="11">
        <v>24305.63</v>
      </c>
      <c r="AP13624" s="9">
        <v>3.0652059237437963</v>
      </c>
    </row>
    <row r="13625" spans="40:42" x14ac:dyDescent="0.3">
      <c r="AN13625">
        <v>13621</v>
      </c>
      <c r="AO13625" s="11">
        <v>25676.99</v>
      </c>
      <c r="AP13625" s="9">
        <v>3.5182857182653002</v>
      </c>
    </row>
    <row r="13626" spans="40:42" x14ac:dyDescent="0.3">
      <c r="AN13626">
        <v>13622</v>
      </c>
      <c r="AO13626" s="11">
        <v>19361.669999999998</v>
      </c>
      <c r="AP13626" s="9">
        <v>3.2665388231632928</v>
      </c>
    </row>
    <row r="13627" spans="40:42" x14ac:dyDescent="0.3">
      <c r="AN13627">
        <v>13623</v>
      </c>
      <c r="AO13627" s="11">
        <v>32679.66</v>
      </c>
      <c r="AP13627" s="9">
        <v>3.4119580445955515</v>
      </c>
    </row>
    <row r="13628" spans="40:42" x14ac:dyDescent="0.3">
      <c r="AN13628">
        <v>13624</v>
      </c>
      <c r="AO13628" s="11">
        <v>28050.99</v>
      </c>
      <c r="AP13628" s="9">
        <v>3.0685318349352615</v>
      </c>
    </row>
    <row r="13629" spans="40:42" x14ac:dyDescent="0.3">
      <c r="AN13629">
        <v>13625</v>
      </c>
      <c r="AO13629" s="11">
        <v>24855.31</v>
      </c>
      <c r="AP13629" s="9">
        <v>3.5398075296467972</v>
      </c>
    </row>
    <row r="13630" spans="40:42" x14ac:dyDescent="0.3">
      <c r="AN13630">
        <v>13626</v>
      </c>
      <c r="AO13630" s="11">
        <v>29421.69</v>
      </c>
      <c r="AP13630" s="9">
        <v>3.0626895375711238</v>
      </c>
    </row>
    <row r="13631" spans="40:42" x14ac:dyDescent="0.3">
      <c r="AN13631">
        <v>13627</v>
      </c>
      <c r="AO13631" s="11">
        <v>25841.07</v>
      </c>
      <c r="AP13631" s="9">
        <v>3.4841229284843123</v>
      </c>
    </row>
    <row r="13632" spans="40:42" x14ac:dyDescent="0.3">
      <c r="AN13632">
        <v>13628</v>
      </c>
      <c r="AO13632" s="11">
        <v>19068.5</v>
      </c>
      <c r="AP13632" s="9">
        <v>3.6012378552218216</v>
      </c>
    </row>
    <row r="13633" spans="40:42" x14ac:dyDescent="0.3">
      <c r="AN13633">
        <v>13629</v>
      </c>
      <c r="AO13633" s="11">
        <v>55870.3</v>
      </c>
      <c r="AP13633" s="9">
        <v>4.0877998567361216</v>
      </c>
    </row>
    <row r="13634" spans="40:42" x14ac:dyDescent="0.3">
      <c r="AN13634">
        <v>13630</v>
      </c>
      <c r="AO13634" s="11">
        <v>32290.560000000001</v>
      </c>
      <c r="AP13634" s="9">
        <v>3.5513195263563411</v>
      </c>
    </row>
    <row r="13635" spans="40:42" x14ac:dyDescent="0.3">
      <c r="AN13635">
        <v>13631</v>
      </c>
      <c r="AO13635" s="11">
        <v>37588.61</v>
      </c>
      <c r="AP13635" s="9">
        <v>4.1297454836605176</v>
      </c>
    </row>
    <row r="13636" spans="40:42" x14ac:dyDescent="0.3">
      <c r="AN13636">
        <v>13632</v>
      </c>
      <c r="AO13636" s="11">
        <v>32836.86</v>
      </c>
      <c r="AP13636" s="9">
        <v>3.4452658891278345</v>
      </c>
    </row>
    <row r="13637" spans="40:42" x14ac:dyDescent="0.3">
      <c r="AN13637">
        <v>13633</v>
      </c>
      <c r="AO13637" s="11">
        <v>35234.949999999997</v>
      </c>
      <c r="AP13637" s="9">
        <v>3.2462456473643106</v>
      </c>
    </row>
    <row r="13638" spans="40:42" x14ac:dyDescent="0.3">
      <c r="AN13638">
        <v>13634</v>
      </c>
      <c r="AO13638" s="11">
        <v>26610.14</v>
      </c>
      <c r="AP13638" s="9">
        <v>3.2051916737157056</v>
      </c>
    </row>
    <row r="13639" spans="40:42" x14ac:dyDescent="0.3">
      <c r="AN13639">
        <v>13635</v>
      </c>
      <c r="AO13639" s="11">
        <v>32244.58</v>
      </c>
      <c r="AP13639" s="9">
        <v>3.2340886909398288</v>
      </c>
    </row>
    <row r="13640" spans="40:42" x14ac:dyDescent="0.3">
      <c r="AN13640">
        <v>13636</v>
      </c>
      <c r="AO13640" s="11">
        <v>38058.089999999997</v>
      </c>
      <c r="AP13640" s="9">
        <v>4.1102036128158899</v>
      </c>
    </row>
    <row r="13641" spans="40:42" x14ac:dyDescent="0.3">
      <c r="AN13641">
        <v>13637</v>
      </c>
      <c r="AO13641" s="11">
        <v>25565.22</v>
      </c>
      <c r="AP13641" s="9">
        <v>3.1180546795360282</v>
      </c>
    </row>
    <row r="13642" spans="40:42" x14ac:dyDescent="0.3">
      <c r="AN13642">
        <v>13638</v>
      </c>
      <c r="AO13642" s="11">
        <v>22735.56</v>
      </c>
      <c r="AP13642" s="9">
        <v>3.431381078425745</v>
      </c>
    </row>
    <row r="13643" spans="40:42" x14ac:dyDescent="0.3">
      <c r="AN13643">
        <v>13639</v>
      </c>
      <c r="AO13643" s="11">
        <v>38702.35</v>
      </c>
      <c r="AP13643" s="9">
        <v>4.7562460585554858</v>
      </c>
    </row>
    <row r="13644" spans="40:42" x14ac:dyDescent="0.3">
      <c r="AN13644">
        <v>13640</v>
      </c>
      <c r="AO13644" s="11">
        <v>29969.57</v>
      </c>
      <c r="AP13644" s="9">
        <v>3.0632379399909846</v>
      </c>
    </row>
    <row r="13645" spans="40:42" x14ac:dyDescent="0.3">
      <c r="AN13645">
        <v>13641</v>
      </c>
      <c r="AO13645" s="11">
        <v>31676.42</v>
      </c>
      <c r="AP13645" s="9">
        <v>3.5816359101398652</v>
      </c>
    </row>
    <row r="13646" spans="40:42" x14ac:dyDescent="0.3">
      <c r="AN13646">
        <v>13642</v>
      </c>
      <c r="AO13646" s="11">
        <v>22082.04</v>
      </c>
      <c r="AP13646" s="9">
        <v>3.5263416663819767</v>
      </c>
    </row>
    <row r="13647" spans="40:42" x14ac:dyDescent="0.3">
      <c r="AN13647">
        <v>13643</v>
      </c>
      <c r="AO13647" s="11">
        <v>37625.49</v>
      </c>
      <c r="AP13647" s="9">
        <v>3.3774505998421431</v>
      </c>
    </row>
    <row r="13648" spans="40:42" x14ac:dyDescent="0.3">
      <c r="AN13648">
        <v>13644</v>
      </c>
      <c r="AO13648" s="11">
        <v>22931.83</v>
      </c>
      <c r="AP13648" s="9">
        <v>3.0781944129482808</v>
      </c>
    </row>
    <row r="13649" spans="40:42" x14ac:dyDescent="0.3">
      <c r="AN13649">
        <v>13645</v>
      </c>
      <c r="AO13649" s="11">
        <v>14933.87</v>
      </c>
      <c r="AP13649" s="9">
        <v>2.6066864965658305</v>
      </c>
    </row>
    <row r="13650" spans="40:42" x14ac:dyDescent="0.3">
      <c r="AN13650">
        <v>13646</v>
      </c>
      <c r="AO13650" s="11">
        <v>18882.29</v>
      </c>
      <c r="AP13650" s="9">
        <v>2.7388562774010872</v>
      </c>
    </row>
    <row r="13651" spans="40:42" x14ac:dyDescent="0.3">
      <c r="AN13651">
        <v>13647</v>
      </c>
      <c r="AO13651" s="11">
        <v>22904.639999999999</v>
      </c>
      <c r="AP13651" s="9">
        <v>3.5571071440429729</v>
      </c>
    </row>
    <row r="13652" spans="40:42" x14ac:dyDescent="0.3">
      <c r="AN13652">
        <v>13648</v>
      </c>
      <c r="AO13652" s="11">
        <v>33440.36</v>
      </c>
      <c r="AP13652" s="9">
        <v>3.8923950099888294</v>
      </c>
    </row>
    <row r="13653" spans="40:42" x14ac:dyDescent="0.3">
      <c r="AN13653">
        <v>13649</v>
      </c>
      <c r="AO13653" s="11">
        <v>21270.38</v>
      </c>
      <c r="AP13653" s="9">
        <v>3.2020003739718792</v>
      </c>
    </row>
    <row r="13654" spans="40:42" x14ac:dyDescent="0.3">
      <c r="AN13654">
        <v>13650</v>
      </c>
      <c r="AO13654" s="11">
        <v>27438.06</v>
      </c>
      <c r="AP13654" s="9">
        <v>3.369922198482274</v>
      </c>
    </row>
    <row r="13655" spans="40:42" x14ac:dyDescent="0.3">
      <c r="AN13655">
        <v>13651</v>
      </c>
      <c r="AO13655" s="11">
        <v>19234.45</v>
      </c>
      <c r="AP13655" s="9">
        <v>2.6954975643912671</v>
      </c>
    </row>
    <row r="13656" spans="40:42" x14ac:dyDescent="0.3">
      <c r="AN13656">
        <v>13652</v>
      </c>
      <c r="AO13656" s="11">
        <v>33165.78</v>
      </c>
      <c r="AP13656" s="9">
        <v>3.0646192848103722</v>
      </c>
    </row>
    <row r="13657" spans="40:42" x14ac:dyDescent="0.3">
      <c r="AN13657">
        <v>13653</v>
      </c>
      <c r="AO13657" s="11">
        <v>23855.06</v>
      </c>
      <c r="AP13657" s="9">
        <v>3.6067656288438719</v>
      </c>
    </row>
    <row r="13658" spans="40:42" x14ac:dyDescent="0.3">
      <c r="AN13658">
        <v>13654</v>
      </c>
      <c r="AO13658" s="11">
        <v>34075.82</v>
      </c>
      <c r="AP13658" s="9">
        <v>3.7389287437214267</v>
      </c>
    </row>
    <row r="13659" spans="40:42" x14ac:dyDescent="0.3">
      <c r="AN13659">
        <v>13655</v>
      </c>
      <c r="AO13659" s="11">
        <v>32356.85</v>
      </c>
      <c r="AP13659" s="9">
        <v>3.4915575098839713</v>
      </c>
    </row>
    <row r="13660" spans="40:42" x14ac:dyDescent="0.3">
      <c r="AN13660">
        <v>13656</v>
      </c>
      <c r="AO13660" s="11">
        <v>23995.05</v>
      </c>
      <c r="AP13660" s="9">
        <v>3.1572503587518104</v>
      </c>
    </row>
    <row r="13661" spans="40:42" x14ac:dyDescent="0.3">
      <c r="AN13661">
        <v>13657</v>
      </c>
      <c r="AO13661" s="11">
        <v>31368.26</v>
      </c>
      <c r="AP13661" s="9">
        <v>3.2177595328316206</v>
      </c>
    </row>
    <row r="13662" spans="40:42" x14ac:dyDescent="0.3">
      <c r="AN13662">
        <v>13658</v>
      </c>
      <c r="AO13662" s="11">
        <v>24531.599999999999</v>
      </c>
      <c r="AP13662" s="9">
        <v>3.0088300678028794</v>
      </c>
    </row>
    <row r="13663" spans="40:42" x14ac:dyDescent="0.3">
      <c r="AN13663">
        <v>13659</v>
      </c>
      <c r="AO13663" s="11">
        <v>13101.28</v>
      </c>
      <c r="AP13663" s="9">
        <v>3.157541654681133</v>
      </c>
    </row>
    <row r="13664" spans="40:42" x14ac:dyDescent="0.3">
      <c r="AN13664">
        <v>13660</v>
      </c>
      <c r="AO13664" s="11">
        <v>25007.85</v>
      </c>
      <c r="AP13664" s="9">
        <v>3.3568893564090594</v>
      </c>
    </row>
    <row r="13665" spans="40:42" x14ac:dyDescent="0.3">
      <c r="AN13665">
        <v>13661</v>
      </c>
      <c r="AO13665" s="11">
        <v>26172.51</v>
      </c>
      <c r="AP13665" s="9">
        <v>3.164065163551268</v>
      </c>
    </row>
    <row r="13666" spans="40:42" x14ac:dyDescent="0.3">
      <c r="AN13666">
        <v>13662</v>
      </c>
      <c r="AO13666" s="11">
        <v>21262.77</v>
      </c>
      <c r="AP13666" s="9">
        <v>3.4153553607154392</v>
      </c>
    </row>
    <row r="13667" spans="40:42" x14ac:dyDescent="0.3">
      <c r="AN13667">
        <v>13663</v>
      </c>
      <c r="AO13667" s="11">
        <v>26055.48</v>
      </c>
      <c r="AP13667" s="9">
        <v>3.1265219912580946</v>
      </c>
    </row>
    <row r="13668" spans="40:42" x14ac:dyDescent="0.3">
      <c r="AN13668">
        <v>13664</v>
      </c>
      <c r="AO13668" s="11">
        <v>33779.699999999997</v>
      </c>
      <c r="AP13668" s="9">
        <v>3.3036796443580898</v>
      </c>
    </row>
    <row r="13669" spans="40:42" x14ac:dyDescent="0.3">
      <c r="AN13669">
        <v>13665</v>
      </c>
      <c r="AO13669" s="11">
        <v>24274.95</v>
      </c>
      <c r="AP13669" s="9">
        <v>3.3137544392219809</v>
      </c>
    </row>
    <row r="13670" spans="40:42" x14ac:dyDescent="0.3">
      <c r="AN13670">
        <v>13666</v>
      </c>
      <c r="AO13670" s="11">
        <v>24985.51</v>
      </c>
      <c r="AP13670" s="9">
        <v>3.4031000495520964</v>
      </c>
    </row>
    <row r="13671" spans="40:42" x14ac:dyDescent="0.3">
      <c r="AN13671">
        <v>13667</v>
      </c>
      <c r="AO13671" s="11">
        <v>38758.6</v>
      </c>
      <c r="AP13671" s="9">
        <v>3.6658421046421261</v>
      </c>
    </row>
    <row r="13672" spans="40:42" x14ac:dyDescent="0.3">
      <c r="AN13672">
        <v>13668</v>
      </c>
      <c r="AO13672" s="11">
        <v>30814.04</v>
      </c>
      <c r="AP13672" s="9">
        <v>3.0881394414759846</v>
      </c>
    </row>
    <row r="13673" spans="40:42" x14ac:dyDescent="0.3">
      <c r="AN13673">
        <v>13669</v>
      </c>
      <c r="AO13673" s="11">
        <v>31752.06</v>
      </c>
      <c r="AP13673" s="9">
        <v>3.8174632654762455</v>
      </c>
    </row>
    <row r="13674" spans="40:42" x14ac:dyDescent="0.3">
      <c r="AN13674">
        <v>13670</v>
      </c>
      <c r="AO13674" s="11">
        <v>25038.31</v>
      </c>
      <c r="AP13674" s="9">
        <v>3.7206104538279798</v>
      </c>
    </row>
    <row r="13675" spans="40:42" x14ac:dyDescent="0.3">
      <c r="AN13675">
        <v>13671</v>
      </c>
      <c r="AO13675" s="11">
        <v>16224.49</v>
      </c>
      <c r="AP13675" s="9">
        <v>3.6207174234087249</v>
      </c>
    </row>
    <row r="13676" spans="40:42" x14ac:dyDescent="0.3">
      <c r="AN13676">
        <v>13672</v>
      </c>
      <c r="AO13676" s="11">
        <v>30856.16</v>
      </c>
      <c r="AP13676" s="9">
        <v>3.1941881212070289</v>
      </c>
    </row>
    <row r="13677" spans="40:42" x14ac:dyDescent="0.3">
      <c r="AN13677">
        <v>13673</v>
      </c>
      <c r="AO13677" s="11">
        <v>41187.24</v>
      </c>
      <c r="AP13677" s="9">
        <v>4.658255292572508</v>
      </c>
    </row>
    <row r="13678" spans="40:42" x14ac:dyDescent="0.3">
      <c r="AN13678">
        <v>13674</v>
      </c>
      <c r="AO13678" s="11">
        <v>26079.360000000001</v>
      </c>
      <c r="AP13678" s="9">
        <v>3.8388165503635601</v>
      </c>
    </row>
    <row r="13679" spans="40:42" x14ac:dyDescent="0.3">
      <c r="AN13679">
        <v>13675</v>
      </c>
      <c r="AO13679" s="11">
        <v>36367.800000000003</v>
      </c>
      <c r="AP13679" s="9">
        <v>3.7785788447400828</v>
      </c>
    </row>
    <row r="13680" spans="40:42" x14ac:dyDescent="0.3">
      <c r="AN13680">
        <v>13676</v>
      </c>
      <c r="AO13680" s="11">
        <v>31259.11</v>
      </c>
      <c r="AP13680" s="9">
        <v>3.5422375761138292</v>
      </c>
    </row>
    <row r="13681" spans="40:42" x14ac:dyDescent="0.3">
      <c r="AN13681">
        <v>13677</v>
      </c>
      <c r="AO13681" s="11">
        <v>31163.26</v>
      </c>
      <c r="AP13681" s="9">
        <v>3.9426142360896042</v>
      </c>
    </row>
    <row r="13682" spans="40:42" x14ac:dyDescent="0.3">
      <c r="AN13682">
        <v>13678</v>
      </c>
      <c r="AO13682" s="11">
        <v>37762.49</v>
      </c>
      <c r="AP13682" s="9">
        <v>3.9368256121465546</v>
      </c>
    </row>
    <row r="13683" spans="40:42" x14ac:dyDescent="0.3">
      <c r="AN13683">
        <v>13679</v>
      </c>
      <c r="AO13683" s="11">
        <v>24267.279999999999</v>
      </c>
      <c r="AP13683" s="9">
        <v>3.428305499035035</v>
      </c>
    </row>
    <row r="13684" spans="40:42" x14ac:dyDescent="0.3">
      <c r="AN13684">
        <v>13680</v>
      </c>
      <c r="AO13684" s="11">
        <v>32659.17</v>
      </c>
      <c r="AP13684" s="9">
        <v>3.9751626652453891</v>
      </c>
    </row>
    <row r="13685" spans="40:42" x14ac:dyDescent="0.3">
      <c r="AN13685">
        <v>13681</v>
      </c>
      <c r="AO13685" s="11">
        <v>25203.11</v>
      </c>
      <c r="AP13685" s="9">
        <v>3.4549656913295212</v>
      </c>
    </row>
    <row r="13686" spans="40:42" x14ac:dyDescent="0.3">
      <c r="AN13686">
        <v>13682</v>
      </c>
      <c r="AO13686" s="11">
        <v>25136.46</v>
      </c>
      <c r="AP13686" s="9">
        <v>4.1911242395196782</v>
      </c>
    </row>
    <row r="13687" spans="40:42" x14ac:dyDescent="0.3">
      <c r="AN13687">
        <v>13683</v>
      </c>
      <c r="AO13687" s="11">
        <v>23047.26</v>
      </c>
      <c r="AP13687" s="9">
        <v>3.0519847032879897</v>
      </c>
    </row>
    <row r="13688" spans="40:42" x14ac:dyDescent="0.3">
      <c r="AN13688">
        <v>13684</v>
      </c>
      <c r="AO13688" s="11">
        <v>35543.440000000002</v>
      </c>
      <c r="AP13688" s="9">
        <v>3.3585815243570067</v>
      </c>
    </row>
    <row r="13689" spans="40:42" x14ac:dyDescent="0.3">
      <c r="AN13689">
        <v>13685</v>
      </c>
      <c r="AO13689" s="11">
        <v>17400.009999999998</v>
      </c>
      <c r="AP13689" s="9">
        <v>3.5295206338327363</v>
      </c>
    </row>
    <row r="13690" spans="40:42" x14ac:dyDescent="0.3">
      <c r="AN13690">
        <v>13686</v>
      </c>
      <c r="AO13690" s="11">
        <v>25180.240000000002</v>
      </c>
      <c r="AP13690" s="9">
        <v>3.6061538634964365</v>
      </c>
    </row>
    <row r="13691" spans="40:42" x14ac:dyDescent="0.3">
      <c r="AN13691">
        <v>13687</v>
      </c>
      <c r="AO13691" s="11">
        <v>30509.03</v>
      </c>
      <c r="AP13691" s="9">
        <v>3.4606625841441314</v>
      </c>
    </row>
    <row r="13692" spans="40:42" x14ac:dyDescent="0.3">
      <c r="AN13692">
        <v>13688</v>
      </c>
      <c r="AO13692" s="11">
        <v>33835.99</v>
      </c>
      <c r="AP13692" s="9">
        <v>3.7135107125455682</v>
      </c>
    </row>
    <row r="13693" spans="40:42" x14ac:dyDescent="0.3">
      <c r="AN13693">
        <v>13689</v>
      </c>
      <c r="AO13693" s="11">
        <v>28043.24</v>
      </c>
      <c r="AP13693" s="9">
        <v>3.566126536107789</v>
      </c>
    </row>
    <row r="13694" spans="40:42" x14ac:dyDescent="0.3">
      <c r="AN13694">
        <v>13690</v>
      </c>
      <c r="AO13694" s="11">
        <v>36584.699999999997</v>
      </c>
      <c r="AP13694" s="9">
        <v>3.2605969221567488</v>
      </c>
    </row>
    <row r="13695" spans="40:42" x14ac:dyDescent="0.3">
      <c r="AN13695">
        <v>13691</v>
      </c>
      <c r="AO13695" s="11">
        <v>23952.98</v>
      </c>
      <c r="AP13695" s="9">
        <v>3.7152949144541907</v>
      </c>
    </row>
    <row r="13696" spans="40:42" x14ac:dyDescent="0.3">
      <c r="AN13696">
        <v>13692</v>
      </c>
      <c r="AO13696" s="11">
        <v>30337.64</v>
      </c>
      <c r="AP13696" s="9">
        <v>3.1892736870314473</v>
      </c>
    </row>
    <row r="13697" spans="40:42" x14ac:dyDescent="0.3">
      <c r="AN13697">
        <v>13693</v>
      </c>
      <c r="AO13697" s="11">
        <v>27299.25</v>
      </c>
      <c r="AP13697" s="9">
        <v>2.8119417973587644</v>
      </c>
    </row>
    <row r="13698" spans="40:42" x14ac:dyDescent="0.3">
      <c r="AN13698">
        <v>13694</v>
      </c>
      <c r="AO13698" s="11">
        <v>24260.14</v>
      </c>
      <c r="AP13698" s="9">
        <v>3.1217001465971919</v>
      </c>
    </row>
    <row r="13699" spans="40:42" x14ac:dyDescent="0.3">
      <c r="AN13699">
        <v>13695</v>
      </c>
      <c r="AO13699" s="11">
        <v>23531.91</v>
      </c>
      <c r="AP13699" s="9">
        <v>2.9027953195974372</v>
      </c>
    </row>
    <row r="13700" spans="40:42" x14ac:dyDescent="0.3">
      <c r="AN13700">
        <v>13696</v>
      </c>
      <c r="AO13700" s="11">
        <v>29147.24</v>
      </c>
      <c r="AP13700" s="9">
        <v>3.6066042159913878</v>
      </c>
    </row>
    <row r="13701" spans="40:42" x14ac:dyDescent="0.3">
      <c r="AN13701">
        <v>13697</v>
      </c>
      <c r="AO13701" s="11">
        <v>24998.38</v>
      </c>
      <c r="AP13701" s="9">
        <v>2.8997205999534348</v>
      </c>
    </row>
    <row r="13702" spans="40:42" x14ac:dyDescent="0.3">
      <c r="AN13702">
        <v>13698</v>
      </c>
      <c r="AO13702" s="11">
        <v>42979.47</v>
      </c>
      <c r="AP13702" s="9">
        <v>3.8952168997489141</v>
      </c>
    </row>
    <row r="13703" spans="40:42" x14ac:dyDescent="0.3">
      <c r="AN13703">
        <v>13699</v>
      </c>
      <c r="AO13703" s="11">
        <v>24110.75</v>
      </c>
      <c r="AP13703" s="9">
        <v>3.9906069727696654</v>
      </c>
    </row>
    <row r="13704" spans="40:42" x14ac:dyDescent="0.3">
      <c r="AN13704">
        <v>13700</v>
      </c>
      <c r="AO13704" s="11">
        <v>27665.23</v>
      </c>
      <c r="AP13704" s="9">
        <v>3.562402281959951</v>
      </c>
    </row>
    <row r="13705" spans="40:42" x14ac:dyDescent="0.3">
      <c r="AN13705">
        <v>13701</v>
      </c>
      <c r="AO13705" s="11">
        <v>22585.64</v>
      </c>
      <c r="AP13705" s="9">
        <v>3.3524523028917104</v>
      </c>
    </row>
    <row r="13706" spans="40:42" x14ac:dyDescent="0.3">
      <c r="AN13706">
        <v>13702</v>
      </c>
      <c r="AO13706" s="11">
        <v>35764.629999999997</v>
      </c>
      <c r="AP13706" s="9">
        <v>3.4488827224179142</v>
      </c>
    </row>
    <row r="13707" spans="40:42" x14ac:dyDescent="0.3">
      <c r="AN13707">
        <v>13703</v>
      </c>
      <c r="AO13707" s="11">
        <v>24521.5</v>
      </c>
      <c r="AP13707" s="9">
        <v>3.2268459243718839</v>
      </c>
    </row>
    <row r="13708" spans="40:42" x14ac:dyDescent="0.3">
      <c r="AN13708">
        <v>13704</v>
      </c>
      <c r="AO13708" s="11">
        <v>21821.43</v>
      </c>
      <c r="AP13708" s="9">
        <v>2.7183894860881188</v>
      </c>
    </row>
    <row r="13709" spans="40:42" x14ac:dyDescent="0.3">
      <c r="AN13709">
        <v>13705</v>
      </c>
      <c r="AO13709" s="11">
        <v>24330.29</v>
      </c>
      <c r="AP13709" s="9">
        <v>3.4312110817649417</v>
      </c>
    </row>
    <row r="13710" spans="40:42" x14ac:dyDescent="0.3">
      <c r="AN13710">
        <v>13706</v>
      </c>
      <c r="AO13710" s="11">
        <v>30778.7</v>
      </c>
      <c r="AP13710" s="9">
        <v>3.078487498726691</v>
      </c>
    </row>
    <row r="13711" spans="40:42" x14ac:dyDescent="0.3">
      <c r="AN13711">
        <v>13707</v>
      </c>
      <c r="AO13711" s="11">
        <v>33016.89</v>
      </c>
      <c r="AP13711" s="9">
        <v>3.6302513738991227</v>
      </c>
    </row>
    <row r="13712" spans="40:42" x14ac:dyDescent="0.3">
      <c r="AN13712">
        <v>13708</v>
      </c>
      <c r="AO13712" s="11">
        <v>23135.58</v>
      </c>
      <c r="AP13712" s="9">
        <v>3.2279417358729043</v>
      </c>
    </row>
    <row r="13713" spans="40:42" x14ac:dyDescent="0.3">
      <c r="AN13713">
        <v>13709</v>
      </c>
      <c r="AO13713" s="11">
        <v>34900.78</v>
      </c>
      <c r="AP13713" s="9">
        <v>3.9791174529708835</v>
      </c>
    </row>
    <row r="13714" spans="40:42" x14ac:dyDescent="0.3">
      <c r="AN13714">
        <v>13710</v>
      </c>
      <c r="AO13714" s="11">
        <v>22562.87</v>
      </c>
      <c r="AP13714" s="9">
        <v>3.4905571567393712</v>
      </c>
    </row>
    <row r="13715" spans="40:42" x14ac:dyDescent="0.3">
      <c r="AN13715">
        <v>13711</v>
      </c>
      <c r="AO13715" s="11">
        <v>25591</v>
      </c>
      <c r="AP13715" s="9">
        <v>2.5934953276724189</v>
      </c>
    </row>
    <row r="13716" spans="40:42" x14ac:dyDescent="0.3">
      <c r="AN13716">
        <v>13712</v>
      </c>
      <c r="AO13716" s="11">
        <v>23300.25</v>
      </c>
      <c r="AP13716" s="9">
        <v>3.1926218624019058</v>
      </c>
    </row>
    <row r="13717" spans="40:42" x14ac:dyDescent="0.3">
      <c r="AN13717">
        <v>13713</v>
      </c>
      <c r="AO13717" s="11">
        <v>30606.15</v>
      </c>
      <c r="AP13717" s="9">
        <v>3.311032662743131</v>
      </c>
    </row>
    <row r="13718" spans="40:42" x14ac:dyDescent="0.3">
      <c r="AN13718">
        <v>13714</v>
      </c>
      <c r="AO13718" s="11">
        <v>25034.7</v>
      </c>
      <c r="AP13718" s="9">
        <v>3.2557696153503719</v>
      </c>
    </row>
    <row r="13719" spans="40:42" x14ac:dyDescent="0.3">
      <c r="AN13719">
        <v>13715</v>
      </c>
      <c r="AO13719" s="11">
        <v>21112.43</v>
      </c>
      <c r="AP13719" s="9">
        <v>3.1786633103781927</v>
      </c>
    </row>
    <row r="13720" spans="40:42" x14ac:dyDescent="0.3">
      <c r="AN13720">
        <v>13716</v>
      </c>
      <c r="AO13720" s="11">
        <v>25825.34</v>
      </c>
      <c r="AP13720" s="9">
        <v>3.3485684749324092</v>
      </c>
    </row>
    <row r="13721" spans="40:42" x14ac:dyDescent="0.3">
      <c r="AN13721">
        <v>13717</v>
      </c>
      <c r="AO13721" s="11">
        <v>35450.86</v>
      </c>
      <c r="AP13721" s="9">
        <v>3.1239234810351602</v>
      </c>
    </row>
    <row r="13722" spans="40:42" x14ac:dyDescent="0.3">
      <c r="AN13722">
        <v>13718</v>
      </c>
      <c r="AO13722" s="11">
        <v>21606.07</v>
      </c>
      <c r="AP13722" s="9">
        <v>3.0712206914670137</v>
      </c>
    </row>
    <row r="13723" spans="40:42" x14ac:dyDescent="0.3">
      <c r="AN13723">
        <v>13719</v>
      </c>
      <c r="AO13723" s="11">
        <v>32656.06</v>
      </c>
      <c r="AP13723" s="9">
        <v>3.3879258187713526</v>
      </c>
    </row>
    <row r="13724" spans="40:42" x14ac:dyDescent="0.3">
      <c r="AN13724">
        <v>13720</v>
      </c>
      <c r="AO13724" s="11">
        <v>21909.43</v>
      </c>
      <c r="AP13724" s="9">
        <v>3.3914724837461963</v>
      </c>
    </row>
    <row r="13725" spans="40:42" x14ac:dyDescent="0.3">
      <c r="AN13725">
        <v>13721</v>
      </c>
      <c r="AO13725" s="11">
        <v>30557.83</v>
      </c>
      <c r="AP13725" s="9">
        <v>3.893650415194835</v>
      </c>
    </row>
    <row r="13726" spans="40:42" x14ac:dyDescent="0.3">
      <c r="AN13726">
        <v>13722</v>
      </c>
      <c r="AO13726" s="11">
        <v>17879.05</v>
      </c>
      <c r="AP13726" s="9">
        <v>3.183502474969135</v>
      </c>
    </row>
    <row r="13727" spans="40:42" x14ac:dyDescent="0.3">
      <c r="AN13727">
        <v>13723</v>
      </c>
      <c r="AO13727" s="11">
        <v>22881.53</v>
      </c>
      <c r="AP13727" s="9">
        <v>2.9848035312783736</v>
      </c>
    </row>
    <row r="13728" spans="40:42" x14ac:dyDescent="0.3">
      <c r="AN13728">
        <v>13724</v>
      </c>
      <c r="AO13728" s="11">
        <v>9924.9500000000007</v>
      </c>
      <c r="AP13728" s="9">
        <v>2.6948969851764613</v>
      </c>
    </row>
    <row r="13729" spans="40:42" x14ac:dyDescent="0.3">
      <c r="AN13729">
        <v>13725</v>
      </c>
      <c r="AO13729" s="11">
        <v>36601.97</v>
      </c>
      <c r="AP13729" s="9">
        <v>3.1538689298504434</v>
      </c>
    </row>
    <row r="13730" spans="40:42" x14ac:dyDescent="0.3">
      <c r="AN13730">
        <v>13726</v>
      </c>
      <c r="AO13730" s="11">
        <v>24355.73</v>
      </c>
      <c r="AP13730" s="9">
        <v>3.3621242754009031</v>
      </c>
    </row>
    <row r="13731" spans="40:42" x14ac:dyDescent="0.3">
      <c r="AN13731">
        <v>13727</v>
      </c>
      <c r="AO13731" s="11">
        <v>33027.599999999999</v>
      </c>
      <c r="AP13731" s="9">
        <v>4.0736469241940503</v>
      </c>
    </row>
    <row r="13732" spans="40:42" x14ac:dyDescent="0.3">
      <c r="AN13732">
        <v>13728</v>
      </c>
      <c r="AO13732" s="11">
        <v>25843.34</v>
      </c>
      <c r="AP13732" s="9">
        <v>3.8636060702582449</v>
      </c>
    </row>
    <row r="13733" spans="40:42" x14ac:dyDescent="0.3">
      <c r="AN13733">
        <v>13729</v>
      </c>
      <c r="AO13733" s="11">
        <v>15974.66</v>
      </c>
      <c r="AP13733" s="9">
        <v>2.9523371064670707</v>
      </c>
    </row>
    <row r="13734" spans="40:42" x14ac:dyDescent="0.3">
      <c r="AN13734">
        <v>13730</v>
      </c>
      <c r="AO13734" s="11">
        <v>18611.36</v>
      </c>
      <c r="AP13734" s="9">
        <v>3.2973388849569822</v>
      </c>
    </row>
    <row r="13735" spans="40:42" x14ac:dyDescent="0.3">
      <c r="AN13735">
        <v>13731</v>
      </c>
      <c r="AO13735" s="11">
        <v>26430.36</v>
      </c>
      <c r="AP13735" s="9">
        <v>2.7653023719771843</v>
      </c>
    </row>
    <row r="13736" spans="40:42" x14ac:dyDescent="0.3">
      <c r="AN13736">
        <v>13732</v>
      </c>
      <c r="AO13736" s="11">
        <v>27404.62</v>
      </c>
      <c r="AP13736" s="9">
        <v>4.5273438142428883</v>
      </c>
    </row>
    <row r="13737" spans="40:42" x14ac:dyDescent="0.3">
      <c r="AN13737">
        <v>13733</v>
      </c>
      <c r="AO13737" s="11">
        <v>21527.16</v>
      </c>
      <c r="AP13737" s="9">
        <v>2.6930894432588999</v>
      </c>
    </row>
    <row r="13738" spans="40:42" x14ac:dyDescent="0.3">
      <c r="AN13738">
        <v>13734</v>
      </c>
      <c r="AO13738" s="11">
        <v>26795.39</v>
      </c>
      <c r="AP13738" s="9">
        <v>3.2711197792914675</v>
      </c>
    </row>
    <row r="13739" spans="40:42" x14ac:dyDescent="0.3">
      <c r="AN13739">
        <v>13735</v>
      </c>
      <c r="AO13739" s="11">
        <v>18898.509999999998</v>
      </c>
      <c r="AP13739" s="9">
        <v>3.27938671327072</v>
      </c>
    </row>
    <row r="13740" spans="40:42" x14ac:dyDescent="0.3">
      <c r="AN13740">
        <v>13736</v>
      </c>
      <c r="AO13740" s="11">
        <v>25723.79</v>
      </c>
      <c r="AP13740" s="9">
        <v>4.0398326111663287</v>
      </c>
    </row>
    <row r="13741" spans="40:42" x14ac:dyDescent="0.3">
      <c r="AN13741">
        <v>13737</v>
      </c>
      <c r="AO13741" s="11">
        <v>26903.25</v>
      </c>
      <c r="AP13741" s="9">
        <v>3.1578612941430722</v>
      </c>
    </row>
    <row r="13742" spans="40:42" x14ac:dyDescent="0.3">
      <c r="AN13742">
        <v>13738</v>
      </c>
      <c r="AO13742" s="11">
        <v>66789.83</v>
      </c>
      <c r="AP13742" s="9">
        <v>4.7049027775832641</v>
      </c>
    </row>
    <row r="13743" spans="40:42" x14ac:dyDescent="0.3">
      <c r="AN13743">
        <v>13739</v>
      </c>
      <c r="AO13743" s="11">
        <v>19945.79</v>
      </c>
      <c r="AP13743" s="9">
        <v>3.1678176371971527</v>
      </c>
    </row>
    <row r="13744" spans="40:42" x14ac:dyDescent="0.3">
      <c r="AN13744">
        <v>13740</v>
      </c>
      <c r="AO13744" s="11">
        <v>25295.57</v>
      </c>
      <c r="AP13744" s="9">
        <v>3.3172269430761587</v>
      </c>
    </row>
    <row r="13745" spans="40:42" x14ac:dyDescent="0.3">
      <c r="AN13745">
        <v>13741</v>
      </c>
      <c r="AO13745" s="11">
        <v>17638.41</v>
      </c>
      <c r="AP13745" s="9">
        <v>2.9390107150303995</v>
      </c>
    </row>
    <row r="13746" spans="40:42" x14ac:dyDescent="0.3">
      <c r="AN13746">
        <v>13742</v>
      </c>
      <c r="AO13746" s="11">
        <v>22123.200000000001</v>
      </c>
      <c r="AP13746" s="9">
        <v>3.0735780331787455</v>
      </c>
    </row>
    <row r="13747" spans="40:42" x14ac:dyDescent="0.3">
      <c r="AN13747">
        <v>13743</v>
      </c>
      <c r="AO13747" s="11">
        <v>23566.17</v>
      </c>
      <c r="AP13747" s="9">
        <v>3.2691498191795136</v>
      </c>
    </row>
    <row r="13748" spans="40:42" x14ac:dyDescent="0.3">
      <c r="AN13748">
        <v>13744</v>
      </c>
      <c r="AO13748" s="11">
        <v>24361.66</v>
      </c>
      <c r="AP13748" s="9">
        <v>3.201461441254688</v>
      </c>
    </row>
    <row r="13749" spans="40:42" x14ac:dyDescent="0.3">
      <c r="AN13749">
        <v>13745</v>
      </c>
      <c r="AO13749" s="11">
        <v>18711.490000000002</v>
      </c>
      <c r="AP13749" s="9">
        <v>2.7739412164273749</v>
      </c>
    </row>
    <row r="13750" spans="40:42" x14ac:dyDescent="0.3">
      <c r="AN13750">
        <v>13746</v>
      </c>
      <c r="AO13750" s="11">
        <v>16991.64</v>
      </c>
      <c r="AP13750" s="9">
        <v>2.797303342782147</v>
      </c>
    </row>
    <row r="13751" spans="40:42" x14ac:dyDescent="0.3">
      <c r="AN13751">
        <v>13747</v>
      </c>
      <c r="AO13751" s="11">
        <v>14945.13</v>
      </c>
      <c r="AP13751" s="9">
        <v>3.0236775048355065</v>
      </c>
    </row>
    <row r="13752" spans="40:42" x14ac:dyDescent="0.3">
      <c r="AN13752">
        <v>13748</v>
      </c>
      <c r="AO13752" s="11">
        <v>26302.11</v>
      </c>
      <c r="AP13752" s="9">
        <v>3.0748052090377413</v>
      </c>
    </row>
    <row r="13753" spans="40:42" x14ac:dyDescent="0.3">
      <c r="AN13753">
        <v>13749</v>
      </c>
      <c r="AO13753" s="11">
        <v>21741.64</v>
      </c>
      <c r="AP13753" s="9">
        <v>2.9990806536222037</v>
      </c>
    </row>
    <row r="13754" spans="40:42" x14ac:dyDescent="0.3">
      <c r="AN13754">
        <v>13750</v>
      </c>
      <c r="AO13754" s="11">
        <v>33650.86</v>
      </c>
      <c r="AP13754" s="9">
        <v>3.2462093389063291</v>
      </c>
    </row>
    <row r="13755" spans="40:42" x14ac:dyDescent="0.3">
      <c r="AN13755">
        <v>13751</v>
      </c>
      <c r="AO13755" s="11">
        <v>22343.83</v>
      </c>
      <c r="AP13755" s="9">
        <v>3.2646956828272606</v>
      </c>
    </row>
    <row r="13756" spans="40:42" x14ac:dyDescent="0.3">
      <c r="AN13756">
        <v>13752</v>
      </c>
      <c r="AO13756" s="11">
        <v>33978.870000000003</v>
      </c>
      <c r="AP13756" s="9">
        <v>2.7575540604158832</v>
      </c>
    </row>
    <row r="13757" spans="40:42" x14ac:dyDescent="0.3">
      <c r="AN13757">
        <v>13753</v>
      </c>
      <c r="AO13757" s="11">
        <v>29488.560000000001</v>
      </c>
      <c r="AP13757" s="9">
        <v>3.4913413259271633</v>
      </c>
    </row>
    <row r="13758" spans="40:42" x14ac:dyDescent="0.3">
      <c r="AN13758">
        <v>13754</v>
      </c>
      <c r="AO13758" s="11">
        <v>27592.73</v>
      </c>
      <c r="AP13758" s="9">
        <v>2.8321829453993055</v>
      </c>
    </row>
    <row r="13759" spans="40:42" x14ac:dyDescent="0.3">
      <c r="AN13759">
        <v>13755</v>
      </c>
      <c r="AO13759" s="11">
        <v>28420.67</v>
      </c>
      <c r="AP13759" s="9">
        <v>3.0895047368364974</v>
      </c>
    </row>
    <row r="13760" spans="40:42" x14ac:dyDescent="0.3">
      <c r="AN13760">
        <v>13756</v>
      </c>
      <c r="AO13760" s="11">
        <v>26785.13</v>
      </c>
      <c r="AP13760" s="9">
        <v>3.1502565652106385</v>
      </c>
    </row>
    <row r="13761" spans="40:42" x14ac:dyDescent="0.3">
      <c r="AN13761">
        <v>13757</v>
      </c>
      <c r="AO13761" s="11">
        <v>21177.759999999998</v>
      </c>
      <c r="AP13761" s="9">
        <v>2.8584433386344053</v>
      </c>
    </row>
    <row r="13762" spans="40:42" x14ac:dyDescent="0.3">
      <c r="AN13762">
        <v>13758</v>
      </c>
      <c r="AO13762" s="11">
        <v>16081.71</v>
      </c>
      <c r="AP13762" s="9">
        <v>3.2320275264104614</v>
      </c>
    </row>
    <row r="13763" spans="40:42" x14ac:dyDescent="0.3">
      <c r="AN13763">
        <v>13759</v>
      </c>
      <c r="AO13763" s="11">
        <v>32426.19</v>
      </c>
      <c r="AP13763" s="9">
        <v>2.9458828056579986</v>
      </c>
    </row>
    <row r="13764" spans="40:42" x14ac:dyDescent="0.3">
      <c r="AN13764">
        <v>13760</v>
      </c>
      <c r="AO13764" s="11">
        <v>31080.32</v>
      </c>
      <c r="AP13764" s="9">
        <v>3.028942636381645</v>
      </c>
    </row>
    <row r="13765" spans="40:42" x14ac:dyDescent="0.3">
      <c r="AN13765">
        <v>13761</v>
      </c>
      <c r="AO13765" s="11">
        <v>21683.14</v>
      </c>
      <c r="AP13765" s="9">
        <v>3.1909074546749134</v>
      </c>
    </row>
    <row r="13766" spans="40:42" x14ac:dyDescent="0.3">
      <c r="AN13766">
        <v>13762</v>
      </c>
      <c r="AO13766" s="11">
        <v>24228.9</v>
      </c>
      <c r="AP13766" s="9">
        <v>3.4064520518813635</v>
      </c>
    </row>
    <row r="13767" spans="40:42" x14ac:dyDescent="0.3">
      <c r="AN13767">
        <v>13763</v>
      </c>
      <c r="AO13767" s="11">
        <v>24297.19</v>
      </c>
      <c r="AP13767" s="9">
        <v>2.6914747474939125</v>
      </c>
    </row>
    <row r="13768" spans="40:42" x14ac:dyDescent="0.3">
      <c r="AN13768">
        <v>13764</v>
      </c>
      <c r="AO13768" s="11">
        <v>31386.73</v>
      </c>
      <c r="AP13768" s="9">
        <v>4.2493749003517749</v>
      </c>
    </row>
    <row r="13769" spans="40:42" x14ac:dyDescent="0.3">
      <c r="AN13769">
        <v>13765</v>
      </c>
      <c r="AO13769" s="11">
        <v>20944.64</v>
      </c>
      <c r="AP13769" s="9">
        <v>2.4633491255598683</v>
      </c>
    </row>
    <row r="13770" spans="40:42" x14ac:dyDescent="0.3">
      <c r="AN13770">
        <v>13766</v>
      </c>
      <c r="AO13770" s="11">
        <v>22391.56</v>
      </c>
      <c r="AP13770" s="9">
        <v>2.6854581703902145</v>
      </c>
    </row>
    <row r="13771" spans="40:42" x14ac:dyDescent="0.3">
      <c r="AN13771">
        <v>13767</v>
      </c>
      <c r="AO13771" s="11">
        <v>23647.66</v>
      </c>
      <c r="AP13771" s="9">
        <v>3.0792050502934436</v>
      </c>
    </row>
    <row r="13772" spans="40:42" x14ac:dyDescent="0.3">
      <c r="AN13772">
        <v>13768</v>
      </c>
      <c r="AO13772" s="11">
        <v>20621.72</v>
      </c>
      <c r="AP13772" s="9">
        <v>3.5612742504587782</v>
      </c>
    </row>
    <row r="13773" spans="40:42" x14ac:dyDescent="0.3">
      <c r="AN13773">
        <v>13769</v>
      </c>
      <c r="AO13773" s="11">
        <v>29532.98</v>
      </c>
      <c r="AP13773" s="9">
        <v>3.3727707824416209</v>
      </c>
    </row>
    <row r="13774" spans="40:42" x14ac:dyDescent="0.3">
      <c r="AN13774">
        <v>13770</v>
      </c>
      <c r="AO13774" s="11">
        <v>19190.18</v>
      </c>
      <c r="AP13774" s="9">
        <v>2.8162874216382705</v>
      </c>
    </row>
    <row r="13775" spans="40:42" x14ac:dyDescent="0.3">
      <c r="AN13775">
        <v>13771</v>
      </c>
      <c r="AO13775" s="11">
        <v>13724.4</v>
      </c>
      <c r="AP13775" s="9">
        <v>2.9645852323839579</v>
      </c>
    </row>
    <row r="13776" spans="40:42" x14ac:dyDescent="0.3">
      <c r="AN13776">
        <v>13772</v>
      </c>
      <c r="AO13776" s="11">
        <v>24291.61</v>
      </c>
      <c r="AP13776" s="9">
        <v>3.4693362238414083</v>
      </c>
    </row>
    <row r="13777" spans="40:42" x14ac:dyDescent="0.3">
      <c r="AN13777">
        <v>13773</v>
      </c>
      <c r="AO13777" s="11">
        <v>26955.06</v>
      </c>
      <c r="AP13777" s="9">
        <v>3.0383326521284784</v>
      </c>
    </row>
    <row r="13778" spans="40:42" x14ac:dyDescent="0.3">
      <c r="AN13778">
        <v>13774</v>
      </c>
      <c r="AO13778" s="11">
        <v>21607.200000000001</v>
      </c>
      <c r="AP13778" s="9">
        <v>3.1135032889527596</v>
      </c>
    </row>
    <row r="13779" spans="40:42" x14ac:dyDescent="0.3">
      <c r="AN13779">
        <v>13775</v>
      </c>
      <c r="AO13779" s="11">
        <v>39884.67</v>
      </c>
      <c r="AP13779" s="9">
        <v>3.7883165510857153</v>
      </c>
    </row>
    <row r="13780" spans="40:42" x14ac:dyDescent="0.3">
      <c r="AN13780">
        <v>13776</v>
      </c>
      <c r="AO13780" s="11">
        <v>26704.73</v>
      </c>
      <c r="AP13780" s="9">
        <v>3.4876452967307743</v>
      </c>
    </row>
    <row r="13781" spans="40:42" x14ac:dyDescent="0.3">
      <c r="AN13781">
        <v>13777</v>
      </c>
      <c r="AO13781" s="11">
        <v>46014.77</v>
      </c>
      <c r="AP13781" s="9">
        <v>3.6715349482387425</v>
      </c>
    </row>
    <row r="13782" spans="40:42" x14ac:dyDescent="0.3">
      <c r="AN13782">
        <v>13778</v>
      </c>
      <c r="AO13782" s="11">
        <v>19851.29</v>
      </c>
      <c r="AP13782" s="9">
        <v>3.4314173799042842</v>
      </c>
    </row>
    <row r="13783" spans="40:42" x14ac:dyDescent="0.3">
      <c r="AN13783">
        <v>13779</v>
      </c>
      <c r="AO13783" s="11">
        <v>21415.43</v>
      </c>
      <c r="AP13783" s="9">
        <v>3.3996144946448825</v>
      </c>
    </row>
    <row r="13784" spans="40:42" x14ac:dyDescent="0.3">
      <c r="AN13784">
        <v>13780</v>
      </c>
      <c r="AO13784" s="11">
        <v>22466.75</v>
      </c>
      <c r="AP13784" s="9">
        <v>3.5819815947547684</v>
      </c>
    </row>
    <row r="13785" spans="40:42" x14ac:dyDescent="0.3">
      <c r="AN13785">
        <v>13781</v>
      </c>
      <c r="AO13785" s="11">
        <v>24805.41</v>
      </c>
      <c r="AP13785" s="9">
        <v>3.0878691482928491</v>
      </c>
    </row>
    <row r="13786" spans="40:42" x14ac:dyDescent="0.3">
      <c r="AN13786">
        <v>13782</v>
      </c>
      <c r="AO13786" s="11">
        <v>31710.32</v>
      </c>
      <c r="AP13786" s="9">
        <v>3.098460281563534</v>
      </c>
    </row>
    <row r="13787" spans="40:42" x14ac:dyDescent="0.3">
      <c r="AN13787">
        <v>13783</v>
      </c>
      <c r="AO13787" s="11">
        <v>25711.22</v>
      </c>
      <c r="AP13787" s="9">
        <v>3.3673842723185854</v>
      </c>
    </row>
    <row r="13788" spans="40:42" x14ac:dyDescent="0.3">
      <c r="AN13788">
        <v>13784</v>
      </c>
      <c r="AO13788" s="11">
        <v>31973.37</v>
      </c>
      <c r="AP13788" s="9">
        <v>3.7231163773704985</v>
      </c>
    </row>
    <row r="13789" spans="40:42" x14ac:dyDescent="0.3">
      <c r="AN13789">
        <v>13785</v>
      </c>
      <c r="AO13789" s="11">
        <v>18374.150000000001</v>
      </c>
      <c r="AP13789" s="9">
        <v>3.2249366920927929</v>
      </c>
    </row>
    <row r="13790" spans="40:42" x14ac:dyDescent="0.3">
      <c r="AN13790">
        <v>13786</v>
      </c>
      <c r="AO13790" s="11">
        <v>23309.81</v>
      </c>
      <c r="AP13790" s="9">
        <v>3.0601621995320456</v>
      </c>
    </row>
    <row r="13791" spans="40:42" x14ac:dyDescent="0.3">
      <c r="AN13791">
        <v>13787</v>
      </c>
      <c r="AO13791" s="11">
        <v>21635.39</v>
      </c>
      <c r="AP13791" s="9">
        <v>3.2271228890278896</v>
      </c>
    </row>
    <row r="13792" spans="40:42" x14ac:dyDescent="0.3">
      <c r="AN13792">
        <v>13788</v>
      </c>
      <c r="AO13792" s="11">
        <v>22778.01</v>
      </c>
      <c r="AP13792" s="9">
        <v>3.5360434663435956</v>
      </c>
    </row>
    <row r="13793" spans="40:42" x14ac:dyDescent="0.3">
      <c r="AN13793">
        <v>13789</v>
      </c>
      <c r="AO13793" s="11">
        <v>25024.46</v>
      </c>
      <c r="AP13793" s="9">
        <v>4.1922372220824053</v>
      </c>
    </row>
    <row r="13794" spans="40:42" x14ac:dyDescent="0.3">
      <c r="AN13794">
        <v>13790</v>
      </c>
      <c r="AO13794" s="11">
        <v>20234.53</v>
      </c>
      <c r="AP13794" s="9">
        <v>3.6413288839853002</v>
      </c>
    </row>
    <row r="13795" spans="40:42" x14ac:dyDescent="0.3">
      <c r="AN13795">
        <v>13791</v>
      </c>
      <c r="AO13795" s="11">
        <v>30173.8</v>
      </c>
      <c r="AP13795" s="9">
        <v>3.0096553118182916</v>
      </c>
    </row>
    <row r="13796" spans="40:42" x14ac:dyDescent="0.3">
      <c r="AN13796">
        <v>13792</v>
      </c>
      <c r="AO13796" s="11">
        <v>26138.9</v>
      </c>
      <c r="AP13796" s="9">
        <v>3.0460804670978434</v>
      </c>
    </row>
    <row r="13797" spans="40:42" x14ac:dyDescent="0.3">
      <c r="AN13797">
        <v>13793</v>
      </c>
      <c r="AO13797" s="11">
        <v>30717.96</v>
      </c>
      <c r="AP13797" s="9">
        <v>2.8905888859753044</v>
      </c>
    </row>
    <row r="13798" spans="40:42" x14ac:dyDescent="0.3">
      <c r="AN13798">
        <v>13794</v>
      </c>
      <c r="AO13798" s="11">
        <v>41390.14</v>
      </c>
      <c r="AP13798" s="9">
        <v>2.9449207114461178</v>
      </c>
    </row>
    <row r="13799" spans="40:42" x14ac:dyDescent="0.3">
      <c r="AN13799">
        <v>13795</v>
      </c>
      <c r="AO13799" s="11">
        <v>27451.65</v>
      </c>
      <c r="AP13799" s="9">
        <v>3.5207619891423207</v>
      </c>
    </row>
    <row r="13800" spans="40:42" x14ac:dyDescent="0.3">
      <c r="AN13800">
        <v>13796</v>
      </c>
      <c r="AO13800" s="11">
        <v>27663.8</v>
      </c>
      <c r="AP13800" s="9">
        <v>2.9772635691101197</v>
      </c>
    </row>
    <row r="13801" spans="40:42" x14ac:dyDescent="0.3">
      <c r="AN13801">
        <v>13797</v>
      </c>
      <c r="AO13801" s="11">
        <v>26167.02</v>
      </c>
      <c r="AP13801" s="9">
        <v>3.4133391320423638</v>
      </c>
    </row>
    <row r="13802" spans="40:42" x14ac:dyDescent="0.3">
      <c r="AN13802">
        <v>13798</v>
      </c>
      <c r="AO13802" s="11">
        <v>25572.37</v>
      </c>
      <c r="AP13802" s="9">
        <v>3.1081412479775574</v>
      </c>
    </row>
    <row r="13803" spans="40:42" x14ac:dyDescent="0.3">
      <c r="AN13803">
        <v>13799</v>
      </c>
      <c r="AO13803" s="11">
        <v>35559</v>
      </c>
      <c r="AP13803" s="9">
        <v>3.3840769840525469</v>
      </c>
    </row>
    <row r="13804" spans="40:42" x14ac:dyDescent="0.3">
      <c r="AN13804">
        <v>13800</v>
      </c>
      <c r="AO13804" s="11">
        <v>19869.59</v>
      </c>
      <c r="AP13804" s="9">
        <v>3.5520738355309143</v>
      </c>
    </row>
    <row r="13805" spans="40:42" x14ac:dyDescent="0.3">
      <c r="AN13805">
        <v>13801</v>
      </c>
      <c r="AO13805" s="11">
        <v>23629.79</v>
      </c>
      <c r="AP13805" s="9">
        <v>3.5326489485832373</v>
      </c>
    </row>
    <row r="13806" spans="40:42" x14ac:dyDescent="0.3">
      <c r="AN13806">
        <v>13802</v>
      </c>
      <c r="AO13806" s="11">
        <v>30493.84</v>
      </c>
      <c r="AP13806" s="9">
        <v>3.8365784500331128</v>
      </c>
    </row>
    <row r="13807" spans="40:42" x14ac:dyDescent="0.3">
      <c r="AN13807">
        <v>13803</v>
      </c>
      <c r="AO13807" s="11">
        <v>25428.44</v>
      </c>
      <c r="AP13807" s="9">
        <v>3.8501047437364337</v>
      </c>
    </row>
    <row r="13808" spans="40:42" x14ac:dyDescent="0.3">
      <c r="AN13808">
        <v>13804</v>
      </c>
      <c r="AO13808" s="11">
        <v>30786.560000000001</v>
      </c>
      <c r="AP13808" s="9">
        <v>3.483932734966547</v>
      </c>
    </row>
    <row r="13809" spans="40:42" x14ac:dyDescent="0.3">
      <c r="AN13809">
        <v>13805</v>
      </c>
      <c r="AO13809" s="11">
        <v>26410.68</v>
      </c>
      <c r="AP13809" s="9">
        <v>3.2230643207538918</v>
      </c>
    </row>
    <row r="13810" spans="40:42" x14ac:dyDescent="0.3">
      <c r="AN13810">
        <v>13806</v>
      </c>
      <c r="AO13810" s="11">
        <v>33476.92</v>
      </c>
      <c r="AP13810" s="9">
        <v>3.6012970135597073</v>
      </c>
    </row>
    <row r="13811" spans="40:42" x14ac:dyDescent="0.3">
      <c r="AN13811">
        <v>13807</v>
      </c>
      <c r="AO13811" s="11">
        <v>43200.3</v>
      </c>
      <c r="AP13811" s="9">
        <v>3.6234972647472601</v>
      </c>
    </row>
    <row r="13812" spans="40:42" x14ac:dyDescent="0.3">
      <c r="AN13812">
        <v>13808</v>
      </c>
      <c r="AO13812" s="11">
        <v>25143.71</v>
      </c>
      <c r="AP13812" s="9">
        <v>3.281151543060143</v>
      </c>
    </row>
    <row r="13813" spans="40:42" x14ac:dyDescent="0.3">
      <c r="AN13813">
        <v>13809</v>
      </c>
      <c r="AO13813" s="11">
        <v>37247.64</v>
      </c>
      <c r="AP13813" s="9">
        <v>3.7341578379701743</v>
      </c>
    </row>
    <row r="13814" spans="40:42" x14ac:dyDescent="0.3">
      <c r="AN13814">
        <v>13810</v>
      </c>
      <c r="AO13814" s="11">
        <v>27041.37</v>
      </c>
      <c r="AP13814" s="9">
        <v>2.9637403447181421</v>
      </c>
    </row>
    <row r="13815" spans="40:42" x14ac:dyDescent="0.3">
      <c r="AN13815">
        <v>13811</v>
      </c>
      <c r="AO13815" s="11">
        <v>34115.120000000003</v>
      </c>
      <c r="AP13815" s="9">
        <v>3.4055373811509226</v>
      </c>
    </row>
    <row r="13816" spans="40:42" x14ac:dyDescent="0.3">
      <c r="AN13816">
        <v>13812</v>
      </c>
      <c r="AO13816" s="11">
        <v>27801</v>
      </c>
      <c r="AP13816" s="9">
        <v>4.0339341684505658</v>
      </c>
    </row>
    <row r="13817" spans="40:42" x14ac:dyDescent="0.3">
      <c r="AN13817">
        <v>13813</v>
      </c>
      <c r="AO13817" s="11">
        <v>16494.78</v>
      </c>
      <c r="AP13817" s="9">
        <v>3.8293235141969997</v>
      </c>
    </row>
    <row r="13818" spans="40:42" x14ac:dyDescent="0.3">
      <c r="AN13818">
        <v>13814</v>
      </c>
      <c r="AO13818" s="11">
        <v>31040.35</v>
      </c>
      <c r="AP13818" s="9">
        <v>3.2094091039843748</v>
      </c>
    </row>
    <row r="13819" spans="40:42" x14ac:dyDescent="0.3">
      <c r="AN13819">
        <v>13815</v>
      </c>
      <c r="AO13819" s="11">
        <v>22701.82</v>
      </c>
      <c r="AP13819" s="9">
        <v>3.2124091487177528</v>
      </c>
    </row>
    <row r="13820" spans="40:42" x14ac:dyDescent="0.3">
      <c r="AN13820">
        <v>13816</v>
      </c>
      <c r="AO13820" s="11">
        <v>19049.28</v>
      </c>
      <c r="AP13820" s="9">
        <v>3.08771888427979</v>
      </c>
    </row>
    <row r="13821" spans="40:42" x14ac:dyDescent="0.3">
      <c r="AN13821">
        <v>13817</v>
      </c>
      <c r="AO13821" s="11">
        <v>32133.55</v>
      </c>
      <c r="AP13821" s="9">
        <v>3.615894331339768</v>
      </c>
    </row>
    <row r="13822" spans="40:42" x14ac:dyDescent="0.3">
      <c r="AN13822">
        <v>13818</v>
      </c>
      <c r="AO13822" s="11">
        <v>37724.339999999997</v>
      </c>
      <c r="AP13822" s="9">
        <v>3.4347846130722299</v>
      </c>
    </row>
    <row r="13823" spans="40:42" x14ac:dyDescent="0.3">
      <c r="AN13823">
        <v>13819</v>
      </c>
      <c r="AO13823" s="11">
        <v>32974.1</v>
      </c>
      <c r="AP13823" s="9">
        <v>3.1298031847801888</v>
      </c>
    </row>
    <row r="13824" spans="40:42" x14ac:dyDescent="0.3">
      <c r="AN13824">
        <v>13820</v>
      </c>
      <c r="AO13824" s="11">
        <v>32758.79</v>
      </c>
      <c r="AP13824" s="9">
        <v>3.7191613502365688</v>
      </c>
    </row>
    <row r="13825" spans="40:42" x14ac:dyDescent="0.3">
      <c r="AN13825">
        <v>13821</v>
      </c>
      <c r="AO13825" s="11">
        <v>21018.39</v>
      </c>
      <c r="AP13825" s="9">
        <v>3.3020649466687115</v>
      </c>
    </row>
    <row r="13826" spans="40:42" x14ac:dyDescent="0.3">
      <c r="AN13826">
        <v>13822</v>
      </c>
      <c r="AO13826" s="11">
        <v>20137.2</v>
      </c>
      <c r="AP13826" s="9">
        <v>3.3971344542452053</v>
      </c>
    </row>
    <row r="13827" spans="40:42" x14ac:dyDescent="0.3">
      <c r="AN13827">
        <v>13823</v>
      </c>
      <c r="AO13827" s="11">
        <v>21882.41</v>
      </c>
      <c r="AP13827" s="9">
        <v>3.1549771601727805</v>
      </c>
    </row>
    <row r="13828" spans="40:42" x14ac:dyDescent="0.3">
      <c r="AN13828">
        <v>13824</v>
      </c>
      <c r="AO13828" s="11">
        <v>32922.410000000003</v>
      </c>
      <c r="AP13828" s="9">
        <v>3.5591739041646386</v>
      </c>
    </row>
    <row r="13829" spans="40:42" x14ac:dyDescent="0.3">
      <c r="AN13829">
        <v>13825</v>
      </c>
      <c r="AO13829" s="11">
        <v>17809.22</v>
      </c>
      <c r="AP13829" s="9">
        <v>3.4458987745902614</v>
      </c>
    </row>
    <row r="13830" spans="40:42" x14ac:dyDescent="0.3">
      <c r="AN13830">
        <v>13826</v>
      </c>
      <c r="AO13830" s="11">
        <v>17810.64</v>
      </c>
      <c r="AP13830" s="9">
        <v>3.1737890144384835</v>
      </c>
    </row>
    <row r="13831" spans="40:42" x14ac:dyDescent="0.3">
      <c r="AN13831">
        <v>13827</v>
      </c>
      <c r="AO13831" s="11">
        <v>40200.26</v>
      </c>
      <c r="AP13831" s="9">
        <v>3.5741746605862401</v>
      </c>
    </row>
    <row r="13832" spans="40:42" x14ac:dyDescent="0.3">
      <c r="AN13832">
        <v>13828</v>
      </c>
      <c r="AO13832" s="11">
        <v>23318.58</v>
      </c>
      <c r="AP13832" s="9">
        <v>2.9330091674115768</v>
      </c>
    </row>
    <row r="13833" spans="40:42" x14ac:dyDescent="0.3">
      <c r="AN13833">
        <v>13829</v>
      </c>
      <c r="AO13833" s="11">
        <v>19978.330000000002</v>
      </c>
      <c r="AP13833" s="9">
        <v>4.2502737704748439</v>
      </c>
    </row>
    <row r="13834" spans="40:42" x14ac:dyDescent="0.3">
      <c r="AN13834">
        <v>13830</v>
      </c>
      <c r="AO13834" s="11">
        <v>34749.760000000002</v>
      </c>
      <c r="AP13834" s="9">
        <v>3.5213840685543971</v>
      </c>
    </row>
    <row r="13835" spans="40:42" x14ac:dyDescent="0.3">
      <c r="AN13835">
        <v>13831</v>
      </c>
      <c r="AO13835" s="11">
        <v>17138.32</v>
      </c>
      <c r="AP13835" s="9">
        <v>3.1787710253742518</v>
      </c>
    </row>
    <row r="13836" spans="40:42" x14ac:dyDescent="0.3">
      <c r="AN13836">
        <v>13832</v>
      </c>
      <c r="AO13836" s="11">
        <v>25440.37</v>
      </c>
      <c r="AP13836" s="9">
        <v>3.4481362712387784</v>
      </c>
    </row>
    <row r="13837" spans="40:42" x14ac:dyDescent="0.3">
      <c r="AN13837">
        <v>13833</v>
      </c>
      <c r="AO13837" s="11">
        <v>13152.4</v>
      </c>
      <c r="AP13837" s="9">
        <v>2.9385208856205121</v>
      </c>
    </row>
    <row r="13838" spans="40:42" x14ac:dyDescent="0.3">
      <c r="AN13838">
        <v>13834</v>
      </c>
      <c r="AO13838" s="11">
        <v>28587.24</v>
      </c>
      <c r="AP13838" s="9">
        <v>3.6777741091054321</v>
      </c>
    </row>
    <row r="13839" spans="40:42" x14ac:dyDescent="0.3">
      <c r="AN13839">
        <v>13835</v>
      </c>
      <c r="AO13839" s="11">
        <v>26962.51</v>
      </c>
      <c r="AP13839" s="9">
        <v>3.6011045285751488</v>
      </c>
    </row>
    <row r="13840" spans="40:42" x14ac:dyDescent="0.3">
      <c r="AN13840">
        <v>13836</v>
      </c>
      <c r="AO13840" s="11">
        <v>21530.66</v>
      </c>
      <c r="AP13840" s="9">
        <v>3.1192002076322729</v>
      </c>
    </row>
    <row r="13841" spans="40:42" x14ac:dyDescent="0.3">
      <c r="AN13841">
        <v>13837</v>
      </c>
      <c r="AO13841" s="11">
        <v>23417.02</v>
      </c>
      <c r="AP13841" s="9">
        <v>3.1576486856334389</v>
      </c>
    </row>
    <row r="13842" spans="40:42" x14ac:dyDescent="0.3">
      <c r="AN13842">
        <v>13838</v>
      </c>
      <c r="AO13842" s="11">
        <v>31491.25</v>
      </c>
      <c r="AP13842" s="9">
        <v>3.3262549725250339</v>
      </c>
    </row>
    <row r="13843" spans="40:42" x14ac:dyDescent="0.3">
      <c r="AN13843">
        <v>13839</v>
      </c>
      <c r="AO13843" s="11">
        <v>27812.84</v>
      </c>
      <c r="AP13843" s="9">
        <v>3.460830131505567</v>
      </c>
    </row>
    <row r="13844" spans="40:42" x14ac:dyDescent="0.3">
      <c r="AN13844">
        <v>13840</v>
      </c>
      <c r="AO13844" s="11">
        <v>17750.53</v>
      </c>
      <c r="AP13844" s="9">
        <v>3.0255336333671292</v>
      </c>
    </row>
    <row r="13845" spans="40:42" x14ac:dyDescent="0.3">
      <c r="AN13845">
        <v>13841</v>
      </c>
      <c r="AO13845" s="11">
        <v>22593.68</v>
      </c>
      <c r="AP13845" s="9">
        <v>3.1184727595227919</v>
      </c>
    </row>
    <row r="13846" spans="40:42" x14ac:dyDescent="0.3">
      <c r="AN13846">
        <v>13842</v>
      </c>
      <c r="AO13846" s="11">
        <v>40644.559999999998</v>
      </c>
      <c r="AP13846" s="9">
        <v>3.8583794102127937</v>
      </c>
    </row>
    <row r="13847" spans="40:42" x14ac:dyDescent="0.3">
      <c r="AN13847">
        <v>13843</v>
      </c>
      <c r="AO13847" s="11">
        <v>16699.810000000001</v>
      </c>
      <c r="AP13847" s="9">
        <v>3.3684481701149096</v>
      </c>
    </row>
    <row r="13848" spans="40:42" x14ac:dyDescent="0.3">
      <c r="AN13848">
        <v>13844</v>
      </c>
      <c r="AO13848" s="11">
        <v>37417.51</v>
      </c>
      <c r="AP13848" s="9">
        <v>3.2249692965880503</v>
      </c>
    </row>
    <row r="13849" spans="40:42" x14ac:dyDescent="0.3">
      <c r="AN13849">
        <v>13845</v>
      </c>
      <c r="AO13849" s="11">
        <v>29805.41</v>
      </c>
      <c r="AP13849" s="9">
        <v>3.478272192971573</v>
      </c>
    </row>
    <row r="13850" spans="40:42" x14ac:dyDescent="0.3">
      <c r="AN13850">
        <v>13846</v>
      </c>
      <c r="AO13850" s="11">
        <v>17188.32</v>
      </c>
      <c r="AP13850" s="9">
        <v>3.3947126527691429</v>
      </c>
    </row>
    <row r="13851" spans="40:42" x14ac:dyDescent="0.3">
      <c r="AN13851">
        <v>13847</v>
      </c>
      <c r="AO13851" s="11">
        <v>27630.26</v>
      </c>
      <c r="AP13851" s="9">
        <v>3.5691989108990105</v>
      </c>
    </row>
    <row r="13852" spans="40:42" x14ac:dyDescent="0.3">
      <c r="AN13852">
        <v>13848</v>
      </c>
      <c r="AO13852" s="11">
        <v>37324.129999999997</v>
      </c>
      <c r="AP13852" s="9">
        <v>3.6983248778547742</v>
      </c>
    </row>
    <row r="13853" spans="40:42" x14ac:dyDescent="0.3">
      <c r="AN13853">
        <v>13849</v>
      </c>
      <c r="AO13853" s="11">
        <v>22695.14</v>
      </c>
      <c r="AP13853" s="9">
        <v>2.8862150692258748</v>
      </c>
    </row>
    <row r="13854" spans="40:42" x14ac:dyDescent="0.3">
      <c r="AN13854">
        <v>13850</v>
      </c>
      <c r="AO13854" s="11">
        <v>24002.19</v>
      </c>
      <c r="AP13854" s="9">
        <v>3.8111746332976724</v>
      </c>
    </row>
    <row r="13855" spans="40:42" x14ac:dyDescent="0.3">
      <c r="AN13855">
        <v>13851</v>
      </c>
      <c r="AO13855" s="11">
        <v>31351.759999999998</v>
      </c>
      <c r="AP13855" s="9">
        <v>3.4830924839708963</v>
      </c>
    </row>
    <row r="13856" spans="40:42" x14ac:dyDescent="0.3">
      <c r="AN13856">
        <v>13852</v>
      </c>
      <c r="AO13856" s="11">
        <v>36889.199999999997</v>
      </c>
      <c r="AP13856" s="9">
        <v>3.5527172861132836</v>
      </c>
    </row>
    <row r="13857" spans="40:42" x14ac:dyDescent="0.3">
      <c r="AN13857">
        <v>13853</v>
      </c>
      <c r="AO13857" s="11">
        <v>34251.5</v>
      </c>
      <c r="AP13857" s="9">
        <v>3.5217195789938915</v>
      </c>
    </row>
    <row r="13858" spans="40:42" x14ac:dyDescent="0.3">
      <c r="AN13858">
        <v>13854</v>
      </c>
      <c r="AO13858" s="11">
        <v>18040.400000000001</v>
      </c>
      <c r="AP13858" s="9">
        <v>3.459081704339241</v>
      </c>
    </row>
    <row r="13859" spans="40:42" x14ac:dyDescent="0.3">
      <c r="AN13859">
        <v>13855</v>
      </c>
      <c r="AO13859" s="11">
        <v>40072.99</v>
      </c>
      <c r="AP13859" s="9">
        <v>3.9782113869630629</v>
      </c>
    </row>
    <row r="13860" spans="40:42" x14ac:dyDescent="0.3">
      <c r="AN13860">
        <v>13856</v>
      </c>
      <c r="AO13860" s="11">
        <v>23024.69</v>
      </c>
      <c r="AP13860" s="9">
        <v>3.042400167587028</v>
      </c>
    </row>
    <row r="13861" spans="40:42" x14ac:dyDescent="0.3">
      <c r="AN13861">
        <v>13857</v>
      </c>
      <c r="AO13861" s="11">
        <v>19382.48</v>
      </c>
      <c r="AP13861" s="9">
        <v>3.1496680948813292</v>
      </c>
    </row>
    <row r="13862" spans="40:42" x14ac:dyDescent="0.3">
      <c r="AN13862">
        <v>13858</v>
      </c>
      <c r="AO13862" s="11">
        <v>20868.189999999999</v>
      </c>
      <c r="AP13862" s="9">
        <v>3.3827157231461893</v>
      </c>
    </row>
    <row r="13863" spans="40:42" x14ac:dyDescent="0.3">
      <c r="AN13863">
        <v>13859</v>
      </c>
      <c r="AO13863" s="11">
        <v>28310.59</v>
      </c>
      <c r="AP13863" s="9">
        <v>3.6336823112419805</v>
      </c>
    </row>
    <row r="13864" spans="40:42" x14ac:dyDescent="0.3">
      <c r="AN13864">
        <v>13860</v>
      </c>
      <c r="AO13864" s="11">
        <v>35484.29</v>
      </c>
      <c r="AP13864" s="9">
        <v>4.1815282215554346</v>
      </c>
    </row>
    <row r="13865" spans="40:42" x14ac:dyDescent="0.3">
      <c r="AN13865">
        <v>13861</v>
      </c>
      <c r="AO13865" s="11">
        <v>18776.439999999999</v>
      </c>
      <c r="AP13865" s="9">
        <v>2.5332906082491742</v>
      </c>
    </row>
    <row r="13866" spans="40:42" x14ac:dyDescent="0.3">
      <c r="AN13866">
        <v>13862</v>
      </c>
      <c r="AO13866" s="11">
        <v>21177.64</v>
      </c>
      <c r="AP13866" s="9">
        <v>3.2861070932509975</v>
      </c>
    </row>
    <row r="13867" spans="40:42" x14ac:dyDescent="0.3">
      <c r="AN13867">
        <v>13863</v>
      </c>
      <c r="AO13867" s="11">
        <v>25830.28</v>
      </c>
      <c r="AP13867" s="9">
        <v>2.9631794534298068</v>
      </c>
    </row>
    <row r="13868" spans="40:42" x14ac:dyDescent="0.3">
      <c r="AN13868">
        <v>13864</v>
      </c>
      <c r="AO13868" s="11">
        <v>25953.01</v>
      </c>
      <c r="AP13868" s="9">
        <v>3.3711364554217687</v>
      </c>
    </row>
    <row r="13869" spans="40:42" x14ac:dyDescent="0.3">
      <c r="AN13869">
        <v>13865</v>
      </c>
      <c r="AO13869" s="11">
        <v>27071.759999999998</v>
      </c>
      <c r="AP13869" s="9">
        <v>3.6914094597981504</v>
      </c>
    </row>
    <row r="13870" spans="40:42" x14ac:dyDescent="0.3">
      <c r="AN13870">
        <v>13866</v>
      </c>
      <c r="AO13870" s="11">
        <v>24273.25</v>
      </c>
      <c r="AP13870" s="9">
        <v>3.7816774617224405</v>
      </c>
    </row>
    <row r="13871" spans="40:42" x14ac:dyDescent="0.3">
      <c r="AN13871">
        <v>13867</v>
      </c>
      <c r="AO13871" s="11">
        <v>33299.39</v>
      </c>
      <c r="AP13871" s="9">
        <v>3.5815062422081501</v>
      </c>
    </row>
    <row r="13872" spans="40:42" x14ac:dyDescent="0.3">
      <c r="AN13872">
        <v>13868</v>
      </c>
      <c r="AO13872" s="11">
        <v>43709.22</v>
      </c>
      <c r="AP13872" s="9">
        <v>3.7778415186204093</v>
      </c>
    </row>
    <row r="13873" spans="40:42" x14ac:dyDescent="0.3">
      <c r="AN13873">
        <v>13869</v>
      </c>
      <c r="AO13873" s="11">
        <v>24182.05</v>
      </c>
      <c r="AP13873" s="9">
        <v>3.3728707555287274</v>
      </c>
    </row>
    <row r="13874" spans="40:42" x14ac:dyDescent="0.3">
      <c r="AN13874">
        <v>13870</v>
      </c>
      <c r="AO13874" s="11">
        <v>19811.939999999999</v>
      </c>
      <c r="AP13874" s="9">
        <v>2.4553371392732108</v>
      </c>
    </row>
    <row r="13875" spans="40:42" x14ac:dyDescent="0.3">
      <c r="AN13875">
        <v>13871</v>
      </c>
      <c r="AO13875" s="11">
        <v>24091.35</v>
      </c>
      <c r="AP13875" s="9">
        <v>2.7925088938704978</v>
      </c>
    </row>
    <row r="13876" spans="40:42" x14ac:dyDescent="0.3">
      <c r="AN13876">
        <v>13872</v>
      </c>
      <c r="AO13876" s="11">
        <v>29804.93</v>
      </c>
      <c r="AP13876" s="9">
        <v>3.2673618573025722</v>
      </c>
    </row>
    <row r="13877" spans="40:42" x14ac:dyDescent="0.3">
      <c r="AN13877">
        <v>13873</v>
      </c>
      <c r="AO13877" s="11">
        <v>40314.639999999999</v>
      </c>
      <c r="AP13877" s="9">
        <v>3.1684822615421506</v>
      </c>
    </row>
    <row r="13878" spans="40:42" x14ac:dyDescent="0.3">
      <c r="AN13878">
        <v>13874</v>
      </c>
      <c r="AO13878" s="11">
        <v>14965.23</v>
      </c>
      <c r="AP13878" s="9">
        <v>2.405224765486528</v>
      </c>
    </row>
    <row r="13879" spans="40:42" x14ac:dyDescent="0.3">
      <c r="AN13879">
        <v>13875</v>
      </c>
      <c r="AO13879" s="11">
        <v>32585.15</v>
      </c>
      <c r="AP13879" s="9">
        <v>3.7218857558174081</v>
      </c>
    </row>
    <row r="13880" spans="40:42" x14ac:dyDescent="0.3">
      <c r="AN13880">
        <v>13876</v>
      </c>
      <c r="AO13880" s="11">
        <v>27008.06</v>
      </c>
      <c r="AP13880" s="9">
        <v>3.4008696439957165</v>
      </c>
    </row>
    <row r="13881" spans="40:42" x14ac:dyDescent="0.3">
      <c r="AN13881">
        <v>13877</v>
      </c>
      <c r="AO13881" s="11">
        <v>25231.61</v>
      </c>
      <c r="AP13881" s="9">
        <v>2.9010976840168379</v>
      </c>
    </row>
    <row r="13882" spans="40:42" x14ac:dyDescent="0.3">
      <c r="AN13882">
        <v>13878</v>
      </c>
      <c r="AO13882" s="11">
        <v>27757.57</v>
      </c>
      <c r="AP13882" s="9">
        <v>3.8655562750205679</v>
      </c>
    </row>
    <row r="13883" spans="40:42" x14ac:dyDescent="0.3">
      <c r="AN13883">
        <v>13879</v>
      </c>
      <c r="AO13883" s="11">
        <v>32000.58</v>
      </c>
      <c r="AP13883" s="9">
        <v>3.9098439823174869</v>
      </c>
    </row>
    <row r="13884" spans="40:42" x14ac:dyDescent="0.3">
      <c r="AN13884">
        <v>13880</v>
      </c>
      <c r="AO13884" s="11">
        <v>30671.45</v>
      </c>
      <c r="AP13884" s="9">
        <v>3.5793886741697203</v>
      </c>
    </row>
    <row r="13885" spans="40:42" x14ac:dyDescent="0.3">
      <c r="AN13885">
        <v>13881</v>
      </c>
      <c r="AO13885" s="11">
        <v>29163.74</v>
      </c>
      <c r="AP13885" s="9">
        <v>3.2377516145253611</v>
      </c>
    </row>
    <row r="13886" spans="40:42" x14ac:dyDescent="0.3">
      <c r="AN13886">
        <v>13882</v>
      </c>
      <c r="AO13886" s="11">
        <v>18725.61</v>
      </c>
      <c r="AP13886" s="9">
        <v>3.2479887103940848</v>
      </c>
    </row>
    <row r="13887" spans="40:42" x14ac:dyDescent="0.3">
      <c r="AN13887">
        <v>13883</v>
      </c>
      <c r="AO13887" s="11">
        <v>22318.86</v>
      </c>
      <c r="AP13887" s="9">
        <v>3.3650231090921792</v>
      </c>
    </row>
    <row r="13888" spans="40:42" x14ac:dyDescent="0.3">
      <c r="AN13888">
        <v>13884</v>
      </c>
      <c r="AO13888" s="11">
        <v>31665.93</v>
      </c>
      <c r="AP13888" s="9">
        <v>3.7998235502814532</v>
      </c>
    </row>
    <row r="13889" spans="40:42" x14ac:dyDescent="0.3">
      <c r="AN13889">
        <v>13885</v>
      </c>
      <c r="AO13889" s="11">
        <v>24038.5</v>
      </c>
      <c r="AP13889" s="9">
        <v>2.9197451689673302</v>
      </c>
    </row>
    <row r="13890" spans="40:42" x14ac:dyDescent="0.3">
      <c r="AN13890">
        <v>13886</v>
      </c>
      <c r="AO13890" s="11">
        <v>37055.35</v>
      </c>
      <c r="AP13890" s="9">
        <v>4.1647686919239657</v>
      </c>
    </row>
    <row r="13891" spans="40:42" x14ac:dyDescent="0.3">
      <c r="AN13891">
        <v>13887</v>
      </c>
      <c r="AO13891" s="11">
        <v>23957.65</v>
      </c>
      <c r="AP13891" s="9">
        <v>3.0498767552514119</v>
      </c>
    </row>
    <row r="13892" spans="40:42" x14ac:dyDescent="0.3">
      <c r="AN13892">
        <v>13888</v>
      </c>
      <c r="AO13892" s="11">
        <v>27901.439999999999</v>
      </c>
      <c r="AP13892" s="9">
        <v>3.0931541778524632</v>
      </c>
    </row>
    <row r="13893" spans="40:42" x14ac:dyDescent="0.3">
      <c r="AN13893">
        <v>13889</v>
      </c>
      <c r="AO13893" s="11">
        <v>18021.77</v>
      </c>
      <c r="AP13893" s="9">
        <v>3.0648527314747418</v>
      </c>
    </row>
    <row r="13894" spans="40:42" x14ac:dyDescent="0.3">
      <c r="AN13894">
        <v>13890</v>
      </c>
      <c r="AO13894" s="11">
        <v>22680.35</v>
      </c>
      <c r="AP13894" s="9">
        <v>3.4760406860898785</v>
      </c>
    </row>
    <row r="13895" spans="40:42" x14ac:dyDescent="0.3">
      <c r="AN13895">
        <v>13891</v>
      </c>
      <c r="AO13895" s="11">
        <v>19469.79</v>
      </c>
      <c r="AP13895" s="9">
        <v>3.0770942407430035</v>
      </c>
    </row>
    <row r="13896" spans="40:42" x14ac:dyDescent="0.3">
      <c r="AN13896">
        <v>13892</v>
      </c>
      <c r="AO13896" s="11">
        <v>19835.5</v>
      </c>
      <c r="AP13896" s="9">
        <v>3.20690162654491</v>
      </c>
    </row>
    <row r="13897" spans="40:42" x14ac:dyDescent="0.3">
      <c r="AN13897">
        <v>13893</v>
      </c>
      <c r="AO13897" s="11">
        <v>32479.21</v>
      </c>
      <c r="AP13897" s="9">
        <v>4.0285158643458683</v>
      </c>
    </row>
    <row r="13898" spans="40:42" x14ac:dyDescent="0.3">
      <c r="AN13898">
        <v>13894</v>
      </c>
      <c r="AO13898" s="11">
        <v>41571.69</v>
      </c>
      <c r="AP13898" s="9">
        <v>3.9969845752717603</v>
      </c>
    </row>
    <row r="13899" spans="40:42" x14ac:dyDescent="0.3">
      <c r="AN13899">
        <v>13895</v>
      </c>
      <c r="AO13899" s="11">
        <v>21537.8</v>
      </c>
      <c r="AP13899" s="9">
        <v>3.3129461159664237</v>
      </c>
    </row>
    <row r="13900" spans="40:42" x14ac:dyDescent="0.3">
      <c r="AN13900">
        <v>13896</v>
      </c>
      <c r="AO13900" s="11">
        <v>24174.52</v>
      </c>
      <c r="AP13900" s="9">
        <v>2.8535965800889431</v>
      </c>
    </row>
    <row r="13901" spans="40:42" x14ac:dyDescent="0.3">
      <c r="AN13901">
        <v>13897</v>
      </c>
      <c r="AO13901" s="11">
        <v>31854.94</v>
      </c>
      <c r="AP13901" s="9">
        <v>3.7548791885028252</v>
      </c>
    </row>
    <row r="13902" spans="40:42" x14ac:dyDescent="0.3">
      <c r="AN13902">
        <v>13898</v>
      </c>
      <c r="AO13902" s="11">
        <v>30384.1</v>
      </c>
      <c r="AP13902" s="9">
        <v>2.9429713706280318</v>
      </c>
    </row>
    <row r="13903" spans="40:42" x14ac:dyDescent="0.3">
      <c r="AN13903">
        <v>13899</v>
      </c>
      <c r="AO13903" s="11">
        <v>46218.9</v>
      </c>
      <c r="AP13903" s="9">
        <v>3.8175229968205104</v>
      </c>
    </row>
    <row r="13904" spans="40:42" x14ac:dyDescent="0.3">
      <c r="AN13904">
        <v>13900</v>
      </c>
      <c r="AO13904" s="11">
        <v>45565.8</v>
      </c>
      <c r="AP13904" s="9">
        <v>4.3499926868321177</v>
      </c>
    </row>
    <row r="13905" spans="40:42" x14ac:dyDescent="0.3">
      <c r="AN13905">
        <v>13901</v>
      </c>
      <c r="AO13905" s="11">
        <v>29809.99</v>
      </c>
      <c r="AP13905" s="9">
        <v>3.0491941160654954</v>
      </c>
    </row>
    <row r="13906" spans="40:42" x14ac:dyDescent="0.3">
      <c r="AN13906">
        <v>13902</v>
      </c>
      <c r="AO13906" s="11">
        <v>25242.06</v>
      </c>
      <c r="AP13906" s="9">
        <v>3.5189401310080823</v>
      </c>
    </row>
    <row r="13907" spans="40:42" x14ac:dyDescent="0.3">
      <c r="AN13907">
        <v>13903</v>
      </c>
      <c r="AO13907" s="11">
        <v>38531.43</v>
      </c>
      <c r="AP13907" s="9">
        <v>3.765127620014626</v>
      </c>
    </row>
    <row r="13908" spans="40:42" x14ac:dyDescent="0.3">
      <c r="AN13908">
        <v>13904</v>
      </c>
      <c r="AO13908" s="11">
        <v>16524.64</v>
      </c>
      <c r="AP13908" s="9">
        <v>3.1982442909800288</v>
      </c>
    </row>
    <row r="13909" spans="40:42" x14ac:dyDescent="0.3">
      <c r="AN13909">
        <v>13905</v>
      </c>
      <c r="AO13909" s="11">
        <v>18070.16</v>
      </c>
      <c r="AP13909" s="9">
        <v>2.8619863426030285</v>
      </c>
    </row>
    <row r="13910" spans="40:42" x14ac:dyDescent="0.3">
      <c r="AN13910">
        <v>13906</v>
      </c>
      <c r="AO13910" s="11">
        <v>30455.4</v>
      </c>
      <c r="AP13910" s="9">
        <v>4.0131394734664365</v>
      </c>
    </row>
    <row r="13911" spans="40:42" x14ac:dyDescent="0.3">
      <c r="AN13911">
        <v>13907</v>
      </c>
      <c r="AO13911" s="11">
        <v>21737.279999999999</v>
      </c>
      <c r="AP13911" s="9">
        <v>3.9369311775769718</v>
      </c>
    </row>
    <row r="13912" spans="40:42" x14ac:dyDescent="0.3">
      <c r="AN13912">
        <v>13908</v>
      </c>
      <c r="AO13912" s="11">
        <v>25670.560000000001</v>
      </c>
      <c r="AP13912" s="9">
        <v>3.581303321278873</v>
      </c>
    </row>
    <row r="13913" spans="40:42" x14ac:dyDescent="0.3">
      <c r="AN13913">
        <v>13909</v>
      </c>
      <c r="AO13913" s="11">
        <v>26745.86</v>
      </c>
      <c r="AP13913" s="9">
        <v>3.6161229571885789</v>
      </c>
    </row>
    <row r="13914" spans="40:42" x14ac:dyDescent="0.3">
      <c r="AN13914">
        <v>13910</v>
      </c>
      <c r="AO13914" s="11">
        <v>23696.51</v>
      </c>
      <c r="AP13914" s="9">
        <v>3.28024412592154</v>
      </c>
    </row>
    <row r="13915" spans="40:42" x14ac:dyDescent="0.3">
      <c r="AN13915">
        <v>13911</v>
      </c>
      <c r="AO13915" s="11">
        <v>37851.54</v>
      </c>
      <c r="AP13915" s="9">
        <v>3.5520205680395152</v>
      </c>
    </row>
    <row r="13916" spans="40:42" x14ac:dyDescent="0.3">
      <c r="AN13916">
        <v>13912</v>
      </c>
      <c r="AO13916" s="11">
        <v>17961.04</v>
      </c>
      <c r="AP13916" s="9">
        <v>2.8225629543689474</v>
      </c>
    </row>
    <row r="13917" spans="40:42" x14ac:dyDescent="0.3">
      <c r="AN13917">
        <v>13913</v>
      </c>
      <c r="AO13917" s="11">
        <v>28423.23</v>
      </c>
      <c r="AP13917" s="9">
        <v>3.1345819302060112</v>
      </c>
    </row>
    <row r="13918" spans="40:42" x14ac:dyDescent="0.3">
      <c r="AN13918">
        <v>13914</v>
      </c>
      <c r="AO13918" s="11">
        <v>33367.58</v>
      </c>
      <c r="AP13918" s="9">
        <v>3.4647423556510666</v>
      </c>
    </row>
    <row r="13919" spans="40:42" x14ac:dyDescent="0.3">
      <c r="AN13919">
        <v>13915</v>
      </c>
      <c r="AO13919" s="11">
        <v>20796.189999999999</v>
      </c>
      <c r="AP13919" s="9">
        <v>3.048615288373016</v>
      </c>
    </row>
    <row r="13920" spans="40:42" x14ac:dyDescent="0.3">
      <c r="AN13920">
        <v>13916</v>
      </c>
      <c r="AO13920" s="11">
        <v>29223.93</v>
      </c>
      <c r="AP13920" s="9">
        <v>3.4011767457780615</v>
      </c>
    </row>
    <row r="13921" spans="40:42" x14ac:dyDescent="0.3">
      <c r="AN13921">
        <v>13917</v>
      </c>
      <c r="AO13921" s="11">
        <v>23315.07</v>
      </c>
      <c r="AP13921" s="9">
        <v>3.8917470901773861</v>
      </c>
    </row>
    <row r="13922" spans="40:42" x14ac:dyDescent="0.3">
      <c r="AN13922">
        <v>13918</v>
      </c>
      <c r="AO13922" s="11">
        <v>20519.71</v>
      </c>
      <c r="AP13922" s="9">
        <v>3.0046240308598184</v>
      </c>
    </row>
    <row r="13923" spans="40:42" x14ac:dyDescent="0.3">
      <c r="AN13923">
        <v>13919</v>
      </c>
      <c r="AO13923" s="11">
        <v>33618.160000000003</v>
      </c>
      <c r="AP13923" s="9">
        <v>4.3824100957501786</v>
      </c>
    </row>
    <row r="13924" spans="40:42" x14ac:dyDescent="0.3">
      <c r="AN13924">
        <v>13920</v>
      </c>
      <c r="AO13924" s="11">
        <v>25670.35</v>
      </c>
      <c r="AP13924" s="9">
        <v>3.0375871654081879</v>
      </c>
    </row>
    <row r="13925" spans="40:42" x14ac:dyDescent="0.3">
      <c r="AN13925">
        <v>13921</v>
      </c>
      <c r="AO13925" s="11">
        <v>23379.759999999998</v>
      </c>
      <c r="AP13925" s="9">
        <v>3.362030166313748</v>
      </c>
    </row>
    <row r="13926" spans="40:42" x14ac:dyDescent="0.3">
      <c r="AN13926">
        <v>13922</v>
      </c>
      <c r="AO13926" s="11">
        <v>21236.78</v>
      </c>
      <c r="AP13926" s="9">
        <v>3.2378142417989082</v>
      </c>
    </row>
    <row r="13927" spans="40:42" x14ac:dyDescent="0.3">
      <c r="AN13927">
        <v>13923</v>
      </c>
      <c r="AO13927" s="11">
        <v>24875.68</v>
      </c>
      <c r="AP13927" s="9">
        <v>3.1499921637766817</v>
      </c>
    </row>
    <row r="13928" spans="40:42" x14ac:dyDescent="0.3">
      <c r="AN13928">
        <v>13924</v>
      </c>
      <c r="AO13928" s="11">
        <v>23130.95</v>
      </c>
      <c r="AP13928" s="9">
        <v>3.1305484188642323</v>
      </c>
    </row>
    <row r="13929" spans="40:42" x14ac:dyDescent="0.3">
      <c r="AN13929">
        <v>13925</v>
      </c>
      <c r="AO13929" s="11">
        <v>27983.040000000001</v>
      </c>
      <c r="AP13929" s="9">
        <v>3.2409650696098797</v>
      </c>
    </row>
    <row r="13930" spans="40:42" x14ac:dyDescent="0.3">
      <c r="AN13930">
        <v>13926</v>
      </c>
      <c r="AO13930" s="11">
        <v>27023.18</v>
      </c>
      <c r="AP13930" s="9">
        <v>3.3204071737017444</v>
      </c>
    </row>
    <row r="13931" spans="40:42" x14ac:dyDescent="0.3">
      <c r="AN13931">
        <v>13927</v>
      </c>
      <c r="AO13931" s="11">
        <v>41749.9</v>
      </c>
      <c r="AP13931" s="9">
        <v>3.5649212457426414</v>
      </c>
    </row>
    <row r="13932" spans="40:42" x14ac:dyDescent="0.3">
      <c r="AN13932">
        <v>13928</v>
      </c>
      <c r="AO13932" s="11">
        <v>31641.54</v>
      </c>
      <c r="AP13932" s="9">
        <v>3.8329478854706944</v>
      </c>
    </row>
    <row r="13933" spans="40:42" x14ac:dyDescent="0.3">
      <c r="AN13933">
        <v>13929</v>
      </c>
      <c r="AO13933" s="11">
        <v>27051.98</v>
      </c>
      <c r="AP13933" s="9">
        <v>3.2913876334024996</v>
      </c>
    </row>
    <row r="13934" spans="40:42" x14ac:dyDescent="0.3">
      <c r="AN13934">
        <v>13930</v>
      </c>
      <c r="AO13934" s="11">
        <v>24190.32</v>
      </c>
      <c r="AP13934" s="9">
        <v>2.8562591457181656</v>
      </c>
    </row>
    <row r="13935" spans="40:42" x14ac:dyDescent="0.3">
      <c r="AN13935">
        <v>13931</v>
      </c>
      <c r="AO13935" s="11">
        <v>18663.8</v>
      </c>
      <c r="AP13935" s="9">
        <v>3.0828243900743053</v>
      </c>
    </row>
    <row r="13936" spans="40:42" x14ac:dyDescent="0.3">
      <c r="AN13936">
        <v>13932</v>
      </c>
      <c r="AO13936" s="11">
        <v>29235.08</v>
      </c>
      <c r="AP13936" s="9">
        <v>3.5450901007495399</v>
      </c>
    </row>
    <row r="13937" spans="40:42" x14ac:dyDescent="0.3">
      <c r="AN13937">
        <v>13933</v>
      </c>
      <c r="AO13937" s="11">
        <v>37060.03</v>
      </c>
      <c r="AP13937" s="9">
        <v>3.3052058675010789</v>
      </c>
    </row>
    <row r="13938" spans="40:42" x14ac:dyDescent="0.3">
      <c r="AN13938">
        <v>13934</v>
      </c>
      <c r="AO13938" s="11">
        <v>21312.22</v>
      </c>
      <c r="AP13938" s="9">
        <v>3.3539273707674004</v>
      </c>
    </row>
    <row r="13939" spans="40:42" x14ac:dyDescent="0.3">
      <c r="AN13939">
        <v>13935</v>
      </c>
      <c r="AO13939" s="11">
        <v>39019.68</v>
      </c>
      <c r="AP13939" s="9">
        <v>3.4711954241265484</v>
      </c>
    </row>
    <row r="13940" spans="40:42" x14ac:dyDescent="0.3">
      <c r="AN13940">
        <v>13936</v>
      </c>
      <c r="AO13940" s="11">
        <v>21596.84</v>
      </c>
      <c r="AP13940" s="9">
        <v>2.987802617313088</v>
      </c>
    </row>
    <row r="13941" spans="40:42" x14ac:dyDescent="0.3">
      <c r="AN13941">
        <v>13937</v>
      </c>
      <c r="AO13941" s="11">
        <v>21064.79</v>
      </c>
      <c r="AP13941" s="9">
        <v>2.9922756623574163</v>
      </c>
    </row>
    <row r="13942" spans="40:42" x14ac:dyDescent="0.3">
      <c r="AN13942">
        <v>13938</v>
      </c>
      <c r="AO13942" s="11">
        <v>39144.129999999997</v>
      </c>
      <c r="AP13942" s="9">
        <v>3.2153683959250947</v>
      </c>
    </row>
    <row r="13943" spans="40:42" x14ac:dyDescent="0.3">
      <c r="AN13943">
        <v>13939</v>
      </c>
      <c r="AO13943" s="11">
        <v>28547.32</v>
      </c>
      <c r="AP13943" s="9">
        <v>2.9346268310847807</v>
      </c>
    </row>
    <row r="13944" spans="40:42" x14ac:dyDescent="0.3">
      <c r="AN13944">
        <v>13940</v>
      </c>
      <c r="AO13944" s="11">
        <v>21432.639999999999</v>
      </c>
      <c r="AP13944" s="9">
        <v>3.1469259158982865</v>
      </c>
    </row>
    <row r="13945" spans="40:42" x14ac:dyDescent="0.3">
      <c r="AN13945">
        <v>13941</v>
      </c>
      <c r="AO13945" s="11">
        <v>16817.88</v>
      </c>
      <c r="AP13945" s="9">
        <v>3.0419803155555658</v>
      </c>
    </row>
    <row r="13946" spans="40:42" x14ac:dyDescent="0.3">
      <c r="AN13946">
        <v>13942</v>
      </c>
      <c r="AO13946" s="11">
        <v>24431.53</v>
      </c>
      <c r="AP13946" s="9">
        <v>3.3771947095551171</v>
      </c>
    </row>
    <row r="13947" spans="40:42" x14ac:dyDescent="0.3">
      <c r="AN13947">
        <v>13943</v>
      </c>
      <c r="AO13947" s="11">
        <v>14347.49</v>
      </c>
      <c r="AP13947" s="9">
        <v>2.9809310227049277</v>
      </c>
    </row>
    <row r="13948" spans="40:42" x14ac:dyDescent="0.3">
      <c r="AN13948">
        <v>13944</v>
      </c>
      <c r="AO13948" s="11">
        <v>27652.59</v>
      </c>
      <c r="AP13948" s="9">
        <v>2.9810065543500515</v>
      </c>
    </row>
    <row r="13949" spans="40:42" x14ac:dyDescent="0.3">
      <c r="AN13949">
        <v>13945</v>
      </c>
      <c r="AO13949" s="11">
        <v>17953.919999999998</v>
      </c>
      <c r="AP13949" s="9">
        <v>3.1710433521864201</v>
      </c>
    </row>
    <row r="13950" spans="40:42" x14ac:dyDescent="0.3">
      <c r="AN13950">
        <v>13946</v>
      </c>
      <c r="AO13950" s="11">
        <v>29712.84</v>
      </c>
      <c r="AP13950" s="9">
        <v>4.2503513423981989</v>
      </c>
    </row>
    <row r="13951" spans="40:42" x14ac:dyDescent="0.3">
      <c r="AN13951">
        <v>13947</v>
      </c>
      <c r="AO13951" s="11">
        <v>15843</v>
      </c>
      <c r="AP13951" s="9">
        <v>3.2586735998864929</v>
      </c>
    </row>
    <row r="13952" spans="40:42" x14ac:dyDescent="0.3">
      <c r="AN13952">
        <v>13948</v>
      </c>
      <c r="AO13952" s="11">
        <v>34451.089999999997</v>
      </c>
      <c r="AP13952" s="9">
        <v>3.7082248939747706</v>
      </c>
    </row>
    <row r="13953" spans="40:42" x14ac:dyDescent="0.3">
      <c r="AN13953">
        <v>13949</v>
      </c>
      <c r="AO13953" s="11">
        <v>31755.98</v>
      </c>
      <c r="AP13953" s="9">
        <v>3.1132800367971596</v>
      </c>
    </row>
    <row r="13954" spans="40:42" x14ac:dyDescent="0.3">
      <c r="AN13954">
        <v>13950</v>
      </c>
      <c r="AO13954" s="11">
        <v>24832.52</v>
      </c>
      <c r="AP13954" s="9">
        <v>3.2929514119366292</v>
      </c>
    </row>
    <row r="13955" spans="40:42" x14ac:dyDescent="0.3">
      <c r="AN13955">
        <v>13951</v>
      </c>
      <c r="AO13955" s="11">
        <v>28905.06</v>
      </c>
      <c r="AP13955" s="9">
        <v>3.129799838527104</v>
      </c>
    </row>
    <row r="13956" spans="40:42" x14ac:dyDescent="0.3">
      <c r="AN13956">
        <v>13952</v>
      </c>
      <c r="AO13956" s="11">
        <v>20240.939999999999</v>
      </c>
      <c r="AP13956" s="9">
        <v>4.1042822056619856</v>
      </c>
    </row>
    <row r="13957" spans="40:42" x14ac:dyDescent="0.3">
      <c r="AN13957">
        <v>13953</v>
      </c>
      <c r="AO13957" s="11">
        <v>21668.29</v>
      </c>
      <c r="AP13957" s="9">
        <v>3.0490714791855416</v>
      </c>
    </row>
    <row r="13958" spans="40:42" x14ac:dyDescent="0.3">
      <c r="AN13958">
        <v>13954</v>
      </c>
      <c r="AO13958" s="11">
        <v>32597.65</v>
      </c>
      <c r="AP13958" s="9">
        <v>3.284441402840121</v>
      </c>
    </row>
    <row r="13959" spans="40:42" x14ac:dyDescent="0.3">
      <c r="AN13959">
        <v>13955</v>
      </c>
      <c r="AO13959" s="11">
        <v>25527.14</v>
      </c>
      <c r="AP13959" s="9">
        <v>3.2772669757384931</v>
      </c>
    </row>
    <row r="13960" spans="40:42" x14ac:dyDescent="0.3">
      <c r="AN13960">
        <v>13956</v>
      </c>
      <c r="AO13960" s="11">
        <v>24250.65</v>
      </c>
      <c r="AP13960" s="9">
        <v>3.1561273042391957</v>
      </c>
    </row>
    <row r="13961" spans="40:42" x14ac:dyDescent="0.3">
      <c r="AN13961">
        <v>13957</v>
      </c>
      <c r="AO13961" s="11">
        <v>24682.33</v>
      </c>
      <c r="AP13961" s="9">
        <v>3.2921514246369052</v>
      </c>
    </row>
    <row r="13962" spans="40:42" x14ac:dyDescent="0.3">
      <c r="AN13962">
        <v>13958</v>
      </c>
      <c r="AO13962" s="11">
        <v>24972.97</v>
      </c>
      <c r="AP13962" s="9">
        <v>3.2179849551298645</v>
      </c>
    </row>
    <row r="13963" spans="40:42" x14ac:dyDescent="0.3">
      <c r="AN13963">
        <v>13959</v>
      </c>
      <c r="AO13963" s="11">
        <v>21864.28</v>
      </c>
      <c r="AP13963" s="9">
        <v>3.6131221263413389</v>
      </c>
    </row>
    <row r="13964" spans="40:42" x14ac:dyDescent="0.3">
      <c r="AN13964">
        <v>13960</v>
      </c>
      <c r="AO13964" s="11">
        <v>15319.71</v>
      </c>
      <c r="AP13964" s="9">
        <v>2.6263289875181468</v>
      </c>
    </row>
    <row r="13965" spans="40:42" x14ac:dyDescent="0.3">
      <c r="AN13965">
        <v>13961</v>
      </c>
      <c r="AO13965" s="11">
        <v>33244.9</v>
      </c>
      <c r="AP13965" s="9">
        <v>3.2816223866026935</v>
      </c>
    </row>
    <row r="13966" spans="40:42" x14ac:dyDescent="0.3">
      <c r="AN13966">
        <v>13962</v>
      </c>
      <c r="AO13966" s="11">
        <v>29868.04</v>
      </c>
      <c r="AP13966" s="9">
        <v>3.7585189254719857</v>
      </c>
    </row>
    <row r="13967" spans="40:42" x14ac:dyDescent="0.3">
      <c r="AN13967">
        <v>13963</v>
      </c>
      <c r="AO13967" s="11">
        <v>20791.37</v>
      </c>
      <c r="AP13967" s="9">
        <v>2.8328814994550209</v>
      </c>
    </row>
    <row r="13968" spans="40:42" x14ac:dyDescent="0.3">
      <c r="AN13968">
        <v>13964</v>
      </c>
      <c r="AO13968" s="11">
        <v>17916.509999999998</v>
      </c>
      <c r="AP13968" s="9">
        <v>3.3230039801810234</v>
      </c>
    </row>
    <row r="13969" spans="40:42" x14ac:dyDescent="0.3">
      <c r="AN13969">
        <v>13965</v>
      </c>
      <c r="AO13969" s="11">
        <v>26273.82</v>
      </c>
      <c r="AP13969" s="9">
        <v>3.4503385272931895</v>
      </c>
    </row>
    <row r="13970" spans="40:42" x14ac:dyDescent="0.3">
      <c r="AN13970">
        <v>13966</v>
      </c>
      <c r="AO13970" s="11">
        <v>37079.699999999997</v>
      </c>
      <c r="AP13970" s="9">
        <v>3.7029349150988171</v>
      </c>
    </row>
    <row r="13971" spans="40:42" x14ac:dyDescent="0.3">
      <c r="AN13971">
        <v>13967</v>
      </c>
      <c r="AO13971" s="11">
        <v>31350.92</v>
      </c>
      <c r="AP13971" s="9">
        <v>3.8464778986553121</v>
      </c>
    </row>
    <row r="13972" spans="40:42" x14ac:dyDescent="0.3">
      <c r="AN13972">
        <v>13968</v>
      </c>
      <c r="AO13972" s="11">
        <v>26224.32</v>
      </c>
      <c r="AP13972" s="9">
        <v>4.1402529866257458</v>
      </c>
    </row>
    <row r="13973" spans="40:42" x14ac:dyDescent="0.3">
      <c r="AN13973">
        <v>13969</v>
      </c>
      <c r="AO13973" s="11">
        <v>38537.11</v>
      </c>
      <c r="AP13973" s="9">
        <v>3.568367289463346</v>
      </c>
    </row>
    <row r="13974" spans="40:42" x14ac:dyDescent="0.3">
      <c r="AN13974">
        <v>13970</v>
      </c>
      <c r="AO13974" s="11">
        <v>20787.53</v>
      </c>
      <c r="AP13974" s="9">
        <v>3.2563227724201567</v>
      </c>
    </row>
    <row r="13975" spans="40:42" x14ac:dyDescent="0.3">
      <c r="AN13975">
        <v>13971</v>
      </c>
      <c r="AO13975" s="11">
        <v>35746.949999999997</v>
      </c>
      <c r="AP13975" s="9">
        <v>3.9778259422153353</v>
      </c>
    </row>
    <row r="13976" spans="40:42" x14ac:dyDescent="0.3">
      <c r="AN13976">
        <v>13972</v>
      </c>
      <c r="AO13976" s="11">
        <v>43632.33</v>
      </c>
      <c r="AP13976" s="9">
        <v>4.3647628470244033</v>
      </c>
    </row>
    <row r="13977" spans="40:42" x14ac:dyDescent="0.3">
      <c r="AN13977">
        <v>13973</v>
      </c>
      <c r="AO13977" s="11">
        <v>33475.4</v>
      </c>
      <c r="AP13977" s="9">
        <v>3.9314475721512463</v>
      </c>
    </row>
    <row r="13978" spans="40:42" x14ac:dyDescent="0.3">
      <c r="AN13978">
        <v>13974</v>
      </c>
      <c r="AO13978" s="11">
        <v>19497.599999999999</v>
      </c>
      <c r="AP13978" s="9">
        <v>2.7784853571159718</v>
      </c>
    </row>
    <row r="13979" spans="40:42" x14ac:dyDescent="0.3">
      <c r="AN13979">
        <v>13975</v>
      </c>
      <c r="AO13979" s="11">
        <v>21024.87</v>
      </c>
      <c r="AP13979" s="9">
        <v>3.1812125692189919</v>
      </c>
    </row>
    <row r="13980" spans="40:42" x14ac:dyDescent="0.3">
      <c r="AN13980">
        <v>13976</v>
      </c>
      <c r="AO13980" s="11">
        <v>19966.14</v>
      </c>
      <c r="AP13980" s="9">
        <v>3.7437742979047419</v>
      </c>
    </row>
    <row r="13981" spans="40:42" x14ac:dyDescent="0.3">
      <c r="AN13981">
        <v>13977</v>
      </c>
      <c r="AO13981" s="11">
        <v>20907.189999999999</v>
      </c>
      <c r="AP13981" s="9">
        <v>3.2441139976254729</v>
      </c>
    </row>
    <row r="13982" spans="40:42" x14ac:dyDescent="0.3">
      <c r="AN13982">
        <v>13978</v>
      </c>
      <c r="AO13982" s="11">
        <v>14428.76</v>
      </c>
      <c r="AP13982" s="9">
        <v>3.5939405080107973</v>
      </c>
    </row>
    <row r="13983" spans="40:42" x14ac:dyDescent="0.3">
      <c r="AN13983">
        <v>13979</v>
      </c>
      <c r="AO13983" s="11">
        <v>24316.35</v>
      </c>
      <c r="AP13983" s="9">
        <v>3.2322157459487957</v>
      </c>
    </row>
    <row r="13984" spans="40:42" x14ac:dyDescent="0.3">
      <c r="AN13984">
        <v>13980</v>
      </c>
      <c r="AO13984" s="11">
        <v>19593.22</v>
      </c>
      <c r="AP13984" s="9">
        <v>3.4729816620889911</v>
      </c>
    </row>
    <row r="13985" spans="40:42" x14ac:dyDescent="0.3">
      <c r="AN13985">
        <v>13981</v>
      </c>
      <c r="AO13985" s="11">
        <v>21259.43</v>
      </c>
      <c r="AP13985" s="9">
        <v>3.2342309061173697</v>
      </c>
    </row>
    <row r="13986" spans="40:42" x14ac:dyDescent="0.3">
      <c r="AN13986">
        <v>13982</v>
      </c>
      <c r="AO13986" s="11">
        <v>32678.74</v>
      </c>
      <c r="AP13986" s="9">
        <v>3.5489061035165563</v>
      </c>
    </row>
    <row r="13987" spans="40:42" x14ac:dyDescent="0.3">
      <c r="AN13987">
        <v>13983</v>
      </c>
      <c r="AO13987" s="11">
        <v>50966.81</v>
      </c>
      <c r="AP13987" s="9">
        <v>3.7517834780639552</v>
      </c>
    </row>
    <row r="13988" spans="40:42" x14ac:dyDescent="0.3">
      <c r="AN13988">
        <v>13984</v>
      </c>
      <c r="AO13988" s="11">
        <v>24569.78</v>
      </c>
      <c r="AP13988" s="9">
        <v>3.2333200714840307</v>
      </c>
    </row>
    <row r="13989" spans="40:42" x14ac:dyDescent="0.3">
      <c r="AN13989">
        <v>13985</v>
      </c>
      <c r="AO13989" s="11">
        <v>28456.18</v>
      </c>
      <c r="AP13989" s="9">
        <v>3.7097748731691031</v>
      </c>
    </row>
    <row r="13990" spans="40:42" x14ac:dyDescent="0.3">
      <c r="AN13990">
        <v>13986</v>
      </c>
      <c r="AO13990" s="11">
        <v>22971.72</v>
      </c>
      <c r="AP13990" s="9">
        <v>3.0094817230069868</v>
      </c>
    </row>
    <row r="13991" spans="40:42" x14ac:dyDescent="0.3">
      <c r="AN13991">
        <v>13987</v>
      </c>
      <c r="AO13991" s="11">
        <v>31538.73</v>
      </c>
      <c r="AP13991" s="9">
        <v>3.3623447053760449</v>
      </c>
    </row>
    <row r="13992" spans="40:42" x14ac:dyDescent="0.3">
      <c r="AN13992">
        <v>13988</v>
      </c>
      <c r="AO13992" s="11">
        <v>32409.96</v>
      </c>
      <c r="AP13992" s="9">
        <v>2.9864500697925394</v>
      </c>
    </row>
    <row r="13993" spans="40:42" x14ac:dyDescent="0.3">
      <c r="AN13993">
        <v>13989</v>
      </c>
      <c r="AO13993" s="11">
        <v>16786.490000000002</v>
      </c>
      <c r="AP13993" s="9">
        <v>3.2844662390725525</v>
      </c>
    </row>
    <row r="13994" spans="40:42" x14ac:dyDescent="0.3">
      <c r="AN13994">
        <v>13990</v>
      </c>
      <c r="AO13994" s="11">
        <v>27635.42</v>
      </c>
      <c r="AP13994" s="9">
        <v>3.2867769110178195</v>
      </c>
    </row>
    <row r="13995" spans="40:42" x14ac:dyDescent="0.3">
      <c r="AN13995">
        <v>13991</v>
      </c>
      <c r="AO13995" s="11">
        <v>34375.46</v>
      </c>
      <c r="AP13995" s="9">
        <v>3.3972453490065182</v>
      </c>
    </row>
    <row r="13996" spans="40:42" x14ac:dyDescent="0.3">
      <c r="AN13996">
        <v>13992</v>
      </c>
      <c r="AO13996" s="11">
        <v>28971.78</v>
      </c>
      <c r="AP13996" s="9">
        <v>3.1593987429834187</v>
      </c>
    </row>
    <row r="13997" spans="40:42" x14ac:dyDescent="0.3">
      <c r="AN13997">
        <v>13993</v>
      </c>
      <c r="AO13997" s="11">
        <v>31190.36</v>
      </c>
      <c r="AP13997" s="9">
        <v>4.0125115146912806</v>
      </c>
    </row>
    <row r="13998" spans="40:42" x14ac:dyDescent="0.3">
      <c r="AN13998">
        <v>13994</v>
      </c>
      <c r="AO13998" s="11">
        <v>31267.09</v>
      </c>
      <c r="AP13998" s="9">
        <v>3.4420211484947965</v>
      </c>
    </row>
    <row r="13999" spans="40:42" x14ac:dyDescent="0.3">
      <c r="AN13999">
        <v>13995</v>
      </c>
      <c r="AO13999" s="11">
        <v>29898.7</v>
      </c>
      <c r="AP13999" s="9">
        <v>3.2448276295092047</v>
      </c>
    </row>
    <row r="14000" spans="40:42" x14ac:dyDescent="0.3">
      <c r="AN14000">
        <v>13996</v>
      </c>
      <c r="AO14000" s="11">
        <v>21986.97</v>
      </c>
      <c r="AP14000" s="9">
        <v>3.3031113607222848</v>
      </c>
    </row>
    <row r="14001" spans="40:42" x14ac:dyDescent="0.3">
      <c r="AN14001">
        <v>13997</v>
      </c>
      <c r="AO14001" s="11">
        <v>22797.599999999999</v>
      </c>
      <c r="AP14001" s="9">
        <v>3.5703682073437828</v>
      </c>
    </row>
    <row r="14002" spans="40:42" x14ac:dyDescent="0.3">
      <c r="AN14002">
        <v>13998</v>
      </c>
      <c r="AO14002" s="11">
        <v>20508.349999999999</v>
      </c>
      <c r="AP14002" s="9">
        <v>2.805000750672022</v>
      </c>
    </row>
    <row r="14003" spans="40:42" x14ac:dyDescent="0.3">
      <c r="AN14003">
        <v>13999</v>
      </c>
      <c r="AO14003" s="11">
        <v>19782.53</v>
      </c>
      <c r="AP14003" s="9">
        <v>3.2870605143754412</v>
      </c>
    </row>
    <row r="14004" spans="40:42" x14ac:dyDescent="0.3">
      <c r="AN14004">
        <v>14000</v>
      </c>
      <c r="AO14004" s="11">
        <v>32087.14</v>
      </c>
      <c r="AP14004" s="9">
        <v>3.3275162585301286</v>
      </c>
    </row>
    <row r="14005" spans="40:42" x14ac:dyDescent="0.3">
      <c r="AN14005">
        <v>14001</v>
      </c>
      <c r="AO14005" s="11">
        <v>33731.68</v>
      </c>
      <c r="AP14005" s="9">
        <v>3.1541355580561032</v>
      </c>
    </row>
    <row r="14006" spans="40:42" x14ac:dyDescent="0.3">
      <c r="AN14006">
        <v>14002</v>
      </c>
      <c r="AO14006" s="11">
        <v>45127</v>
      </c>
      <c r="AP14006" s="9">
        <v>4.807247945778033</v>
      </c>
    </row>
    <row r="14007" spans="40:42" x14ac:dyDescent="0.3">
      <c r="AN14007">
        <v>14003</v>
      </c>
      <c r="AO14007" s="11">
        <v>19252.689999999999</v>
      </c>
      <c r="AP14007" s="9">
        <v>3.0823557730991396</v>
      </c>
    </row>
    <row r="14008" spans="40:42" x14ac:dyDescent="0.3">
      <c r="AN14008">
        <v>14004</v>
      </c>
      <c r="AO14008" s="11">
        <v>25875.21</v>
      </c>
      <c r="AP14008" s="9">
        <v>3.0083884600617763</v>
      </c>
    </row>
    <row r="14009" spans="40:42" x14ac:dyDescent="0.3">
      <c r="AN14009">
        <v>14005</v>
      </c>
      <c r="AO14009" s="11">
        <v>49196.9</v>
      </c>
      <c r="AP14009" s="9">
        <v>4.0953915062125787</v>
      </c>
    </row>
    <row r="14010" spans="40:42" x14ac:dyDescent="0.3">
      <c r="AN14010">
        <v>14006</v>
      </c>
      <c r="AO14010" s="11">
        <v>21792.13</v>
      </c>
      <c r="AP14010" s="9">
        <v>3.08100979863557</v>
      </c>
    </row>
    <row r="14011" spans="40:42" x14ac:dyDescent="0.3">
      <c r="AN14011">
        <v>14007</v>
      </c>
      <c r="AO14011" s="11">
        <v>17273.009999999998</v>
      </c>
      <c r="AP14011" s="9">
        <v>3.3671030290726387</v>
      </c>
    </row>
    <row r="14012" spans="40:42" x14ac:dyDescent="0.3">
      <c r="AN14012">
        <v>14008</v>
      </c>
      <c r="AO14012" s="11">
        <v>16561.759999999998</v>
      </c>
      <c r="AP14012" s="9">
        <v>3.1665613631838685</v>
      </c>
    </row>
    <row r="14013" spans="40:42" x14ac:dyDescent="0.3">
      <c r="AN14013">
        <v>14009</v>
      </c>
      <c r="AO14013" s="11">
        <v>24702.33</v>
      </c>
      <c r="AP14013" s="9">
        <v>3.2069600622872549</v>
      </c>
    </row>
    <row r="14014" spans="40:42" x14ac:dyDescent="0.3">
      <c r="AN14014">
        <v>14010</v>
      </c>
      <c r="AO14014" s="11">
        <v>26871.45</v>
      </c>
      <c r="AP14014" s="9">
        <v>3.6241716800233688</v>
      </c>
    </row>
    <row r="14015" spans="40:42" x14ac:dyDescent="0.3">
      <c r="AN14015">
        <v>14011</v>
      </c>
      <c r="AO14015" s="11">
        <v>30291.56</v>
      </c>
      <c r="AP14015" s="9">
        <v>4.819310764101302</v>
      </c>
    </row>
    <row r="14016" spans="40:42" x14ac:dyDescent="0.3">
      <c r="AN14016">
        <v>14012</v>
      </c>
      <c r="AO14016" s="11">
        <v>28986.12</v>
      </c>
      <c r="AP14016" s="9">
        <v>3.2846497619744865</v>
      </c>
    </row>
    <row r="14017" spans="40:42" x14ac:dyDescent="0.3">
      <c r="AN14017">
        <v>14013</v>
      </c>
      <c r="AO14017" s="11">
        <v>29158.87</v>
      </c>
      <c r="AP14017" s="9">
        <v>3.4568399526432851</v>
      </c>
    </row>
    <row r="14018" spans="40:42" x14ac:dyDescent="0.3">
      <c r="AN14018">
        <v>14014</v>
      </c>
      <c r="AO14018" s="11">
        <v>29546.720000000001</v>
      </c>
      <c r="AP14018" s="9">
        <v>3.0303424366779002</v>
      </c>
    </row>
    <row r="14019" spans="40:42" x14ac:dyDescent="0.3">
      <c r="AN14019">
        <v>14015</v>
      </c>
      <c r="AO14019" s="11">
        <v>40974.53</v>
      </c>
      <c r="AP14019" s="9">
        <v>3.5459927121416444</v>
      </c>
    </row>
    <row r="14020" spans="40:42" x14ac:dyDescent="0.3">
      <c r="AN14020">
        <v>14016</v>
      </c>
      <c r="AO14020" s="11">
        <v>29797.06</v>
      </c>
      <c r="AP14020" s="9">
        <v>2.933551620359049</v>
      </c>
    </row>
    <row r="14021" spans="40:42" x14ac:dyDescent="0.3">
      <c r="AN14021">
        <v>14017</v>
      </c>
      <c r="AO14021" s="11">
        <v>20701.2</v>
      </c>
      <c r="AP14021" s="9">
        <v>3.4992458395424832</v>
      </c>
    </row>
    <row r="14022" spans="40:42" x14ac:dyDescent="0.3">
      <c r="AN14022">
        <v>14018</v>
      </c>
      <c r="AO14022" s="11">
        <v>25720.11</v>
      </c>
      <c r="AP14022" s="9">
        <v>3.3622587842182927</v>
      </c>
    </row>
    <row r="14023" spans="40:42" x14ac:dyDescent="0.3">
      <c r="AN14023">
        <v>14019</v>
      </c>
      <c r="AO14023" s="11">
        <v>23516.33</v>
      </c>
      <c r="AP14023" s="9">
        <v>3.1343951054746175</v>
      </c>
    </row>
    <row r="14024" spans="40:42" x14ac:dyDescent="0.3">
      <c r="AN14024">
        <v>14020</v>
      </c>
      <c r="AO14024" s="11">
        <v>24836.39</v>
      </c>
      <c r="AP14024" s="9">
        <v>3.5395827028863196</v>
      </c>
    </row>
    <row r="14025" spans="40:42" x14ac:dyDescent="0.3">
      <c r="AN14025">
        <v>14021</v>
      </c>
      <c r="AO14025" s="11">
        <v>24963.13</v>
      </c>
      <c r="AP14025" s="9">
        <v>3.3121519946824955</v>
      </c>
    </row>
    <row r="14026" spans="40:42" x14ac:dyDescent="0.3">
      <c r="AN14026">
        <v>14022</v>
      </c>
      <c r="AO14026" s="11">
        <v>21939.73</v>
      </c>
      <c r="AP14026" s="9">
        <v>2.8359557276610521</v>
      </c>
    </row>
    <row r="14027" spans="40:42" x14ac:dyDescent="0.3">
      <c r="AN14027">
        <v>14023</v>
      </c>
      <c r="AO14027" s="11">
        <v>42557.440000000002</v>
      </c>
      <c r="AP14027" s="9">
        <v>3.3312220139903115</v>
      </c>
    </row>
    <row r="14028" spans="40:42" x14ac:dyDescent="0.3">
      <c r="AN14028">
        <v>14024</v>
      </c>
      <c r="AO14028" s="11">
        <v>33606.730000000003</v>
      </c>
      <c r="AP14028" s="9">
        <v>3.7282288005583513</v>
      </c>
    </row>
    <row r="14029" spans="40:42" x14ac:dyDescent="0.3">
      <c r="AN14029">
        <v>14025</v>
      </c>
      <c r="AO14029" s="11">
        <v>31924.86</v>
      </c>
      <c r="AP14029" s="9">
        <v>3.3295770388677806</v>
      </c>
    </row>
    <row r="14030" spans="40:42" x14ac:dyDescent="0.3">
      <c r="AN14030">
        <v>14026</v>
      </c>
      <c r="AO14030" s="11">
        <v>21336.87</v>
      </c>
      <c r="AP14030" s="9">
        <v>3.3382026902939077</v>
      </c>
    </row>
    <row r="14031" spans="40:42" x14ac:dyDescent="0.3">
      <c r="AN14031">
        <v>14027</v>
      </c>
      <c r="AO14031" s="11">
        <v>25946.69</v>
      </c>
      <c r="AP14031" s="9">
        <v>3.7463276345038445</v>
      </c>
    </row>
    <row r="14032" spans="40:42" x14ac:dyDescent="0.3">
      <c r="AN14032">
        <v>14028</v>
      </c>
      <c r="AO14032" s="11">
        <v>24743.68</v>
      </c>
      <c r="AP14032" s="9">
        <v>3.4300673431198567</v>
      </c>
    </row>
    <row r="14033" spans="40:42" x14ac:dyDescent="0.3">
      <c r="AN14033">
        <v>14029</v>
      </c>
      <c r="AO14033" s="11">
        <v>23908.49</v>
      </c>
      <c r="AP14033" s="9">
        <v>3.5230628055338764</v>
      </c>
    </row>
    <row r="14034" spans="40:42" x14ac:dyDescent="0.3">
      <c r="AN14034">
        <v>14030</v>
      </c>
      <c r="AO14034" s="11">
        <v>50224.5</v>
      </c>
      <c r="AP14034" s="9">
        <v>4.1177717628238355</v>
      </c>
    </row>
    <row r="14035" spans="40:42" x14ac:dyDescent="0.3">
      <c r="AN14035">
        <v>14031</v>
      </c>
      <c r="AO14035" s="11">
        <v>23048.89</v>
      </c>
      <c r="AP14035" s="9">
        <v>2.9972393558811232</v>
      </c>
    </row>
    <row r="14036" spans="40:42" x14ac:dyDescent="0.3">
      <c r="AN14036">
        <v>14032</v>
      </c>
      <c r="AO14036" s="11">
        <v>21865.99</v>
      </c>
      <c r="AP14036" s="9">
        <v>3.6615477354767343</v>
      </c>
    </row>
    <row r="14037" spans="40:42" x14ac:dyDescent="0.3">
      <c r="AN14037">
        <v>14033</v>
      </c>
      <c r="AO14037" s="11">
        <v>19388.150000000001</v>
      </c>
      <c r="AP14037" s="9">
        <v>2.7198557166796524</v>
      </c>
    </row>
    <row r="14038" spans="40:42" x14ac:dyDescent="0.3">
      <c r="AN14038">
        <v>14034</v>
      </c>
      <c r="AO14038" s="11">
        <v>13959.71</v>
      </c>
      <c r="AP14038" s="9">
        <v>2.9920237563596084</v>
      </c>
    </row>
    <row r="14039" spans="40:42" x14ac:dyDescent="0.3">
      <c r="AN14039">
        <v>14035</v>
      </c>
      <c r="AO14039" s="11">
        <v>35282.46</v>
      </c>
      <c r="AP14039" s="9">
        <v>3.6068972534011308</v>
      </c>
    </row>
    <row r="14040" spans="40:42" x14ac:dyDescent="0.3">
      <c r="AN14040">
        <v>14036</v>
      </c>
      <c r="AO14040" s="11">
        <v>36759.360000000001</v>
      </c>
      <c r="AP14040" s="9">
        <v>4.0674063698489986</v>
      </c>
    </row>
    <row r="14041" spans="40:42" x14ac:dyDescent="0.3">
      <c r="AN14041">
        <v>14037</v>
      </c>
      <c r="AO14041" s="11">
        <v>15545.7</v>
      </c>
      <c r="AP14041" s="9">
        <v>3.5669525394582267</v>
      </c>
    </row>
    <row r="14042" spans="40:42" x14ac:dyDescent="0.3">
      <c r="AN14042">
        <v>14038</v>
      </c>
      <c r="AO14042" s="11">
        <v>28146.2</v>
      </c>
      <c r="AP14042" s="9">
        <v>3.4418191939904141</v>
      </c>
    </row>
    <row r="14043" spans="40:42" x14ac:dyDescent="0.3">
      <c r="AN14043">
        <v>14039</v>
      </c>
      <c r="AO14043" s="11">
        <v>24501.01</v>
      </c>
      <c r="AP14043" s="9">
        <v>3.1901241951132002</v>
      </c>
    </row>
    <row r="14044" spans="40:42" x14ac:dyDescent="0.3">
      <c r="AN14044">
        <v>14040</v>
      </c>
      <c r="AO14044" s="11">
        <v>18317.21</v>
      </c>
      <c r="AP14044" s="9">
        <v>2.571477085338</v>
      </c>
    </row>
    <row r="14045" spans="40:42" x14ac:dyDescent="0.3">
      <c r="AN14045">
        <v>14041</v>
      </c>
      <c r="AO14045" s="11">
        <v>20734.509999999998</v>
      </c>
      <c r="AP14045" s="9">
        <v>3.2234979449029604</v>
      </c>
    </row>
    <row r="14046" spans="40:42" x14ac:dyDescent="0.3">
      <c r="AN14046">
        <v>14042</v>
      </c>
      <c r="AO14046" s="11">
        <v>21448.02</v>
      </c>
      <c r="AP14046" s="9">
        <v>2.8836469564794949</v>
      </c>
    </row>
    <row r="14047" spans="40:42" x14ac:dyDescent="0.3">
      <c r="AN14047">
        <v>14043</v>
      </c>
      <c r="AO14047" s="11">
        <v>39776.89</v>
      </c>
      <c r="AP14047" s="9">
        <v>3.5989100501191822</v>
      </c>
    </row>
    <row r="14048" spans="40:42" x14ac:dyDescent="0.3">
      <c r="AN14048">
        <v>14044</v>
      </c>
      <c r="AO14048" s="11">
        <v>35718.239999999998</v>
      </c>
      <c r="AP14048" s="9">
        <v>4.5527709647500112</v>
      </c>
    </row>
    <row r="14049" spans="40:42" x14ac:dyDescent="0.3">
      <c r="AN14049">
        <v>14045</v>
      </c>
      <c r="AO14049" s="11">
        <v>30821.13</v>
      </c>
      <c r="AP14049" s="9">
        <v>3.2436303869606604</v>
      </c>
    </row>
    <row r="14050" spans="40:42" x14ac:dyDescent="0.3">
      <c r="AN14050">
        <v>14046</v>
      </c>
      <c r="AO14050" s="11">
        <v>31051.54</v>
      </c>
      <c r="AP14050" s="9">
        <v>3.1972002897626108</v>
      </c>
    </row>
    <row r="14051" spans="40:42" x14ac:dyDescent="0.3">
      <c r="AN14051">
        <v>14047</v>
      </c>
      <c r="AO14051" s="11">
        <v>33578.76</v>
      </c>
      <c r="AP14051" s="9">
        <v>3.5464985299081295</v>
      </c>
    </row>
    <row r="14052" spans="40:42" x14ac:dyDescent="0.3">
      <c r="AN14052">
        <v>14048</v>
      </c>
      <c r="AO14052" s="11">
        <v>26282.54</v>
      </c>
      <c r="AP14052" s="9">
        <v>3.1921087776273187</v>
      </c>
    </row>
    <row r="14053" spans="40:42" x14ac:dyDescent="0.3">
      <c r="AN14053">
        <v>14049</v>
      </c>
      <c r="AO14053" s="11">
        <v>21762.73</v>
      </c>
      <c r="AP14053" s="9">
        <v>3.176658932646272</v>
      </c>
    </row>
    <row r="14054" spans="40:42" x14ac:dyDescent="0.3">
      <c r="AN14054">
        <v>14050</v>
      </c>
      <c r="AO14054" s="11">
        <v>23956.15</v>
      </c>
      <c r="AP14054" s="9">
        <v>3.2744082598509547</v>
      </c>
    </row>
    <row r="14055" spans="40:42" x14ac:dyDescent="0.3">
      <c r="AN14055">
        <v>14051</v>
      </c>
      <c r="AO14055" s="11">
        <v>46858.6</v>
      </c>
      <c r="AP14055" s="9">
        <v>3.7848097411262001</v>
      </c>
    </row>
    <row r="14056" spans="40:42" x14ac:dyDescent="0.3">
      <c r="AN14056">
        <v>14052</v>
      </c>
      <c r="AO14056" s="11">
        <v>21897.71</v>
      </c>
      <c r="AP14056" s="9">
        <v>3.137917313602328</v>
      </c>
    </row>
    <row r="14057" spans="40:42" x14ac:dyDescent="0.3">
      <c r="AN14057">
        <v>14053</v>
      </c>
      <c r="AO14057" s="11">
        <v>27720.2</v>
      </c>
      <c r="AP14057" s="9">
        <v>3.3120253005154621</v>
      </c>
    </row>
    <row r="14058" spans="40:42" x14ac:dyDescent="0.3">
      <c r="AN14058">
        <v>14054</v>
      </c>
      <c r="AO14058" s="11">
        <v>27182.73</v>
      </c>
      <c r="AP14058" s="9">
        <v>3.3323680126742961</v>
      </c>
    </row>
    <row r="14059" spans="40:42" x14ac:dyDescent="0.3">
      <c r="AN14059">
        <v>14055</v>
      </c>
      <c r="AO14059" s="11">
        <v>20288.509999999998</v>
      </c>
      <c r="AP14059" s="9">
        <v>2.8529100824966003</v>
      </c>
    </row>
    <row r="14060" spans="40:42" x14ac:dyDescent="0.3">
      <c r="AN14060">
        <v>14056</v>
      </c>
      <c r="AO14060" s="11">
        <v>27304.57</v>
      </c>
      <c r="AP14060" s="9">
        <v>3.7953203836908651</v>
      </c>
    </row>
    <row r="14061" spans="40:42" x14ac:dyDescent="0.3">
      <c r="AN14061">
        <v>14057</v>
      </c>
      <c r="AO14061" s="11">
        <v>27984.66</v>
      </c>
      <c r="AP14061" s="9">
        <v>3.1540052861117882</v>
      </c>
    </row>
    <row r="14062" spans="40:42" x14ac:dyDescent="0.3">
      <c r="AN14062">
        <v>14058</v>
      </c>
      <c r="AO14062" s="11">
        <v>17641.59</v>
      </c>
      <c r="AP14062" s="9">
        <v>2.9435829428941691</v>
      </c>
    </row>
    <row r="14063" spans="40:42" x14ac:dyDescent="0.3">
      <c r="AN14063">
        <v>14059</v>
      </c>
      <c r="AO14063" s="11">
        <v>30245.54</v>
      </c>
      <c r="AP14063" s="9">
        <v>3.3760719942092234</v>
      </c>
    </row>
    <row r="14064" spans="40:42" x14ac:dyDescent="0.3">
      <c r="AN14064">
        <v>14060</v>
      </c>
      <c r="AO14064" s="11">
        <v>26340.46</v>
      </c>
      <c r="AP14064" s="9">
        <v>3.3716705414236525</v>
      </c>
    </row>
    <row r="14065" spans="40:42" x14ac:dyDescent="0.3">
      <c r="AN14065">
        <v>14061</v>
      </c>
      <c r="AO14065" s="11">
        <v>27835.91</v>
      </c>
      <c r="AP14065" s="9">
        <v>3.9329202352684183</v>
      </c>
    </row>
    <row r="14066" spans="40:42" x14ac:dyDescent="0.3">
      <c r="AN14066">
        <v>14062</v>
      </c>
      <c r="AO14066" s="11">
        <v>24713.25</v>
      </c>
      <c r="AP14066" s="9">
        <v>2.7561535349899682</v>
      </c>
    </row>
    <row r="14067" spans="40:42" x14ac:dyDescent="0.3">
      <c r="AN14067">
        <v>14063</v>
      </c>
      <c r="AO14067" s="11">
        <v>52152.87</v>
      </c>
      <c r="AP14067" s="9">
        <v>3.6465593501876064</v>
      </c>
    </row>
    <row r="14068" spans="40:42" x14ac:dyDescent="0.3">
      <c r="AN14068">
        <v>14064</v>
      </c>
      <c r="AO14068" s="11">
        <v>23407.79</v>
      </c>
      <c r="AP14068" s="9">
        <v>3.2734181599631356</v>
      </c>
    </row>
    <row r="14069" spans="40:42" x14ac:dyDescent="0.3">
      <c r="AN14069">
        <v>14065</v>
      </c>
      <c r="AO14069" s="11">
        <v>36427.58</v>
      </c>
      <c r="AP14069" s="9">
        <v>3.8820792857191186</v>
      </c>
    </row>
    <row r="14070" spans="40:42" x14ac:dyDescent="0.3">
      <c r="AN14070">
        <v>14066</v>
      </c>
      <c r="AO14070" s="11">
        <v>26573.200000000001</v>
      </c>
      <c r="AP14070" s="9">
        <v>3.2978261458369875</v>
      </c>
    </row>
    <row r="14071" spans="40:42" x14ac:dyDescent="0.3">
      <c r="AN14071">
        <v>14067</v>
      </c>
      <c r="AO14071" s="11">
        <v>26127.11</v>
      </c>
      <c r="AP14071" s="9">
        <v>3.4893765482879071</v>
      </c>
    </row>
    <row r="14072" spans="40:42" x14ac:dyDescent="0.3">
      <c r="AN14072">
        <v>14068</v>
      </c>
      <c r="AO14072" s="11">
        <v>22480.9</v>
      </c>
      <c r="AP14072" s="9">
        <v>2.9586742656057421</v>
      </c>
    </row>
    <row r="14073" spans="40:42" x14ac:dyDescent="0.3">
      <c r="AN14073">
        <v>14069</v>
      </c>
      <c r="AO14073" s="11">
        <v>18435.59</v>
      </c>
      <c r="AP14073" s="9">
        <v>3.3300840301196963</v>
      </c>
    </row>
    <row r="14074" spans="40:42" x14ac:dyDescent="0.3">
      <c r="AN14074">
        <v>14070</v>
      </c>
      <c r="AO14074" s="11">
        <v>22721.53</v>
      </c>
      <c r="AP14074" s="9">
        <v>3.6011269909318031</v>
      </c>
    </row>
    <row r="14075" spans="40:42" x14ac:dyDescent="0.3">
      <c r="AN14075">
        <v>14071</v>
      </c>
      <c r="AO14075" s="11">
        <v>32654.51</v>
      </c>
      <c r="AP14075" s="9">
        <v>3.4897694737821174</v>
      </c>
    </row>
    <row r="14076" spans="40:42" x14ac:dyDescent="0.3">
      <c r="AN14076">
        <v>14072</v>
      </c>
      <c r="AO14076" s="11">
        <v>23208.1</v>
      </c>
      <c r="AP14076" s="9">
        <v>3.096024271657547</v>
      </c>
    </row>
    <row r="14077" spans="40:42" x14ac:dyDescent="0.3">
      <c r="AN14077">
        <v>14073</v>
      </c>
      <c r="AO14077" s="11">
        <v>29675.21</v>
      </c>
      <c r="AP14077" s="9">
        <v>3.8632703183485941</v>
      </c>
    </row>
    <row r="14078" spans="40:42" x14ac:dyDescent="0.3">
      <c r="AN14078">
        <v>14074</v>
      </c>
      <c r="AO14078" s="11">
        <v>20718.97</v>
      </c>
      <c r="AP14078" s="9">
        <v>2.9622509185988677</v>
      </c>
    </row>
    <row r="14079" spans="40:42" x14ac:dyDescent="0.3">
      <c r="AN14079">
        <v>14075</v>
      </c>
      <c r="AO14079" s="11">
        <v>33891.32</v>
      </c>
      <c r="AP14079" s="9">
        <v>3.7772938087096484</v>
      </c>
    </row>
    <row r="14080" spans="40:42" x14ac:dyDescent="0.3">
      <c r="AN14080">
        <v>14076</v>
      </c>
      <c r="AO14080" s="11">
        <v>26372.81</v>
      </c>
      <c r="AP14080" s="9">
        <v>3.7730732743441631</v>
      </c>
    </row>
    <row r="14081" spans="40:42" x14ac:dyDescent="0.3">
      <c r="AN14081">
        <v>14077</v>
      </c>
      <c r="AO14081" s="11">
        <v>23580.05</v>
      </c>
      <c r="AP14081" s="9">
        <v>3.1164433512004357</v>
      </c>
    </row>
    <row r="14082" spans="40:42" x14ac:dyDescent="0.3">
      <c r="AN14082">
        <v>14078</v>
      </c>
      <c r="AO14082" s="11">
        <v>31584.880000000001</v>
      </c>
      <c r="AP14082" s="9">
        <v>3.7841674293764935</v>
      </c>
    </row>
    <row r="14083" spans="40:42" x14ac:dyDescent="0.3">
      <c r="AN14083">
        <v>14079</v>
      </c>
      <c r="AO14083" s="11">
        <v>22124.21</v>
      </c>
      <c r="AP14083" s="9">
        <v>2.921545725330986</v>
      </c>
    </row>
    <row r="14084" spans="40:42" x14ac:dyDescent="0.3">
      <c r="AN14084">
        <v>14080</v>
      </c>
      <c r="AO14084" s="11">
        <v>32256.720000000001</v>
      </c>
      <c r="AP14084" s="9">
        <v>3.6261919712380029</v>
      </c>
    </row>
    <row r="14085" spans="40:42" x14ac:dyDescent="0.3">
      <c r="AN14085">
        <v>14081</v>
      </c>
      <c r="AO14085" s="11">
        <v>25966.91</v>
      </c>
      <c r="AP14085" s="9">
        <v>4.0866026217994573</v>
      </c>
    </row>
    <row r="14086" spans="40:42" x14ac:dyDescent="0.3">
      <c r="AN14086">
        <v>14082</v>
      </c>
      <c r="AO14086" s="11">
        <v>14483.99</v>
      </c>
      <c r="AP14086" s="9">
        <v>3.3069745340444192</v>
      </c>
    </row>
    <row r="14087" spans="40:42" x14ac:dyDescent="0.3">
      <c r="AN14087">
        <v>14083</v>
      </c>
      <c r="AO14087" s="11">
        <v>26746.43</v>
      </c>
      <c r="AP14087" s="9">
        <v>3.4564727234920083</v>
      </c>
    </row>
    <row r="14088" spans="40:42" x14ac:dyDescent="0.3">
      <c r="AN14088">
        <v>14084</v>
      </c>
      <c r="AO14088" s="11">
        <v>24854.31</v>
      </c>
      <c r="AP14088" s="9">
        <v>3.3037841538659021</v>
      </c>
    </row>
    <row r="14089" spans="40:42" x14ac:dyDescent="0.3">
      <c r="AN14089">
        <v>14085</v>
      </c>
      <c r="AO14089" s="11">
        <v>21954.09</v>
      </c>
      <c r="AP14089" s="9">
        <v>3.285612848708277</v>
      </c>
    </row>
    <row r="14090" spans="40:42" x14ac:dyDescent="0.3">
      <c r="AN14090">
        <v>14086</v>
      </c>
      <c r="AO14090" s="11">
        <v>29865.35</v>
      </c>
      <c r="AP14090" s="9">
        <v>2.8918290087069738</v>
      </c>
    </row>
    <row r="14091" spans="40:42" x14ac:dyDescent="0.3">
      <c r="AN14091">
        <v>14087</v>
      </c>
      <c r="AO14091" s="11">
        <v>33258.660000000003</v>
      </c>
      <c r="AP14091" s="9">
        <v>3.57782381310302</v>
      </c>
    </row>
    <row r="14092" spans="40:42" x14ac:dyDescent="0.3">
      <c r="AN14092">
        <v>14088</v>
      </c>
      <c r="AO14092" s="11">
        <v>26141.72</v>
      </c>
      <c r="AP14092" s="9">
        <v>2.8499851099900666</v>
      </c>
    </row>
    <row r="14093" spans="40:42" x14ac:dyDescent="0.3">
      <c r="AN14093">
        <v>14089</v>
      </c>
      <c r="AO14093" s="11">
        <v>29838.7</v>
      </c>
      <c r="AP14093" s="9">
        <v>3.4185968714834174</v>
      </c>
    </row>
    <row r="14094" spans="40:42" x14ac:dyDescent="0.3">
      <c r="AN14094">
        <v>14090</v>
      </c>
      <c r="AO14094" s="11">
        <v>26605.360000000001</v>
      </c>
      <c r="AP14094" s="9">
        <v>3.1808317413335478</v>
      </c>
    </row>
    <row r="14095" spans="40:42" x14ac:dyDescent="0.3">
      <c r="AN14095">
        <v>14091</v>
      </c>
      <c r="AO14095" s="11">
        <v>26091.69</v>
      </c>
      <c r="AP14095" s="9">
        <v>3.6360782594793357</v>
      </c>
    </row>
    <row r="14096" spans="40:42" x14ac:dyDescent="0.3">
      <c r="AN14096">
        <v>14092</v>
      </c>
      <c r="AO14096" s="11">
        <v>24458.95</v>
      </c>
      <c r="AP14096" s="9">
        <v>3.0854835971470407</v>
      </c>
    </row>
    <row r="14097" spans="40:42" x14ac:dyDescent="0.3">
      <c r="AN14097">
        <v>14093</v>
      </c>
      <c r="AO14097" s="11">
        <v>19296.57</v>
      </c>
      <c r="AP14097" s="9">
        <v>3.1525797284097177</v>
      </c>
    </row>
    <row r="14098" spans="40:42" x14ac:dyDescent="0.3">
      <c r="AN14098">
        <v>14094</v>
      </c>
      <c r="AO14098" s="11">
        <v>23690.3</v>
      </c>
      <c r="AP14098" s="9">
        <v>2.9942684291621604</v>
      </c>
    </row>
    <row r="14099" spans="40:42" x14ac:dyDescent="0.3">
      <c r="AN14099">
        <v>14095</v>
      </c>
      <c r="AO14099" s="11">
        <v>20568.080000000002</v>
      </c>
      <c r="AP14099" s="9">
        <v>3.0178316516563042</v>
      </c>
    </row>
    <row r="14100" spans="40:42" x14ac:dyDescent="0.3">
      <c r="AN14100">
        <v>14096</v>
      </c>
      <c r="AO14100" s="11">
        <v>26363.5</v>
      </c>
      <c r="AP14100" s="9">
        <v>3.3395513680538356</v>
      </c>
    </row>
    <row r="14101" spans="40:42" x14ac:dyDescent="0.3">
      <c r="AN14101">
        <v>14097</v>
      </c>
      <c r="AO14101" s="11">
        <v>33188.720000000001</v>
      </c>
      <c r="AP14101" s="9">
        <v>4.6284760560987319</v>
      </c>
    </row>
    <row r="14102" spans="40:42" x14ac:dyDescent="0.3">
      <c r="AN14102">
        <v>14098</v>
      </c>
      <c r="AO14102" s="11">
        <v>33081.33</v>
      </c>
      <c r="AP14102" s="9">
        <v>3.2940060868478791</v>
      </c>
    </row>
    <row r="14103" spans="40:42" x14ac:dyDescent="0.3">
      <c r="AN14103">
        <v>14099</v>
      </c>
      <c r="AO14103" s="11">
        <v>34725.15</v>
      </c>
      <c r="AP14103" s="9">
        <v>3.6520220703188699</v>
      </c>
    </row>
    <row r="14104" spans="40:42" x14ac:dyDescent="0.3">
      <c r="AN14104">
        <v>14100</v>
      </c>
      <c r="AO14104" s="11">
        <v>19587.349999999999</v>
      </c>
      <c r="AP14104" s="9">
        <v>2.9450075680500527</v>
      </c>
    </row>
    <row r="14105" spans="40:42" x14ac:dyDescent="0.3">
      <c r="AN14105">
        <v>14101</v>
      </c>
      <c r="AO14105" s="11">
        <v>40889.230000000003</v>
      </c>
      <c r="AP14105" s="9">
        <v>3.2308637319777178</v>
      </c>
    </row>
    <row r="14106" spans="40:42" x14ac:dyDescent="0.3">
      <c r="AN14106">
        <v>14102</v>
      </c>
      <c r="AO14106" s="11">
        <v>25309.99</v>
      </c>
      <c r="AP14106" s="9">
        <v>3.0038720265371026</v>
      </c>
    </row>
    <row r="14107" spans="40:42" x14ac:dyDescent="0.3">
      <c r="AN14107">
        <v>14103</v>
      </c>
      <c r="AO14107" s="11">
        <v>15900.55</v>
      </c>
      <c r="AP14107" s="9">
        <v>3.0858525237191827</v>
      </c>
    </row>
    <row r="14108" spans="40:42" x14ac:dyDescent="0.3">
      <c r="AN14108">
        <v>14104</v>
      </c>
      <c r="AO14108" s="11">
        <v>21167.37</v>
      </c>
      <c r="AP14108" s="9">
        <v>2.9233395853729491</v>
      </c>
    </row>
    <row r="14109" spans="40:42" x14ac:dyDescent="0.3">
      <c r="AN14109">
        <v>14105</v>
      </c>
      <c r="AO14109" s="11">
        <v>23945.13</v>
      </c>
      <c r="AP14109" s="9">
        <v>3.3235932807695594</v>
      </c>
    </row>
    <row r="14110" spans="40:42" x14ac:dyDescent="0.3">
      <c r="AN14110">
        <v>14106</v>
      </c>
      <c r="AO14110" s="11">
        <v>18405.560000000001</v>
      </c>
      <c r="AP14110" s="9">
        <v>3.5569642309595908</v>
      </c>
    </row>
    <row r="14111" spans="40:42" x14ac:dyDescent="0.3">
      <c r="AN14111">
        <v>14107</v>
      </c>
      <c r="AO14111" s="11">
        <v>28061.25</v>
      </c>
      <c r="AP14111" s="9">
        <v>2.8772421097665357</v>
      </c>
    </row>
    <row r="14112" spans="40:42" x14ac:dyDescent="0.3">
      <c r="AN14112">
        <v>14108</v>
      </c>
      <c r="AO14112" s="11">
        <v>32826.559999999998</v>
      </c>
      <c r="AP14112" s="9">
        <v>3.316950702611142</v>
      </c>
    </row>
    <row r="14113" spans="40:42" x14ac:dyDescent="0.3">
      <c r="AN14113">
        <v>14109</v>
      </c>
      <c r="AO14113" s="11">
        <v>25078.73</v>
      </c>
      <c r="AP14113" s="9">
        <v>3.6200908085586803</v>
      </c>
    </row>
    <row r="14114" spans="40:42" x14ac:dyDescent="0.3">
      <c r="AN14114">
        <v>14110</v>
      </c>
      <c r="AO14114" s="11">
        <v>27725.27</v>
      </c>
      <c r="AP14114" s="9">
        <v>3.2174356071022721</v>
      </c>
    </row>
    <row r="14115" spans="40:42" x14ac:dyDescent="0.3">
      <c r="AN14115">
        <v>14111</v>
      </c>
      <c r="AO14115" s="11">
        <v>33596.120000000003</v>
      </c>
      <c r="AP14115" s="9">
        <v>3.8288192616707484</v>
      </c>
    </row>
    <row r="14116" spans="40:42" x14ac:dyDescent="0.3">
      <c r="AN14116">
        <v>14112</v>
      </c>
      <c r="AO14116" s="11">
        <v>25048.67</v>
      </c>
      <c r="AP14116" s="9">
        <v>3.1763729406682297</v>
      </c>
    </row>
    <row r="14117" spans="40:42" x14ac:dyDescent="0.3">
      <c r="AN14117">
        <v>14113</v>
      </c>
      <c r="AO14117" s="11">
        <v>22910.39</v>
      </c>
      <c r="AP14117" s="9">
        <v>3.5039833788370953</v>
      </c>
    </row>
    <row r="14118" spans="40:42" x14ac:dyDescent="0.3">
      <c r="AN14118">
        <v>14114</v>
      </c>
      <c r="AO14118" s="11">
        <v>37912.120000000003</v>
      </c>
      <c r="AP14118" s="9">
        <v>3.3662126437893596</v>
      </c>
    </row>
    <row r="14119" spans="40:42" x14ac:dyDescent="0.3">
      <c r="AN14119">
        <v>14115</v>
      </c>
      <c r="AO14119" s="11">
        <v>32749.38</v>
      </c>
      <c r="AP14119" s="9">
        <v>3.167820951447136</v>
      </c>
    </row>
    <row r="14120" spans="40:42" x14ac:dyDescent="0.3">
      <c r="AN14120">
        <v>14116</v>
      </c>
      <c r="AO14120" s="11">
        <v>33584.980000000003</v>
      </c>
      <c r="AP14120" s="9">
        <v>4.6709478589239861</v>
      </c>
    </row>
    <row r="14121" spans="40:42" x14ac:dyDescent="0.3">
      <c r="AN14121">
        <v>14117</v>
      </c>
      <c r="AO14121" s="11">
        <v>26149.77</v>
      </c>
      <c r="AP14121" s="9">
        <v>3.3129789367369193</v>
      </c>
    </row>
    <row r="14122" spans="40:42" x14ac:dyDescent="0.3">
      <c r="AN14122">
        <v>14118</v>
      </c>
      <c r="AO14122" s="11">
        <v>30898.91</v>
      </c>
      <c r="AP14122" s="9">
        <v>3.5012713100138035</v>
      </c>
    </row>
    <row r="14123" spans="40:42" x14ac:dyDescent="0.3">
      <c r="AN14123">
        <v>14119</v>
      </c>
      <c r="AO14123" s="11">
        <v>20444.68</v>
      </c>
      <c r="AP14123" s="9">
        <v>3.2449274725670723</v>
      </c>
    </row>
    <row r="14124" spans="40:42" x14ac:dyDescent="0.3">
      <c r="AN14124">
        <v>14120</v>
      </c>
      <c r="AO14124" s="11">
        <v>32756.86</v>
      </c>
      <c r="AP14124" s="9">
        <v>3.4358168815783841</v>
      </c>
    </row>
    <row r="14125" spans="40:42" x14ac:dyDescent="0.3">
      <c r="AN14125">
        <v>14121</v>
      </c>
      <c r="AO14125" s="11">
        <v>25820.94</v>
      </c>
      <c r="AP14125" s="9">
        <v>3.4025344415803667</v>
      </c>
    </row>
    <row r="14126" spans="40:42" x14ac:dyDescent="0.3">
      <c r="AN14126">
        <v>14122</v>
      </c>
      <c r="AO14126" s="11">
        <v>26730.26</v>
      </c>
      <c r="AP14126" s="9">
        <v>3.3892206859351517</v>
      </c>
    </row>
    <row r="14127" spans="40:42" x14ac:dyDescent="0.3">
      <c r="AN14127">
        <v>14123</v>
      </c>
      <c r="AO14127" s="11">
        <v>21991.07</v>
      </c>
      <c r="AP14127" s="9">
        <v>3.2856082903868797</v>
      </c>
    </row>
    <row r="14128" spans="40:42" x14ac:dyDescent="0.3">
      <c r="AN14128">
        <v>14124</v>
      </c>
      <c r="AO14128" s="11">
        <v>29928.41</v>
      </c>
      <c r="AP14128" s="9">
        <v>3.8491892006432957</v>
      </c>
    </row>
    <row r="14129" spans="40:42" x14ac:dyDescent="0.3">
      <c r="AN14129">
        <v>14125</v>
      </c>
      <c r="AO14129" s="11">
        <v>34976.65</v>
      </c>
      <c r="AP14129" s="9">
        <v>3.5549569524945168</v>
      </c>
    </row>
    <row r="14130" spans="40:42" x14ac:dyDescent="0.3">
      <c r="AN14130">
        <v>14126</v>
      </c>
      <c r="AO14130" s="11">
        <v>45852.19</v>
      </c>
      <c r="AP14130" s="9">
        <v>3.4794414360088521</v>
      </c>
    </row>
    <row r="14131" spans="40:42" x14ac:dyDescent="0.3">
      <c r="AN14131">
        <v>14127</v>
      </c>
      <c r="AO14131" s="11">
        <v>34599.629999999997</v>
      </c>
      <c r="AP14131" s="9">
        <v>4.4240386882440328</v>
      </c>
    </row>
    <row r="14132" spans="40:42" x14ac:dyDescent="0.3">
      <c r="AN14132">
        <v>14128</v>
      </c>
      <c r="AO14132" s="11">
        <v>22443.87</v>
      </c>
      <c r="AP14132" s="9">
        <v>3.3956711261338133</v>
      </c>
    </row>
    <row r="14133" spans="40:42" x14ac:dyDescent="0.3">
      <c r="AN14133">
        <v>14129</v>
      </c>
      <c r="AO14133" s="11">
        <v>25243.58</v>
      </c>
      <c r="AP14133" s="9">
        <v>3.5970142558024398</v>
      </c>
    </row>
    <row r="14134" spans="40:42" x14ac:dyDescent="0.3">
      <c r="AN14134">
        <v>14130</v>
      </c>
      <c r="AO14134" s="11">
        <v>26740.74</v>
      </c>
      <c r="AP14134" s="9">
        <v>2.8443035246857598</v>
      </c>
    </row>
    <row r="14135" spans="40:42" x14ac:dyDescent="0.3">
      <c r="AN14135">
        <v>14131</v>
      </c>
      <c r="AO14135" s="11">
        <v>29485.08</v>
      </c>
      <c r="AP14135" s="9">
        <v>2.9041284731784436</v>
      </c>
    </row>
    <row r="14136" spans="40:42" x14ac:dyDescent="0.3">
      <c r="AN14136">
        <v>14132</v>
      </c>
      <c r="AO14136" s="11">
        <v>17789.759999999998</v>
      </c>
      <c r="AP14136" s="9">
        <v>3.160288059394377</v>
      </c>
    </row>
    <row r="14137" spans="40:42" x14ac:dyDescent="0.3">
      <c r="AN14137">
        <v>14133</v>
      </c>
      <c r="AO14137" s="11">
        <v>35216.58</v>
      </c>
      <c r="AP14137" s="9">
        <v>3.9105811034574409</v>
      </c>
    </row>
    <row r="14138" spans="40:42" x14ac:dyDescent="0.3">
      <c r="AN14138">
        <v>14134</v>
      </c>
      <c r="AO14138" s="11">
        <v>27232.07</v>
      </c>
      <c r="AP14138" s="9">
        <v>3.3945175624028812</v>
      </c>
    </row>
    <row r="14139" spans="40:42" x14ac:dyDescent="0.3">
      <c r="AN14139">
        <v>14135</v>
      </c>
      <c r="AO14139" s="11">
        <v>28553.54</v>
      </c>
      <c r="AP14139" s="9">
        <v>3.5967121037606398</v>
      </c>
    </row>
    <row r="14140" spans="40:42" x14ac:dyDescent="0.3">
      <c r="AN14140">
        <v>14136</v>
      </c>
      <c r="AO14140" s="11">
        <v>20681.62</v>
      </c>
      <c r="AP14140" s="9">
        <v>3.4001665269981021</v>
      </c>
    </row>
    <row r="14141" spans="40:42" x14ac:dyDescent="0.3">
      <c r="AN14141">
        <v>14137</v>
      </c>
      <c r="AO14141" s="11">
        <v>22413.22</v>
      </c>
      <c r="AP14141" s="9">
        <v>3.1106024791323073</v>
      </c>
    </row>
    <row r="14142" spans="40:42" x14ac:dyDescent="0.3">
      <c r="AN14142">
        <v>14138</v>
      </c>
      <c r="AO14142" s="11">
        <v>30606.639999999999</v>
      </c>
      <c r="AP14142" s="9">
        <v>4.1108603339117655</v>
      </c>
    </row>
    <row r="14143" spans="40:42" x14ac:dyDescent="0.3">
      <c r="AN14143">
        <v>14139</v>
      </c>
      <c r="AO14143" s="11">
        <v>36062.980000000003</v>
      </c>
      <c r="AP14143" s="9">
        <v>3.3096593364285547</v>
      </c>
    </row>
    <row r="14144" spans="40:42" x14ac:dyDescent="0.3">
      <c r="AN14144">
        <v>14140</v>
      </c>
      <c r="AO14144" s="11">
        <v>26941.52</v>
      </c>
      <c r="AP14144" s="9">
        <v>3.3815848792371428</v>
      </c>
    </row>
    <row r="14145" spans="40:42" x14ac:dyDescent="0.3">
      <c r="AN14145">
        <v>14141</v>
      </c>
      <c r="AO14145" s="11">
        <v>25083.96</v>
      </c>
      <c r="AP14145" s="9">
        <v>2.8172501697537951</v>
      </c>
    </row>
    <row r="14146" spans="40:42" x14ac:dyDescent="0.3">
      <c r="AN14146">
        <v>14142</v>
      </c>
      <c r="AO14146" s="11">
        <v>23884.17</v>
      </c>
      <c r="AP14146" s="9">
        <v>3.448098939455706</v>
      </c>
    </row>
    <row r="14147" spans="40:42" x14ac:dyDescent="0.3">
      <c r="AN14147">
        <v>14143</v>
      </c>
      <c r="AO14147" s="11">
        <v>14543.32</v>
      </c>
      <c r="AP14147" s="9">
        <v>3.0363937580422453</v>
      </c>
    </row>
    <row r="14148" spans="40:42" x14ac:dyDescent="0.3">
      <c r="AN14148">
        <v>14144</v>
      </c>
      <c r="AO14148" s="11">
        <v>28897.52</v>
      </c>
      <c r="AP14148" s="9">
        <v>3.8009209260075143</v>
      </c>
    </row>
    <row r="14149" spans="40:42" x14ac:dyDescent="0.3">
      <c r="AN14149">
        <v>14145</v>
      </c>
      <c r="AO14149" s="11">
        <v>29998.95</v>
      </c>
      <c r="AP14149" s="9">
        <v>3.1524823032954585</v>
      </c>
    </row>
    <row r="14150" spans="40:42" x14ac:dyDescent="0.3">
      <c r="AN14150">
        <v>14146</v>
      </c>
      <c r="AO14150" s="11">
        <v>35040.949999999997</v>
      </c>
      <c r="AP14150" s="9">
        <v>3.0066295608766058</v>
      </c>
    </row>
    <row r="14151" spans="40:42" x14ac:dyDescent="0.3">
      <c r="AN14151">
        <v>14147</v>
      </c>
      <c r="AO14151" s="11">
        <v>29242.11</v>
      </c>
      <c r="AP14151" s="9">
        <v>3.8784124637558008</v>
      </c>
    </row>
    <row r="14152" spans="40:42" x14ac:dyDescent="0.3">
      <c r="AN14152">
        <v>14148</v>
      </c>
      <c r="AO14152" s="11">
        <v>39772.959999999999</v>
      </c>
      <c r="AP14152" s="9">
        <v>4.4783428459682906</v>
      </c>
    </row>
    <row r="14153" spans="40:42" x14ac:dyDescent="0.3">
      <c r="AN14153">
        <v>14149</v>
      </c>
      <c r="AO14153" s="11">
        <v>18215.150000000001</v>
      </c>
      <c r="AP14153" s="9">
        <v>3.4437959236005837</v>
      </c>
    </row>
    <row r="14154" spans="40:42" x14ac:dyDescent="0.3">
      <c r="AN14154">
        <v>14150</v>
      </c>
      <c r="AO14154" s="11">
        <v>16069.63</v>
      </c>
      <c r="AP14154" s="9">
        <v>3.2357529127471576</v>
      </c>
    </row>
    <row r="14155" spans="40:42" x14ac:dyDescent="0.3">
      <c r="AN14155">
        <v>14151</v>
      </c>
      <c r="AO14155" s="11">
        <v>17543.18</v>
      </c>
      <c r="AP14155" s="9">
        <v>3.2985107453845459</v>
      </c>
    </row>
    <row r="14156" spans="40:42" x14ac:dyDescent="0.3">
      <c r="AN14156">
        <v>14152</v>
      </c>
      <c r="AO14156" s="11">
        <v>19498.330000000002</v>
      </c>
      <c r="AP14156" s="9">
        <v>3.0469727030564058</v>
      </c>
    </row>
    <row r="14157" spans="40:42" x14ac:dyDescent="0.3">
      <c r="AN14157">
        <v>14153</v>
      </c>
      <c r="AO14157" s="11">
        <v>22946.1</v>
      </c>
      <c r="AP14157" s="9">
        <v>2.819506281206011</v>
      </c>
    </row>
    <row r="14158" spans="40:42" x14ac:dyDescent="0.3">
      <c r="AN14158">
        <v>14154</v>
      </c>
      <c r="AO14158" s="11">
        <v>26356.92</v>
      </c>
      <c r="AP14158" s="9">
        <v>3.7617489372902195</v>
      </c>
    </row>
    <row r="14159" spans="40:42" x14ac:dyDescent="0.3">
      <c r="AN14159">
        <v>14155</v>
      </c>
      <c r="AO14159" s="11">
        <v>24410.1</v>
      </c>
      <c r="AP14159" s="9">
        <v>3.0887051649457158</v>
      </c>
    </row>
    <row r="14160" spans="40:42" x14ac:dyDescent="0.3">
      <c r="AN14160">
        <v>14156</v>
      </c>
      <c r="AO14160" s="11">
        <v>23033.47</v>
      </c>
      <c r="AP14160" s="9">
        <v>3.0032220997303369</v>
      </c>
    </row>
    <row r="14161" spans="40:42" x14ac:dyDescent="0.3">
      <c r="AN14161">
        <v>14157</v>
      </c>
      <c r="AO14161" s="11">
        <v>36047.949999999997</v>
      </c>
      <c r="AP14161" s="9">
        <v>3.7518436068413257</v>
      </c>
    </row>
    <row r="14162" spans="40:42" x14ac:dyDescent="0.3">
      <c r="AN14162">
        <v>14158</v>
      </c>
      <c r="AO14162" s="11">
        <v>15640.58</v>
      </c>
      <c r="AP14162" s="9">
        <v>3.5617647966466515</v>
      </c>
    </row>
    <row r="14163" spans="40:42" x14ac:dyDescent="0.3">
      <c r="AN14163">
        <v>14159</v>
      </c>
      <c r="AO14163" s="11">
        <v>21149.79</v>
      </c>
      <c r="AP14163" s="9">
        <v>3.085031517499127</v>
      </c>
    </row>
    <row r="14164" spans="40:42" x14ac:dyDescent="0.3">
      <c r="AN14164">
        <v>14160</v>
      </c>
      <c r="AO14164" s="11">
        <v>26677.13</v>
      </c>
      <c r="AP14164" s="9">
        <v>3.7475847060643583</v>
      </c>
    </row>
    <row r="14165" spans="40:42" x14ac:dyDescent="0.3">
      <c r="AN14165">
        <v>14161</v>
      </c>
      <c r="AO14165" s="11">
        <v>31377.09</v>
      </c>
      <c r="AP14165" s="9">
        <v>3.0413429102355365</v>
      </c>
    </row>
    <row r="14166" spans="40:42" x14ac:dyDescent="0.3">
      <c r="AN14166">
        <v>14162</v>
      </c>
      <c r="AO14166" s="11">
        <v>19994.3</v>
      </c>
      <c r="AP14166" s="9">
        <v>3.4219287189932825</v>
      </c>
    </row>
    <row r="14167" spans="40:42" x14ac:dyDescent="0.3">
      <c r="AN14167">
        <v>14163</v>
      </c>
      <c r="AO14167" s="11">
        <v>24922.18</v>
      </c>
      <c r="AP14167" s="9">
        <v>3.918769999821067</v>
      </c>
    </row>
    <row r="14168" spans="40:42" x14ac:dyDescent="0.3">
      <c r="AN14168">
        <v>14164</v>
      </c>
      <c r="AO14168" s="11">
        <v>38216.47</v>
      </c>
      <c r="AP14168" s="9">
        <v>3.4099422516816591</v>
      </c>
    </row>
    <row r="14169" spans="40:42" x14ac:dyDescent="0.3">
      <c r="AN14169">
        <v>14165</v>
      </c>
      <c r="AO14169" s="11">
        <v>23226.98</v>
      </c>
      <c r="AP14169" s="9">
        <v>2.4595012069575679</v>
      </c>
    </row>
    <row r="14170" spans="40:42" x14ac:dyDescent="0.3">
      <c r="AN14170">
        <v>14166</v>
      </c>
      <c r="AO14170" s="11">
        <v>19668.02</v>
      </c>
      <c r="AP14170" s="9">
        <v>3.2991776855511974</v>
      </c>
    </row>
    <row r="14171" spans="40:42" x14ac:dyDescent="0.3">
      <c r="AN14171">
        <v>14167</v>
      </c>
      <c r="AO14171" s="11">
        <v>34244.519999999997</v>
      </c>
      <c r="AP14171" s="9">
        <v>3.6970783728396897</v>
      </c>
    </row>
    <row r="14172" spans="40:42" x14ac:dyDescent="0.3">
      <c r="AN14172">
        <v>14168</v>
      </c>
      <c r="AO14172" s="11">
        <v>39242.46</v>
      </c>
      <c r="AP14172" s="9">
        <v>4.1922035609150692</v>
      </c>
    </row>
    <row r="14173" spans="40:42" x14ac:dyDescent="0.3">
      <c r="AN14173">
        <v>14169</v>
      </c>
      <c r="AO14173" s="11">
        <v>19513.419999999998</v>
      </c>
      <c r="AP14173" s="9">
        <v>3.4986516958573941</v>
      </c>
    </row>
    <row r="14174" spans="40:42" x14ac:dyDescent="0.3">
      <c r="AN14174">
        <v>14170</v>
      </c>
      <c r="AO14174" s="11">
        <v>24165.51</v>
      </c>
      <c r="AP14174" s="9">
        <v>3.0898512050766076</v>
      </c>
    </row>
    <row r="14175" spans="40:42" x14ac:dyDescent="0.3">
      <c r="AN14175">
        <v>14171</v>
      </c>
      <c r="AO14175" s="11">
        <v>23943.87</v>
      </c>
      <c r="AP14175" s="9">
        <v>3.2314873583963122</v>
      </c>
    </row>
    <row r="14176" spans="40:42" x14ac:dyDescent="0.3">
      <c r="AN14176">
        <v>14172</v>
      </c>
      <c r="AO14176" s="11">
        <v>22300.62</v>
      </c>
      <c r="AP14176" s="9">
        <v>3.0576982228208514</v>
      </c>
    </row>
    <row r="14177" spans="40:42" x14ac:dyDescent="0.3">
      <c r="AN14177">
        <v>14173</v>
      </c>
      <c r="AO14177" s="11">
        <v>25790.34</v>
      </c>
      <c r="AP14177" s="9">
        <v>3.19807407424674</v>
      </c>
    </row>
    <row r="14178" spans="40:42" x14ac:dyDescent="0.3">
      <c r="AN14178">
        <v>14174</v>
      </c>
      <c r="AO14178" s="11">
        <v>27246.01</v>
      </c>
      <c r="AP14178" s="9">
        <v>3.2675493924188759</v>
      </c>
    </row>
    <row r="14179" spans="40:42" x14ac:dyDescent="0.3">
      <c r="AN14179">
        <v>14175</v>
      </c>
      <c r="AO14179" s="11">
        <v>34029.040000000001</v>
      </c>
      <c r="AP14179" s="9">
        <v>4.3847155840948302</v>
      </c>
    </row>
    <row r="14180" spans="40:42" x14ac:dyDescent="0.3">
      <c r="AN14180">
        <v>14176</v>
      </c>
      <c r="AO14180" s="11">
        <v>38449.040000000001</v>
      </c>
      <c r="AP14180" s="9">
        <v>3.8021700948554176</v>
      </c>
    </row>
    <row r="14181" spans="40:42" x14ac:dyDescent="0.3">
      <c r="AN14181">
        <v>14177</v>
      </c>
      <c r="AO14181" s="11">
        <v>17915.45</v>
      </c>
      <c r="AP14181" s="9">
        <v>3.2176313547804183</v>
      </c>
    </row>
    <row r="14182" spans="40:42" x14ac:dyDescent="0.3">
      <c r="AN14182">
        <v>14178</v>
      </c>
      <c r="AO14182" s="11">
        <v>20764.849999999999</v>
      </c>
      <c r="AP14182" s="9">
        <v>2.5750358380669254</v>
      </c>
    </row>
    <row r="14183" spans="40:42" x14ac:dyDescent="0.3">
      <c r="AN14183">
        <v>14179</v>
      </c>
      <c r="AO14183" s="11">
        <v>22687.200000000001</v>
      </c>
      <c r="AP14183" s="9">
        <v>3.4214920373910491</v>
      </c>
    </row>
    <row r="14184" spans="40:42" x14ac:dyDescent="0.3">
      <c r="AN14184">
        <v>14180</v>
      </c>
      <c r="AO14184" s="11">
        <v>23792.22</v>
      </c>
      <c r="AP14184" s="9">
        <v>3.3383241700126636</v>
      </c>
    </row>
    <row r="14185" spans="40:42" x14ac:dyDescent="0.3">
      <c r="AN14185">
        <v>14181</v>
      </c>
      <c r="AO14185" s="11">
        <v>26011.91</v>
      </c>
      <c r="AP14185" s="9">
        <v>2.8869816017713958</v>
      </c>
    </row>
    <row r="14186" spans="40:42" x14ac:dyDescent="0.3">
      <c r="AN14186">
        <v>14182</v>
      </c>
      <c r="AO14186" s="11">
        <v>26101.13</v>
      </c>
      <c r="AP14186" s="9">
        <v>3.0741726416758013</v>
      </c>
    </row>
    <row r="14187" spans="40:42" x14ac:dyDescent="0.3">
      <c r="AN14187">
        <v>14183</v>
      </c>
      <c r="AO14187" s="11">
        <v>27002.46</v>
      </c>
      <c r="AP14187" s="9">
        <v>3.5437633334113379</v>
      </c>
    </row>
    <row r="14188" spans="40:42" x14ac:dyDescent="0.3">
      <c r="AN14188">
        <v>14184</v>
      </c>
      <c r="AO14188" s="11">
        <v>28774.639999999999</v>
      </c>
      <c r="AP14188" s="9">
        <v>2.9672645104654909</v>
      </c>
    </row>
    <row r="14189" spans="40:42" x14ac:dyDescent="0.3">
      <c r="AN14189">
        <v>14185</v>
      </c>
      <c r="AO14189" s="11">
        <v>29096.92</v>
      </c>
      <c r="AP14189" s="9">
        <v>3.367147787994051</v>
      </c>
    </row>
    <row r="14190" spans="40:42" x14ac:dyDescent="0.3">
      <c r="AN14190">
        <v>14186</v>
      </c>
      <c r="AO14190" s="11">
        <v>19692.21</v>
      </c>
      <c r="AP14190" s="9">
        <v>2.6568641172670397</v>
      </c>
    </row>
    <row r="14191" spans="40:42" x14ac:dyDescent="0.3">
      <c r="AN14191">
        <v>14187</v>
      </c>
      <c r="AO14191" s="11">
        <v>35952.449999999997</v>
      </c>
      <c r="AP14191" s="9">
        <v>3.9756199742433069</v>
      </c>
    </row>
    <row r="14192" spans="40:42" x14ac:dyDescent="0.3">
      <c r="AN14192">
        <v>14188</v>
      </c>
      <c r="AO14192" s="11">
        <v>30737.93</v>
      </c>
      <c r="AP14192" s="9">
        <v>3.3055315060427359</v>
      </c>
    </row>
    <row r="14193" spans="40:42" x14ac:dyDescent="0.3">
      <c r="AN14193">
        <v>14189</v>
      </c>
      <c r="AO14193" s="11">
        <v>24295.91</v>
      </c>
      <c r="AP14193" s="9">
        <v>3.6713627795991317</v>
      </c>
    </row>
    <row r="14194" spans="40:42" x14ac:dyDescent="0.3">
      <c r="AN14194">
        <v>14190</v>
      </c>
      <c r="AO14194" s="11">
        <v>23001.759999999998</v>
      </c>
      <c r="AP14194" s="9">
        <v>2.8809684182943713</v>
      </c>
    </row>
    <row r="14195" spans="40:42" x14ac:dyDescent="0.3">
      <c r="AN14195">
        <v>14191</v>
      </c>
      <c r="AO14195" s="11">
        <v>32333.88</v>
      </c>
      <c r="AP14195" s="9">
        <v>3.3138582055876005</v>
      </c>
    </row>
    <row r="14196" spans="40:42" x14ac:dyDescent="0.3">
      <c r="AN14196">
        <v>14192</v>
      </c>
      <c r="AO14196" s="11">
        <v>29536.33</v>
      </c>
      <c r="AP14196" s="9">
        <v>3.80331011985704</v>
      </c>
    </row>
    <row r="14197" spans="40:42" x14ac:dyDescent="0.3">
      <c r="AN14197">
        <v>14193</v>
      </c>
      <c r="AO14197" s="11">
        <v>36585.79</v>
      </c>
      <c r="AP14197" s="9">
        <v>2.6952326736481771</v>
      </c>
    </row>
    <row r="14198" spans="40:42" x14ac:dyDescent="0.3">
      <c r="AN14198">
        <v>14194</v>
      </c>
      <c r="AO14198" s="11">
        <v>45111.81</v>
      </c>
      <c r="AP14198" s="9">
        <v>3.8737531365956066</v>
      </c>
    </row>
    <row r="14199" spans="40:42" x14ac:dyDescent="0.3">
      <c r="AN14199">
        <v>14195</v>
      </c>
      <c r="AO14199" s="11">
        <v>18535.93</v>
      </c>
      <c r="AP14199" s="9">
        <v>3.3622055232683645</v>
      </c>
    </row>
    <row r="14200" spans="40:42" x14ac:dyDescent="0.3">
      <c r="AN14200">
        <v>14196</v>
      </c>
      <c r="AO14200" s="11">
        <v>30400.85</v>
      </c>
      <c r="AP14200" s="9">
        <v>3.6481395367208878</v>
      </c>
    </row>
    <row r="14201" spans="40:42" x14ac:dyDescent="0.3">
      <c r="AN14201">
        <v>14197</v>
      </c>
      <c r="AO14201" s="11">
        <v>34645.33</v>
      </c>
      <c r="AP14201" s="9">
        <v>3.8257467591465946</v>
      </c>
    </row>
    <row r="14202" spans="40:42" x14ac:dyDescent="0.3">
      <c r="AN14202">
        <v>14198</v>
      </c>
      <c r="AO14202" s="11">
        <v>20537.650000000001</v>
      </c>
      <c r="AP14202" s="9">
        <v>3.1109660782600592</v>
      </c>
    </row>
    <row r="14203" spans="40:42" x14ac:dyDescent="0.3">
      <c r="AN14203">
        <v>14199</v>
      </c>
      <c r="AO14203" s="11">
        <v>24865.7</v>
      </c>
      <c r="AP14203" s="9">
        <v>3.1046530224838644</v>
      </c>
    </row>
    <row r="14204" spans="40:42" x14ac:dyDescent="0.3">
      <c r="AN14204">
        <v>14200</v>
      </c>
      <c r="AO14204" s="11">
        <v>25859.13</v>
      </c>
      <c r="AP14204" s="9">
        <v>3.2747062899092461</v>
      </c>
    </row>
    <row r="14205" spans="40:42" x14ac:dyDescent="0.3">
      <c r="AN14205">
        <v>14201</v>
      </c>
      <c r="AO14205" s="11">
        <v>25522.22</v>
      </c>
      <c r="AP14205" s="9">
        <v>2.702206876068598</v>
      </c>
    </row>
    <row r="14206" spans="40:42" x14ac:dyDescent="0.3">
      <c r="AN14206">
        <v>14202</v>
      </c>
      <c r="AO14206" s="11">
        <v>23930.31</v>
      </c>
      <c r="AP14206" s="9">
        <v>2.9345943719125933</v>
      </c>
    </row>
    <row r="14207" spans="40:42" x14ac:dyDescent="0.3">
      <c r="AN14207">
        <v>14203</v>
      </c>
      <c r="AO14207" s="11">
        <v>8914.57</v>
      </c>
      <c r="AP14207" s="9">
        <v>2.6636079095930567</v>
      </c>
    </row>
    <row r="14208" spans="40:42" x14ac:dyDescent="0.3">
      <c r="AN14208">
        <v>14204</v>
      </c>
      <c r="AO14208" s="11">
        <v>23159.73</v>
      </c>
      <c r="AP14208" s="9">
        <v>3.3349944990649978</v>
      </c>
    </row>
    <row r="14209" spans="40:42" x14ac:dyDescent="0.3">
      <c r="AN14209">
        <v>14205</v>
      </c>
      <c r="AO14209" s="11">
        <v>28174.98</v>
      </c>
      <c r="AP14209" s="9">
        <v>3.4998183089153967</v>
      </c>
    </row>
    <row r="14210" spans="40:42" x14ac:dyDescent="0.3">
      <c r="AN14210">
        <v>14206</v>
      </c>
      <c r="AO14210" s="11">
        <v>22723.35</v>
      </c>
      <c r="AP14210" s="9">
        <v>3.4085370264289163</v>
      </c>
    </row>
    <row r="14211" spans="40:42" x14ac:dyDescent="0.3">
      <c r="AN14211">
        <v>14207</v>
      </c>
      <c r="AO14211" s="11">
        <v>26543.22</v>
      </c>
      <c r="AP14211" s="9">
        <v>3.3864276016385126</v>
      </c>
    </row>
    <row r="14212" spans="40:42" x14ac:dyDescent="0.3">
      <c r="AN14212">
        <v>14208</v>
      </c>
      <c r="AO14212" s="11">
        <v>22924.86</v>
      </c>
      <c r="AP14212" s="9">
        <v>3.1105651163682295</v>
      </c>
    </row>
    <row r="14213" spans="40:42" x14ac:dyDescent="0.3">
      <c r="AN14213">
        <v>14209</v>
      </c>
      <c r="AO14213" s="11">
        <v>26848.94</v>
      </c>
      <c r="AP14213" s="9">
        <v>3.6251743559343748</v>
      </c>
    </row>
    <row r="14214" spans="40:42" x14ac:dyDescent="0.3">
      <c r="AN14214">
        <v>14210</v>
      </c>
      <c r="AO14214" s="11">
        <v>18411.02</v>
      </c>
      <c r="AP14214" s="9">
        <v>2.9370383100785444</v>
      </c>
    </row>
    <row r="14215" spans="40:42" x14ac:dyDescent="0.3">
      <c r="AN14215">
        <v>14211</v>
      </c>
      <c r="AO14215" s="11">
        <v>26470.33</v>
      </c>
      <c r="AP14215" s="9">
        <v>3.2554899481799597</v>
      </c>
    </row>
    <row r="14216" spans="40:42" x14ac:dyDescent="0.3">
      <c r="AN14216">
        <v>14212</v>
      </c>
      <c r="AO14216" s="11">
        <v>18661.509999999998</v>
      </c>
      <c r="AP14216" s="9">
        <v>3.117139826377008</v>
      </c>
    </row>
    <row r="14217" spans="40:42" x14ac:dyDescent="0.3">
      <c r="AN14217">
        <v>14213</v>
      </c>
      <c r="AO14217" s="11">
        <v>33959.56</v>
      </c>
      <c r="AP14217" s="9">
        <v>4.079853597976288</v>
      </c>
    </row>
    <row r="14218" spans="40:42" x14ac:dyDescent="0.3">
      <c r="AN14218">
        <v>14214</v>
      </c>
      <c r="AO14218" s="11">
        <v>23246.02</v>
      </c>
      <c r="AP14218" s="9">
        <v>3.1639205776559374</v>
      </c>
    </row>
    <row r="14219" spans="40:42" x14ac:dyDescent="0.3">
      <c r="AN14219">
        <v>14215</v>
      </c>
      <c r="AO14219" s="11">
        <v>27259.27</v>
      </c>
      <c r="AP14219" s="9">
        <v>2.9355385321680174</v>
      </c>
    </row>
    <row r="14220" spans="40:42" x14ac:dyDescent="0.3">
      <c r="AN14220">
        <v>14216</v>
      </c>
      <c r="AO14220" s="11">
        <v>30589.52</v>
      </c>
      <c r="AP14220" s="9">
        <v>3.8554622277894683</v>
      </c>
    </row>
    <row r="14221" spans="40:42" x14ac:dyDescent="0.3">
      <c r="AN14221">
        <v>14217</v>
      </c>
      <c r="AO14221" s="11">
        <v>25813.7</v>
      </c>
      <c r="AP14221" s="9">
        <v>3.3177076396024403</v>
      </c>
    </row>
    <row r="14222" spans="40:42" x14ac:dyDescent="0.3">
      <c r="AN14222">
        <v>14218</v>
      </c>
      <c r="AO14222" s="11">
        <v>38000.699999999997</v>
      </c>
      <c r="AP14222" s="9">
        <v>3.5022802687767429</v>
      </c>
    </row>
    <row r="14223" spans="40:42" x14ac:dyDescent="0.3">
      <c r="AN14223">
        <v>14219</v>
      </c>
      <c r="AO14223" s="11">
        <v>16143.61</v>
      </c>
      <c r="AP14223" s="9">
        <v>3.0699435802004023</v>
      </c>
    </row>
    <row r="14224" spans="40:42" x14ac:dyDescent="0.3">
      <c r="AN14224">
        <v>14220</v>
      </c>
      <c r="AO14224" s="11">
        <v>23050.89</v>
      </c>
      <c r="AP14224" s="9">
        <v>3.2616483767009661</v>
      </c>
    </row>
    <row r="14225" spans="40:42" x14ac:dyDescent="0.3">
      <c r="AN14225">
        <v>14221</v>
      </c>
      <c r="AO14225" s="11">
        <v>18278.87</v>
      </c>
      <c r="AP14225" s="9">
        <v>3.3052014911853766</v>
      </c>
    </row>
    <row r="14226" spans="40:42" x14ac:dyDescent="0.3">
      <c r="AN14226">
        <v>14222</v>
      </c>
      <c r="AO14226" s="11">
        <v>17260.2</v>
      </c>
      <c r="AP14226" s="9">
        <v>2.8444770620146516</v>
      </c>
    </row>
    <row r="14227" spans="40:42" x14ac:dyDescent="0.3">
      <c r="AN14227">
        <v>14223</v>
      </c>
      <c r="AO14227" s="11">
        <v>24225.07</v>
      </c>
      <c r="AP14227" s="9">
        <v>3.1027769303104842</v>
      </c>
    </row>
    <row r="14228" spans="40:42" x14ac:dyDescent="0.3">
      <c r="AN14228">
        <v>14224</v>
      </c>
      <c r="AO14228" s="11">
        <v>13821.45</v>
      </c>
      <c r="AP14228" s="9">
        <v>3.024957830011759</v>
      </c>
    </row>
    <row r="14229" spans="40:42" x14ac:dyDescent="0.3">
      <c r="AN14229">
        <v>14225</v>
      </c>
      <c r="AO14229" s="11">
        <v>30808.400000000001</v>
      </c>
      <c r="AP14229" s="9">
        <v>3.4879651875347362</v>
      </c>
    </row>
    <row r="14230" spans="40:42" x14ac:dyDescent="0.3">
      <c r="AN14230">
        <v>14226</v>
      </c>
      <c r="AO14230" s="11">
        <v>31116.799999999999</v>
      </c>
      <c r="AP14230" s="9">
        <v>3.3197961560765274</v>
      </c>
    </row>
    <row r="14231" spans="40:42" x14ac:dyDescent="0.3">
      <c r="AN14231">
        <v>14227</v>
      </c>
      <c r="AO14231" s="11">
        <v>24470.959999999999</v>
      </c>
      <c r="AP14231" s="9">
        <v>3.3366138811333568</v>
      </c>
    </row>
    <row r="14232" spans="40:42" x14ac:dyDescent="0.3">
      <c r="AN14232">
        <v>14228</v>
      </c>
      <c r="AO14232" s="11">
        <v>26316.71</v>
      </c>
      <c r="AP14232" s="9">
        <v>3.5485983915646382</v>
      </c>
    </row>
    <row r="14233" spans="40:42" x14ac:dyDescent="0.3">
      <c r="AN14233">
        <v>14229</v>
      </c>
      <c r="AO14233" s="11">
        <v>34512.639999999999</v>
      </c>
      <c r="AP14233" s="9">
        <v>3.4124787784560815</v>
      </c>
    </row>
    <row r="14234" spans="40:42" x14ac:dyDescent="0.3">
      <c r="AN14234">
        <v>14230</v>
      </c>
      <c r="AO14234" s="11">
        <v>32903.800000000003</v>
      </c>
      <c r="AP14234" s="9">
        <v>3.2749470770966056</v>
      </c>
    </row>
    <row r="14235" spans="40:42" x14ac:dyDescent="0.3">
      <c r="AN14235">
        <v>14231</v>
      </c>
      <c r="AO14235" s="11">
        <v>33206.410000000003</v>
      </c>
      <c r="AP14235" s="9">
        <v>2.9809849398172239</v>
      </c>
    </row>
    <row r="14236" spans="40:42" x14ac:dyDescent="0.3">
      <c r="AN14236">
        <v>14232</v>
      </c>
      <c r="AO14236" s="11">
        <v>24490.240000000002</v>
      </c>
      <c r="AP14236" s="9">
        <v>3.4036184264293028</v>
      </c>
    </row>
    <row r="14237" spans="40:42" x14ac:dyDescent="0.3">
      <c r="AN14237">
        <v>14233</v>
      </c>
      <c r="AO14237" s="11">
        <v>23236.84</v>
      </c>
      <c r="AP14237" s="9">
        <v>3.7523880535828931</v>
      </c>
    </row>
    <row r="14238" spans="40:42" x14ac:dyDescent="0.3">
      <c r="AN14238">
        <v>14234</v>
      </c>
      <c r="AO14238" s="11">
        <v>13101.24</v>
      </c>
      <c r="AP14238" s="9">
        <v>2.8070708340472224</v>
      </c>
    </row>
    <row r="14239" spans="40:42" x14ac:dyDescent="0.3">
      <c r="AN14239">
        <v>14235</v>
      </c>
      <c r="AO14239" s="11">
        <v>28487.63</v>
      </c>
      <c r="AP14239" s="9">
        <v>3.3320090419292208</v>
      </c>
    </row>
    <row r="14240" spans="40:42" x14ac:dyDescent="0.3">
      <c r="AN14240">
        <v>14236</v>
      </c>
      <c r="AO14240" s="11">
        <v>19852.55</v>
      </c>
      <c r="AP14240" s="9">
        <v>3.279119043881435</v>
      </c>
    </row>
    <row r="14241" spans="40:42" x14ac:dyDescent="0.3">
      <c r="AN14241">
        <v>14237</v>
      </c>
      <c r="AO14241" s="11">
        <v>29910.92</v>
      </c>
      <c r="AP14241" s="9">
        <v>3.5892496289326492</v>
      </c>
    </row>
    <row r="14242" spans="40:42" x14ac:dyDescent="0.3">
      <c r="AN14242">
        <v>14238</v>
      </c>
      <c r="AO14242" s="11">
        <v>26179.71</v>
      </c>
      <c r="AP14242" s="9">
        <v>3.2017952548434185</v>
      </c>
    </row>
    <row r="14243" spans="40:42" x14ac:dyDescent="0.3">
      <c r="AN14243">
        <v>14239</v>
      </c>
      <c r="AO14243" s="11">
        <v>26014.86</v>
      </c>
      <c r="AP14243" s="9">
        <v>3.1822682676791061</v>
      </c>
    </row>
    <row r="14244" spans="40:42" x14ac:dyDescent="0.3">
      <c r="AN14244">
        <v>14240</v>
      </c>
      <c r="AO14244" s="11">
        <v>23755.040000000001</v>
      </c>
      <c r="AP14244" s="9">
        <v>2.9921103953484218</v>
      </c>
    </row>
    <row r="14245" spans="40:42" x14ac:dyDescent="0.3">
      <c r="AN14245">
        <v>14241</v>
      </c>
      <c r="AO14245" s="11">
        <v>14394.54</v>
      </c>
      <c r="AP14245" s="9">
        <v>3.2327465270834908</v>
      </c>
    </row>
    <row r="14246" spans="40:42" x14ac:dyDescent="0.3">
      <c r="AN14246">
        <v>14242</v>
      </c>
      <c r="AO14246" s="11">
        <v>17259.27</v>
      </c>
      <c r="AP14246" s="9">
        <v>3.0913462336539936</v>
      </c>
    </row>
    <row r="14247" spans="40:42" x14ac:dyDescent="0.3">
      <c r="AN14247">
        <v>14243</v>
      </c>
      <c r="AO14247" s="11">
        <v>22489.99</v>
      </c>
      <c r="AP14247" s="9">
        <v>2.7231439565906657</v>
      </c>
    </row>
    <row r="14248" spans="40:42" x14ac:dyDescent="0.3">
      <c r="AN14248">
        <v>14244</v>
      </c>
      <c r="AO14248" s="11">
        <v>16362.59</v>
      </c>
      <c r="AP14248" s="9">
        <v>3.1231482656294518</v>
      </c>
    </row>
    <row r="14249" spans="40:42" x14ac:dyDescent="0.3">
      <c r="AN14249">
        <v>14245</v>
      </c>
      <c r="AO14249" s="11">
        <v>20031.84</v>
      </c>
      <c r="AP14249" s="9">
        <v>3.3670289144411116</v>
      </c>
    </row>
    <row r="14250" spans="40:42" x14ac:dyDescent="0.3">
      <c r="AN14250">
        <v>14246</v>
      </c>
      <c r="AO14250" s="11">
        <v>49963.89</v>
      </c>
      <c r="AP14250" s="9">
        <v>3.6196278762158083</v>
      </c>
    </row>
    <row r="14251" spans="40:42" x14ac:dyDescent="0.3">
      <c r="AN14251">
        <v>14247</v>
      </c>
      <c r="AO14251" s="11">
        <v>24530.66</v>
      </c>
      <c r="AP14251" s="9">
        <v>3.3624052249809124</v>
      </c>
    </row>
    <row r="14252" spans="40:42" x14ac:dyDescent="0.3">
      <c r="AN14252">
        <v>14248</v>
      </c>
      <c r="AO14252" s="11">
        <v>15166.22</v>
      </c>
      <c r="AP14252" s="9">
        <v>3.0203599902543101</v>
      </c>
    </row>
    <row r="14253" spans="40:42" x14ac:dyDescent="0.3">
      <c r="AN14253">
        <v>14249</v>
      </c>
      <c r="AO14253" s="11">
        <v>30692.41</v>
      </c>
      <c r="AP14253" s="9">
        <v>3.7094529891494683</v>
      </c>
    </row>
    <row r="14254" spans="40:42" x14ac:dyDescent="0.3">
      <c r="AN14254">
        <v>14250</v>
      </c>
      <c r="AO14254" s="11">
        <v>29799.87</v>
      </c>
      <c r="AP14254" s="9">
        <v>2.9383740868537336</v>
      </c>
    </row>
    <row r="14255" spans="40:42" x14ac:dyDescent="0.3">
      <c r="AN14255">
        <v>14251</v>
      </c>
      <c r="AO14255" s="11">
        <v>26186.35</v>
      </c>
      <c r="AP14255" s="9">
        <v>2.897945633769011</v>
      </c>
    </row>
    <row r="14256" spans="40:42" x14ac:dyDescent="0.3">
      <c r="AN14256">
        <v>14252</v>
      </c>
      <c r="AO14256" s="11">
        <v>25903.35</v>
      </c>
      <c r="AP14256" s="9">
        <v>3.0826895544191002</v>
      </c>
    </row>
    <row r="14257" spans="40:42" x14ac:dyDescent="0.3">
      <c r="AN14257">
        <v>14253</v>
      </c>
      <c r="AO14257" s="11">
        <v>40419.360000000001</v>
      </c>
      <c r="AP14257" s="9">
        <v>3.8306724193420387</v>
      </c>
    </row>
    <row r="14258" spans="40:42" x14ac:dyDescent="0.3">
      <c r="AN14258">
        <v>14254</v>
      </c>
      <c r="AO14258" s="11">
        <v>31585.42</v>
      </c>
      <c r="AP14258" s="9">
        <v>3.1812536357336723</v>
      </c>
    </row>
    <row r="14259" spans="40:42" x14ac:dyDescent="0.3">
      <c r="AN14259">
        <v>14255</v>
      </c>
      <c r="AO14259" s="11">
        <v>39794.400000000001</v>
      </c>
      <c r="AP14259" s="9">
        <v>3.8725112677525071</v>
      </c>
    </row>
    <row r="14260" spans="40:42" x14ac:dyDescent="0.3">
      <c r="AN14260">
        <v>14256</v>
      </c>
      <c r="AO14260" s="11">
        <v>17823.419999999998</v>
      </c>
      <c r="AP14260" s="9">
        <v>2.9236086653172415</v>
      </c>
    </row>
    <row r="14261" spans="40:42" x14ac:dyDescent="0.3">
      <c r="AN14261">
        <v>14257</v>
      </c>
      <c r="AO14261" s="11">
        <v>20805.93</v>
      </c>
      <c r="AP14261" s="9">
        <v>3.1719048922318835</v>
      </c>
    </row>
    <row r="14262" spans="40:42" x14ac:dyDescent="0.3">
      <c r="AN14262">
        <v>14258</v>
      </c>
      <c r="AO14262" s="11">
        <v>21963.65</v>
      </c>
      <c r="AP14262" s="9">
        <v>2.7632752783151502</v>
      </c>
    </row>
    <row r="14263" spans="40:42" x14ac:dyDescent="0.3">
      <c r="AN14263">
        <v>14259</v>
      </c>
      <c r="AO14263" s="11">
        <v>24229.32</v>
      </c>
      <c r="AP14263" s="9">
        <v>2.9281104503138682</v>
      </c>
    </row>
    <row r="14264" spans="40:42" x14ac:dyDescent="0.3">
      <c r="AN14264">
        <v>14260</v>
      </c>
      <c r="AO14264" s="11">
        <v>21158.71</v>
      </c>
      <c r="AP14264" s="9">
        <v>2.9074346754377984</v>
      </c>
    </row>
    <row r="14265" spans="40:42" x14ac:dyDescent="0.3">
      <c r="AN14265">
        <v>14261</v>
      </c>
      <c r="AO14265" s="11">
        <v>18079.59</v>
      </c>
      <c r="AP14265" s="9">
        <v>3.0867278560042792</v>
      </c>
    </row>
    <row r="14266" spans="40:42" x14ac:dyDescent="0.3">
      <c r="AN14266">
        <v>14262</v>
      </c>
      <c r="AO14266" s="11">
        <v>25464.3</v>
      </c>
      <c r="AP14266" s="9">
        <v>3.1762304932441063</v>
      </c>
    </row>
    <row r="14267" spans="40:42" x14ac:dyDescent="0.3">
      <c r="AN14267">
        <v>14263</v>
      </c>
      <c r="AO14267" s="11">
        <v>18848.77</v>
      </c>
      <c r="AP14267" s="9">
        <v>3.8224692837307916</v>
      </c>
    </row>
    <row r="14268" spans="40:42" x14ac:dyDescent="0.3">
      <c r="AN14268">
        <v>14264</v>
      </c>
      <c r="AO14268" s="11">
        <v>39157.599999999999</v>
      </c>
      <c r="AP14268" s="9">
        <v>3.2373414885805833</v>
      </c>
    </row>
    <row r="14269" spans="40:42" x14ac:dyDescent="0.3">
      <c r="AN14269">
        <v>14265</v>
      </c>
      <c r="AO14269" s="11">
        <v>17398.259999999998</v>
      </c>
      <c r="AP14269" s="9">
        <v>3.6718178365437906</v>
      </c>
    </row>
    <row r="14270" spans="40:42" x14ac:dyDescent="0.3">
      <c r="AN14270">
        <v>14266</v>
      </c>
      <c r="AO14270" s="11">
        <v>36829.81</v>
      </c>
      <c r="AP14270" s="9">
        <v>3.4450545546858113</v>
      </c>
    </row>
    <row r="14271" spans="40:42" x14ac:dyDescent="0.3">
      <c r="AN14271">
        <v>14267</v>
      </c>
      <c r="AO14271" s="11">
        <v>24165.57</v>
      </c>
      <c r="AP14271" s="9">
        <v>3.1472596224283649</v>
      </c>
    </row>
    <row r="14272" spans="40:42" x14ac:dyDescent="0.3">
      <c r="AN14272">
        <v>14268</v>
      </c>
      <c r="AO14272" s="11">
        <v>27880.04</v>
      </c>
      <c r="AP14272" s="9">
        <v>3.4222698986729996</v>
      </c>
    </row>
    <row r="14273" spans="40:42" x14ac:dyDescent="0.3">
      <c r="AN14273">
        <v>14269</v>
      </c>
      <c r="AO14273" s="11">
        <v>19775.03</v>
      </c>
      <c r="AP14273" s="9">
        <v>3.5068690653496422</v>
      </c>
    </row>
    <row r="14274" spans="40:42" x14ac:dyDescent="0.3">
      <c r="AN14274">
        <v>14270</v>
      </c>
      <c r="AO14274" s="11">
        <v>20600.189999999999</v>
      </c>
      <c r="AP14274" s="9">
        <v>3.03735228834958</v>
      </c>
    </row>
    <row r="14275" spans="40:42" x14ac:dyDescent="0.3">
      <c r="AN14275">
        <v>14271</v>
      </c>
      <c r="AO14275" s="11">
        <v>23431.71</v>
      </c>
      <c r="AP14275" s="9">
        <v>3.2336645441087448</v>
      </c>
    </row>
    <row r="14276" spans="40:42" x14ac:dyDescent="0.3">
      <c r="AN14276">
        <v>14272</v>
      </c>
      <c r="AO14276" s="11">
        <v>23573.25</v>
      </c>
      <c r="AP14276" s="9">
        <v>2.6195977386803788</v>
      </c>
    </row>
    <row r="14277" spans="40:42" x14ac:dyDescent="0.3">
      <c r="AN14277">
        <v>14273</v>
      </c>
      <c r="AO14277" s="11">
        <v>27880.14</v>
      </c>
      <c r="AP14277" s="9">
        <v>3.241044875082534</v>
      </c>
    </row>
    <row r="14278" spans="40:42" x14ac:dyDescent="0.3">
      <c r="AN14278">
        <v>14274</v>
      </c>
      <c r="AO14278" s="11">
        <v>23505.39</v>
      </c>
      <c r="AP14278" s="9">
        <v>3.125138685991776</v>
      </c>
    </row>
    <row r="14279" spans="40:42" x14ac:dyDescent="0.3">
      <c r="AN14279">
        <v>14275</v>
      </c>
      <c r="AO14279" s="11">
        <v>21492.44</v>
      </c>
      <c r="AP14279" s="9">
        <v>3.6956364537836031</v>
      </c>
    </row>
    <row r="14280" spans="40:42" x14ac:dyDescent="0.3">
      <c r="AN14280">
        <v>14276</v>
      </c>
      <c r="AO14280" s="11">
        <v>39248.65</v>
      </c>
      <c r="AP14280" s="9">
        <v>2.9803980830091401</v>
      </c>
    </row>
    <row r="14281" spans="40:42" x14ac:dyDescent="0.3">
      <c r="AN14281">
        <v>14277</v>
      </c>
      <c r="AO14281" s="11">
        <v>15022.16</v>
      </c>
      <c r="AP14281" s="9">
        <v>3.3378970829269434</v>
      </c>
    </row>
    <row r="14282" spans="40:42" x14ac:dyDescent="0.3">
      <c r="AN14282">
        <v>14278</v>
      </c>
      <c r="AO14282" s="11">
        <v>27898.41</v>
      </c>
      <c r="AP14282" s="9">
        <v>3.3094731266217714</v>
      </c>
    </row>
    <row r="14283" spans="40:42" x14ac:dyDescent="0.3">
      <c r="AN14283">
        <v>14279</v>
      </c>
      <c r="AO14283" s="11">
        <v>14348.27</v>
      </c>
      <c r="AP14283" s="9">
        <v>2.778551099136378</v>
      </c>
    </row>
    <row r="14284" spans="40:42" x14ac:dyDescent="0.3">
      <c r="AN14284">
        <v>14280</v>
      </c>
      <c r="AO14284" s="11">
        <v>16831.330000000002</v>
      </c>
      <c r="AP14284" s="9">
        <v>3.4128762073464571</v>
      </c>
    </row>
    <row r="14285" spans="40:42" x14ac:dyDescent="0.3">
      <c r="AN14285">
        <v>14281</v>
      </c>
      <c r="AO14285" s="11">
        <v>31310.32</v>
      </c>
      <c r="AP14285" s="9">
        <v>3.2880243569424938</v>
      </c>
    </row>
    <row r="14286" spans="40:42" x14ac:dyDescent="0.3">
      <c r="AN14286">
        <v>14282</v>
      </c>
      <c r="AO14286" s="11">
        <v>15731.4</v>
      </c>
      <c r="AP14286" s="9">
        <v>3.1545818423351357</v>
      </c>
    </row>
    <row r="14287" spans="40:42" x14ac:dyDescent="0.3">
      <c r="AN14287">
        <v>14283</v>
      </c>
      <c r="AO14287" s="11">
        <v>24665.95</v>
      </c>
      <c r="AP14287" s="9">
        <v>3.0432136114456916</v>
      </c>
    </row>
    <row r="14288" spans="40:42" x14ac:dyDescent="0.3">
      <c r="AN14288">
        <v>14284</v>
      </c>
      <c r="AO14288" s="11">
        <v>13079.7</v>
      </c>
      <c r="AP14288" s="9">
        <v>3.0638215773504687</v>
      </c>
    </row>
    <row r="14289" spans="40:42" x14ac:dyDescent="0.3">
      <c r="AN14289">
        <v>14285</v>
      </c>
      <c r="AO14289" s="11">
        <v>24501.84</v>
      </c>
      <c r="AP14289" s="9">
        <v>3.2286959001884479</v>
      </c>
    </row>
    <row r="14290" spans="40:42" x14ac:dyDescent="0.3">
      <c r="AN14290">
        <v>14286</v>
      </c>
      <c r="AO14290" s="11">
        <v>29650.51</v>
      </c>
      <c r="AP14290" s="9">
        <v>3.0152644179414221</v>
      </c>
    </row>
    <row r="14291" spans="40:42" x14ac:dyDescent="0.3">
      <c r="AN14291">
        <v>14287</v>
      </c>
      <c r="AO14291" s="11">
        <v>34163.35</v>
      </c>
      <c r="AP14291" s="9">
        <v>3.5080133406370386</v>
      </c>
    </row>
    <row r="14292" spans="40:42" x14ac:dyDescent="0.3">
      <c r="AN14292">
        <v>14288</v>
      </c>
      <c r="AO14292" s="11">
        <v>24102.87</v>
      </c>
      <c r="AP14292" s="9">
        <v>2.9176956138598706</v>
      </c>
    </row>
    <row r="14293" spans="40:42" x14ac:dyDescent="0.3">
      <c r="AN14293">
        <v>14289</v>
      </c>
      <c r="AO14293" s="11">
        <v>34705.870000000003</v>
      </c>
      <c r="AP14293" s="9">
        <v>2.9604468726117075</v>
      </c>
    </row>
    <row r="14294" spans="40:42" x14ac:dyDescent="0.3">
      <c r="AN14294">
        <v>14290</v>
      </c>
      <c r="AO14294" s="11">
        <v>20273.47</v>
      </c>
      <c r="AP14294" s="9">
        <v>3.5858711391808513</v>
      </c>
    </row>
    <row r="14295" spans="40:42" x14ac:dyDescent="0.3">
      <c r="AN14295">
        <v>14291</v>
      </c>
      <c r="AO14295" s="11">
        <v>47180.56</v>
      </c>
      <c r="AP14295" s="9">
        <v>3.6592452361991392</v>
      </c>
    </row>
    <row r="14296" spans="40:42" x14ac:dyDescent="0.3">
      <c r="AN14296">
        <v>14292</v>
      </c>
      <c r="AO14296" s="11">
        <v>28603.06</v>
      </c>
      <c r="AP14296" s="9">
        <v>3.7120083024267077</v>
      </c>
    </row>
    <row r="14297" spans="40:42" x14ac:dyDescent="0.3">
      <c r="AN14297">
        <v>14293</v>
      </c>
      <c r="AO14297" s="11">
        <v>24290.49</v>
      </c>
      <c r="AP14297" s="9">
        <v>2.9792828131648763</v>
      </c>
    </row>
    <row r="14298" spans="40:42" x14ac:dyDescent="0.3">
      <c r="AN14298">
        <v>14294</v>
      </c>
      <c r="AO14298" s="11">
        <v>34007.58</v>
      </c>
      <c r="AP14298" s="9">
        <v>3.4615469352211647</v>
      </c>
    </row>
    <row r="14299" spans="40:42" x14ac:dyDescent="0.3">
      <c r="AN14299">
        <v>14295</v>
      </c>
      <c r="AO14299" s="11">
        <v>34201.050000000003</v>
      </c>
      <c r="AP14299" s="9">
        <v>3.5269564924115953</v>
      </c>
    </row>
    <row r="14300" spans="40:42" x14ac:dyDescent="0.3">
      <c r="AN14300">
        <v>14296</v>
      </c>
      <c r="AO14300" s="11">
        <v>41436.32</v>
      </c>
      <c r="AP14300" s="9">
        <v>3.2601521908631237</v>
      </c>
    </row>
    <row r="14301" spans="40:42" x14ac:dyDescent="0.3">
      <c r="AN14301">
        <v>14297</v>
      </c>
      <c r="AO14301" s="11">
        <v>30013.759999999998</v>
      </c>
      <c r="AP14301" s="9">
        <v>2.8902151669382277</v>
      </c>
    </row>
    <row r="14302" spans="40:42" x14ac:dyDescent="0.3">
      <c r="AN14302">
        <v>14298</v>
      </c>
      <c r="AO14302" s="11">
        <v>19046.060000000001</v>
      </c>
      <c r="AP14302" s="9">
        <v>2.8969785015909588</v>
      </c>
    </row>
    <row r="14303" spans="40:42" x14ac:dyDescent="0.3">
      <c r="AN14303">
        <v>14299</v>
      </c>
      <c r="AO14303" s="11">
        <v>18167.39</v>
      </c>
      <c r="AP14303" s="9">
        <v>3.1203490211594374</v>
      </c>
    </row>
    <row r="14304" spans="40:42" x14ac:dyDescent="0.3">
      <c r="AN14304">
        <v>14300</v>
      </c>
      <c r="AO14304" s="11">
        <v>18728.650000000001</v>
      </c>
      <c r="AP14304" s="9">
        <v>2.8466365484878189</v>
      </c>
    </row>
    <row r="14305" spans="40:42" x14ac:dyDescent="0.3">
      <c r="AN14305">
        <v>14301</v>
      </c>
      <c r="AO14305" s="11">
        <v>22311.26</v>
      </c>
      <c r="AP14305" s="9">
        <v>3.17521893734264</v>
      </c>
    </row>
    <row r="14306" spans="40:42" x14ac:dyDescent="0.3">
      <c r="AN14306">
        <v>14302</v>
      </c>
      <c r="AO14306" s="11">
        <v>28775.09</v>
      </c>
      <c r="AP14306" s="9">
        <v>3.7836436569412841</v>
      </c>
    </row>
    <row r="14307" spans="40:42" x14ac:dyDescent="0.3">
      <c r="AN14307">
        <v>14303</v>
      </c>
      <c r="AO14307" s="11">
        <v>31088.07</v>
      </c>
      <c r="AP14307" s="9">
        <v>3.5771546717608333</v>
      </c>
    </row>
    <row r="14308" spans="40:42" x14ac:dyDescent="0.3">
      <c r="AN14308">
        <v>14304</v>
      </c>
      <c r="AO14308" s="11">
        <v>30182.74</v>
      </c>
      <c r="AP14308" s="9">
        <v>3.5128500349426766</v>
      </c>
    </row>
    <row r="14309" spans="40:42" x14ac:dyDescent="0.3">
      <c r="AN14309">
        <v>14305</v>
      </c>
      <c r="AO14309" s="11">
        <v>19572.57</v>
      </c>
      <c r="AP14309" s="9">
        <v>3.028978018581522</v>
      </c>
    </row>
    <row r="14310" spans="40:42" x14ac:dyDescent="0.3">
      <c r="AN14310">
        <v>14306</v>
      </c>
      <c r="AO14310" s="11">
        <v>22021.439999999999</v>
      </c>
      <c r="AP14310" s="9">
        <v>3.2854640998314322</v>
      </c>
    </row>
    <row r="14311" spans="40:42" x14ac:dyDescent="0.3">
      <c r="AN14311">
        <v>14307</v>
      </c>
      <c r="AO14311" s="11">
        <v>49061</v>
      </c>
      <c r="AP14311" s="9">
        <v>3.7488749508092072</v>
      </c>
    </row>
    <row r="14312" spans="40:42" x14ac:dyDescent="0.3">
      <c r="AN14312">
        <v>14308</v>
      </c>
      <c r="AO14312" s="11">
        <v>31364.17</v>
      </c>
      <c r="AP14312" s="9">
        <v>3.3944525820856533</v>
      </c>
    </row>
    <row r="14313" spans="40:42" x14ac:dyDescent="0.3">
      <c r="AN14313">
        <v>14309</v>
      </c>
      <c r="AO14313" s="11">
        <v>28872.01</v>
      </c>
      <c r="AP14313" s="9">
        <v>3.8961483814126772</v>
      </c>
    </row>
    <row r="14314" spans="40:42" x14ac:dyDescent="0.3">
      <c r="AN14314">
        <v>14310</v>
      </c>
      <c r="AO14314" s="11">
        <v>47374.93</v>
      </c>
      <c r="AP14314" s="9">
        <v>4.4113160368832265</v>
      </c>
    </row>
    <row r="14315" spans="40:42" x14ac:dyDescent="0.3">
      <c r="AN14315">
        <v>14311</v>
      </c>
      <c r="AO14315" s="11">
        <v>20675.25</v>
      </c>
      <c r="AP14315" s="9">
        <v>2.9823170323168666</v>
      </c>
    </row>
    <row r="14316" spans="40:42" x14ac:dyDescent="0.3">
      <c r="AN14316">
        <v>14312</v>
      </c>
      <c r="AO14316" s="11">
        <v>15964.88</v>
      </c>
      <c r="AP14316" s="9">
        <v>2.9982020026267424</v>
      </c>
    </row>
    <row r="14317" spans="40:42" x14ac:dyDescent="0.3">
      <c r="AN14317">
        <v>14313</v>
      </c>
      <c r="AO14317" s="11">
        <v>24126.84</v>
      </c>
      <c r="AP14317" s="9">
        <v>3.7485267184458801</v>
      </c>
    </row>
    <row r="14318" spans="40:42" x14ac:dyDescent="0.3">
      <c r="AN14318">
        <v>14314</v>
      </c>
      <c r="AO14318" s="11">
        <v>23724.19</v>
      </c>
      <c r="AP14318" s="9">
        <v>2.9246431718120363</v>
      </c>
    </row>
    <row r="14319" spans="40:42" x14ac:dyDescent="0.3">
      <c r="AN14319">
        <v>14315</v>
      </c>
      <c r="AO14319" s="11">
        <v>25734.73</v>
      </c>
      <c r="AP14319" s="9">
        <v>3.3780720189378957</v>
      </c>
    </row>
    <row r="14320" spans="40:42" x14ac:dyDescent="0.3">
      <c r="AN14320">
        <v>14316</v>
      </c>
      <c r="AO14320" s="11">
        <v>25101.37</v>
      </c>
      <c r="AP14320" s="9">
        <v>2.8033812455510492</v>
      </c>
    </row>
    <row r="14321" spans="40:42" x14ac:dyDescent="0.3">
      <c r="AN14321">
        <v>14317</v>
      </c>
      <c r="AO14321" s="11">
        <v>33089.550000000003</v>
      </c>
      <c r="AP14321" s="9">
        <v>3.5294719622452417</v>
      </c>
    </row>
    <row r="14322" spans="40:42" x14ac:dyDescent="0.3">
      <c r="AN14322">
        <v>14318</v>
      </c>
      <c r="AO14322" s="11">
        <v>27774.57</v>
      </c>
      <c r="AP14322" s="9">
        <v>3.4594037890360663</v>
      </c>
    </row>
    <row r="14323" spans="40:42" x14ac:dyDescent="0.3">
      <c r="AN14323">
        <v>14319</v>
      </c>
      <c r="AO14323" s="11">
        <v>26603.5</v>
      </c>
      <c r="AP14323" s="9">
        <v>3.9021054370674055</v>
      </c>
    </row>
    <row r="14324" spans="40:42" x14ac:dyDescent="0.3">
      <c r="AN14324">
        <v>14320</v>
      </c>
      <c r="AO14324" s="11">
        <v>24322.67</v>
      </c>
      <c r="AP14324" s="9">
        <v>3.0549753278646019</v>
      </c>
    </row>
    <row r="14325" spans="40:42" x14ac:dyDescent="0.3">
      <c r="AN14325">
        <v>14321</v>
      </c>
      <c r="AO14325" s="11">
        <v>28993.29</v>
      </c>
      <c r="AP14325" s="9">
        <v>3.1139342917308408</v>
      </c>
    </row>
    <row r="14326" spans="40:42" x14ac:dyDescent="0.3">
      <c r="AN14326">
        <v>14322</v>
      </c>
      <c r="AO14326" s="11">
        <v>17264.7</v>
      </c>
      <c r="AP14326" s="9">
        <v>3.1911645131389568</v>
      </c>
    </row>
    <row r="14327" spans="40:42" x14ac:dyDescent="0.3">
      <c r="AN14327">
        <v>14323</v>
      </c>
      <c r="AO14327" s="11">
        <v>32802.29</v>
      </c>
      <c r="AP14327" s="9">
        <v>3.8015061814982292</v>
      </c>
    </row>
    <row r="14328" spans="40:42" x14ac:dyDescent="0.3">
      <c r="AN14328">
        <v>14324</v>
      </c>
      <c r="AO14328" s="11">
        <v>26696.14</v>
      </c>
      <c r="AP14328" s="9">
        <v>3.6296166139049384</v>
      </c>
    </row>
    <row r="14329" spans="40:42" x14ac:dyDescent="0.3">
      <c r="AN14329">
        <v>14325</v>
      </c>
      <c r="AO14329" s="11">
        <v>37754.660000000003</v>
      </c>
      <c r="AP14329" s="9">
        <v>2.9417451185801777</v>
      </c>
    </row>
    <row r="14330" spans="40:42" x14ac:dyDescent="0.3">
      <c r="AN14330">
        <v>14326</v>
      </c>
      <c r="AO14330" s="11">
        <v>27777.78</v>
      </c>
      <c r="AP14330" s="9">
        <v>3.5724742900689117</v>
      </c>
    </row>
    <row r="14331" spans="40:42" x14ac:dyDescent="0.3">
      <c r="AN14331">
        <v>14327</v>
      </c>
      <c r="AO14331" s="11">
        <v>29197.42</v>
      </c>
      <c r="AP14331" s="9">
        <v>3.3463488180812822</v>
      </c>
    </row>
    <row r="14332" spans="40:42" x14ac:dyDescent="0.3">
      <c r="AN14332">
        <v>14328</v>
      </c>
      <c r="AO14332" s="11">
        <v>28307.54</v>
      </c>
      <c r="AP14332" s="9">
        <v>3.4814169136517763</v>
      </c>
    </row>
    <row r="14333" spans="40:42" x14ac:dyDescent="0.3">
      <c r="AN14333">
        <v>14329</v>
      </c>
      <c r="AO14333" s="11">
        <v>24805.27</v>
      </c>
      <c r="AP14333" s="9">
        <v>3.3678867133642942</v>
      </c>
    </row>
    <row r="14334" spans="40:42" x14ac:dyDescent="0.3">
      <c r="AN14334">
        <v>14330</v>
      </c>
      <c r="AO14334" s="11">
        <v>20216.400000000001</v>
      </c>
      <c r="AP14334" s="9">
        <v>3.2088515692557626</v>
      </c>
    </row>
    <row r="14335" spans="40:42" x14ac:dyDescent="0.3">
      <c r="AN14335">
        <v>14331</v>
      </c>
      <c r="AO14335" s="11">
        <v>26906.82</v>
      </c>
      <c r="AP14335" s="9">
        <v>3.1048184857869452</v>
      </c>
    </row>
    <row r="14336" spans="40:42" x14ac:dyDescent="0.3">
      <c r="AN14336">
        <v>14332</v>
      </c>
      <c r="AO14336" s="11">
        <v>24774.89</v>
      </c>
      <c r="AP14336" s="9">
        <v>3.1419986750608051</v>
      </c>
    </row>
    <row r="14337" spans="40:42" x14ac:dyDescent="0.3">
      <c r="AN14337">
        <v>14333</v>
      </c>
      <c r="AO14337" s="11">
        <v>27762.6</v>
      </c>
      <c r="AP14337" s="9">
        <v>3.2175930801613397</v>
      </c>
    </row>
    <row r="14338" spans="40:42" x14ac:dyDescent="0.3">
      <c r="AN14338">
        <v>14334</v>
      </c>
      <c r="AO14338" s="11">
        <v>39785.89</v>
      </c>
      <c r="AP14338" s="9">
        <v>3.846967451228287</v>
      </c>
    </row>
    <row r="14339" spans="40:42" x14ac:dyDescent="0.3">
      <c r="AN14339">
        <v>14335</v>
      </c>
      <c r="AO14339" s="11">
        <v>23363.61</v>
      </c>
      <c r="AP14339" s="9">
        <v>3.9918551845582151</v>
      </c>
    </row>
    <row r="14340" spans="40:42" x14ac:dyDescent="0.3">
      <c r="AN14340">
        <v>14336</v>
      </c>
      <c r="AO14340" s="11">
        <v>27315.82</v>
      </c>
      <c r="AP14340" s="9">
        <v>3.5225587876423567</v>
      </c>
    </row>
    <row r="14341" spans="40:42" x14ac:dyDescent="0.3">
      <c r="AN14341">
        <v>14337</v>
      </c>
      <c r="AO14341" s="11">
        <v>14840.01</v>
      </c>
      <c r="AP14341" s="9">
        <v>2.7596852523785853</v>
      </c>
    </row>
    <row r="14342" spans="40:42" x14ac:dyDescent="0.3">
      <c r="AN14342">
        <v>14338</v>
      </c>
      <c r="AO14342" s="11">
        <v>8656.99</v>
      </c>
      <c r="AP14342" s="9">
        <v>3.2256540474654098</v>
      </c>
    </row>
    <row r="14343" spans="40:42" x14ac:dyDescent="0.3">
      <c r="AN14343">
        <v>14339</v>
      </c>
      <c r="AO14343" s="11">
        <v>43098.45</v>
      </c>
      <c r="AP14343" s="9">
        <v>4.0088552986010937</v>
      </c>
    </row>
    <row r="14344" spans="40:42" x14ac:dyDescent="0.3">
      <c r="AN14344">
        <v>14340</v>
      </c>
      <c r="AO14344" s="11">
        <v>26505.21</v>
      </c>
      <c r="AP14344" s="9">
        <v>3.2718932289197298</v>
      </c>
    </row>
    <row r="14345" spans="40:42" x14ac:dyDescent="0.3">
      <c r="AN14345">
        <v>14341</v>
      </c>
      <c r="AO14345" s="11">
        <v>31772.85</v>
      </c>
      <c r="AP14345" s="9">
        <v>2.7898939654465602</v>
      </c>
    </row>
    <row r="14346" spans="40:42" x14ac:dyDescent="0.3">
      <c r="AN14346">
        <v>14342</v>
      </c>
      <c r="AO14346" s="11">
        <v>28219.33</v>
      </c>
      <c r="AP14346" s="9">
        <v>3.1419652520221755</v>
      </c>
    </row>
    <row r="14347" spans="40:42" x14ac:dyDescent="0.3">
      <c r="AN14347">
        <v>14343</v>
      </c>
      <c r="AO14347" s="11">
        <v>33154.01</v>
      </c>
      <c r="AP14347" s="9">
        <v>3.6991128275195342</v>
      </c>
    </row>
    <row r="14348" spans="40:42" x14ac:dyDescent="0.3">
      <c r="AN14348">
        <v>14344</v>
      </c>
      <c r="AO14348" s="11">
        <v>27723.35</v>
      </c>
      <c r="AP14348" s="9">
        <v>3.1545314871575649</v>
      </c>
    </row>
    <row r="14349" spans="40:42" x14ac:dyDescent="0.3">
      <c r="AN14349">
        <v>14345</v>
      </c>
      <c r="AO14349" s="11">
        <v>16705.41</v>
      </c>
      <c r="AP14349" s="9">
        <v>3.171082944409565</v>
      </c>
    </row>
    <row r="14350" spans="40:42" x14ac:dyDescent="0.3">
      <c r="AN14350">
        <v>14346</v>
      </c>
      <c r="AO14350" s="11">
        <v>24674.48</v>
      </c>
      <c r="AP14350" s="9">
        <v>3.3230266185715553</v>
      </c>
    </row>
    <row r="14351" spans="40:42" x14ac:dyDescent="0.3">
      <c r="AN14351">
        <v>14347</v>
      </c>
      <c r="AO14351" s="11">
        <v>31546.93</v>
      </c>
      <c r="AP14351" s="9">
        <v>3.450749819568967</v>
      </c>
    </row>
    <row r="14352" spans="40:42" x14ac:dyDescent="0.3">
      <c r="AN14352">
        <v>14348</v>
      </c>
      <c r="AO14352" s="11">
        <v>24185.95</v>
      </c>
      <c r="AP14352" s="9">
        <v>2.9930403469225824</v>
      </c>
    </row>
    <row r="14353" spans="40:42" x14ac:dyDescent="0.3">
      <c r="AN14353">
        <v>14349</v>
      </c>
      <c r="AO14353" s="11">
        <v>32560.85</v>
      </c>
      <c r="AP14353" s="9">
        <v>3.0830155911829973</v>
      </c>
    </row>
    <row r="14354" spans="40:42" x14ac:dyDescent="0.3">
      <c r="AN14354">
        <v>14350</v>
      </c>
      <c r="AO14354" s="11">
        <v>32034.27</v>
      </c>
      <c r="AP14354" s="9">
        <v>4.1671932510030993</v>
      </c>
    </row>
    <row r="14355" spans="40:42" x14ac:dyDescent="0.3">
      <c r="AN14355">
        <v>14351</v>
      </c>
      <c r="AO14355" s="11">
        <v>18159.25</v>
      </c>
      <c r="AP14355" s="9">
        <v>3.2337391493897312</v>
      </c>
    </row>
    <row r="14356" spans="40:42" x14ac:dyDescent="0.3">
      <c r="AN14356">
        <v>14352</v>
      </c>
      <c r="AO14356" s="11">
        <v>30194.84</v>
      </c>
      <c r="AP14356" s="9">
        <v>3.5498754303648141</v>
      </c>
    </row>
    <row r="14357" spans="40:42" x14ac:dyDescent="0.3">
      <c r="AN14357">
        <v>14353</v>
      </c>
      <c r="AO14357" s="11">
        <v>38065.760000000002</v>
      </c>
      <c r="AP14357" s="9">
        <v>4.3420137037631319</v>
      </c>
    </row>
    <row r="14358" spans="40:42" x14ac:dyDescent="0.3">
      <c r="AN14358">
        <v>14354</v>
      </c>
      <c r="AO14358" s="11">
        <v>23253.91</v>
      </c>
      <c r="AP14358" s="9">
        <v>3.1302604796984697</v>
      </c>
    </row>
    <row r="14359" spans="40:42" x14ac:dyDescent="0.3">
      <c r="AN14359">
        <v>14355</v>
      </c>
      <c r="AO14359" s="11">
        <v>26856.400000000001</v>
      </c>
      <c r="AP14359" s="9">
        <v>3.0935726800844905</v>
      </c>
    </row>
    <row r="14360" spans="40:42" x14ac:dyDescent="0.3">
      <c r="AN14360">
        <v>14356</v>
      </c>
      <c r="AO14360" s="11">
        <v>31904.21</v>
      </c>
      <c r="AP14360" s="9">
        <v>3.2795546260957256</v>
      </c>
    </row>
    <row r="14361" spans="40:42" x14ac:dyDescent="0.3">
      <c r="AN14361">
        <v>14357</v>
      </c>
      <c r="AO14361" s="11">
        <v>20888.52</v>
      </c>
      <c r="AP14361" s="9">
        <v>3.3717178629138114</v>
      </c>
    </row>
    <row r="14362" spans="40:42" x14ac:dyDescent="0.3">
      <c r="AN14362">
        <v>14358</v>
      </c>
      <c r="AO14362" s="11">
        <v>15650.89</v>
      </c>
      <c r="AP14362" s="9">
        <v>3.4773351636645682</v>
      </c>
    </row>
    <row r="14363" spans="40:42" x14ac:dyDescent="0.3">
      <c r="AN14363">
        <v>14359</v>
      </c>
      <c r="AO14363" s="11">
        <v>24671.05</v>
      </c>
      <c r="AP14363" s="9">
        <v>3.2564734181747941</v>
      </c>
    </row>
    <row r="14364" spans="40:42" x14ac:dyDescent="0.3">
      <c r="AN14364">
        <v>14360</v>
      </c>
      <c r="AO14364" s="11">
        <v>14779.4</v>
      </c>
      <c r="AP14364" s="9">
        <v>3.0498723627902735</v>
      </c>
    </row>
    <row r="14365" spans="40:42" x14ac:dyDescent="0.3">
      <c r="AN14365">
        <v>14361</v>
      </c>
      <c r="AO14365" s="11">
        <v>20739.41</v>
      </c>
      <c r="AP14365" s="9">
        <v>3.2035133958270503</v>
      </c>
    </row>
    <row r="14366" spans="40:42" x14ac:dyDescent="0.3">
      <c r="AN14366">
        <v>14362</v>
      </c>
      <c r="AO14366" s="11">
        <v>21189.32</v>
      </c>
      <c r="AP14366" s="9">
        <v>2.8352631536763275</v>
      </c>
    </row>
    <row r="14367" spans="40:42" x14ac:dyDescent="0.3">
      <c r="AN14367">
        <v>14363</v>
      </c>
      <c r="AO14367" s="11">
        <v>34950.79</v>
      </c>
      <c r="AP14367" s="9">
        <v>3.643764953544975</v>
      </c>
    </row>
    <row r="14368" spans="40:42" x14ac:dyDescent="0.3">
      <c r="AN14368">
        <v>14364</v>
      </c>
      <c r="AO14368" s="11">
        <v>17903.05</v>
      </c>
      <c r="AP14368" s="9">
        <v>3.1040925489085147</v>
      </c>
    </row>
    <row r="14369" spans="40:42" x14ac:dyDescent="0.3">
      <c r="AN14369">
        <v>14365</v>
      </c>
      <c r="AO14369" s="11">
        <v>21560.99</v>
      </c>
      <c r="AP14369" s="9">
        <v>2.9384102264183478</v>
      </c>
    </row>
    <row r="14370" spans="40:42" x14ac:dyDescent="0.3">
      <c r="AN14370">
        <v>14366</v>
      </c>
      <c r="AO14370" s="11">
        <v>28816.58</v>
      </c>
      <c r="AP14370" s="9">
        <v>3.333321847166681</v>
      </c>
    </row>
    <row r="14371" spans="40:42" x14ac:dyDescent="0.3">
      <c r="AN14371">
        <v>14367</v>
      </c>
      <c r="AO14371" s="11">
        <v>18433.16</v>
      </c>
      <c r="AP14371" s="9">
        <v>3.5465301791526369</v>
      </c>
    </row>
    <row r="14372" spans="40:42" x14ac:dyDescent="0.3">
      <c r="AN14372">
        <v>14368</v>
      </c>
      <c r="AO14372" s="11">
        <v>32929.760000000002</v>
      </c>
      <c r="AP14372" s="9">
        <v>3.3517815711654064</v>
      </c>
    </row>
    <row r="14373" spans="40:42" x14ac:dyDescent="0.3">
      <c r="AN14373">
        <v>14369</v>
      </c>
      <c r="AO14373" s="11">
        <v>19681.11</v>
      </c>
      <c r="AP14373" s="9">
        <v>3.5307443381329913</v>
      </c>
    </row>
    <row r="14374" spans="40:42" x14ac:dyDescent="0.3">
      <c r="AN14374">
        <v>14370</v>
      </c>
      <c r="AO14374" s="11">
        <v>21147.98</v>
      </c>
      <c r="AP14374" s="9">
        <v>2.8491024021269875</v>
      </c>
    </row>
    <row r="14375" spans="40:42" x14ac:dyDescent="0.3">
      <c r="AN14375">
        <v>14371</v>
      </c>
      <c r="AO14375" s="11">
        <v>29565.34</v>
      </c>
      <c r="AP14375" s="9">
        <v>3.4655154488355313</v>
      </c>
    </row>
    <row r="14376" spans="40:42" x14ac:dyDescent="0.3">
      <c r="AN14376">
        <v>14372</v>
      </c>
      <c r="AO14376" s="11">
        <v>27070.26</v>
      </c>
      <c r="AP14376" s="9">
        <v>3.374618084716237</v>
      </c>
    </row>
    <row r="14377" spans="40:42" x14ac:dyDescent="0.3">
      <c r="AN14377">
        <v>14373</v>
      </c>
      <c r="AO14377" s="11">
        <v>35559.019999999997</v>
      </c>
      <c r="AP14377" s="9">
        <v>3.1266259094131574</v>
      </c>
    </row>
    <row r="14378" spans="40:42" x14ac:dyDescent="0.3">
      <c r="AN14378">
        <v>14374</v>
      </c>
      <c r="AO14378" s="11">
        <v>29534.46</v>
      </c>
      <c r="AP14378" s="9">
        <v>2.6325514708644642</v>
      </c>
    </row>
    <row r="14379" spans="40:42" x14ac:dyDescent="0.3">
      <c r="AN14379">
        <v>14375</v>
      </c>
      <c r="AO14379" s="11">
        <v>22334.14</v>
      </c>
      <c r="AP14379" s="9">
        <v>2.6076016739886883</v>
      </c>
    </row>
    <row r="14380" spans="40:42" x14ac:dyDescent="0.3">
      <c r="AN14380">
        <v>14376</v>
      </c>
      <c r="AO14380" s="11">
        <v>26593.77</v>
      </c>
      <c r="AP14380" s="9">
        <v>3.7322062488989451</v>
      </c>
    </row>
    <row r="14381" spans="40:42" x14ac:dyDescent="0.3">
      <c r="AN14381">
        <v>14377</v>
      </c>
      <c r="AO14381" s="11">
        <v>30833.599999999999</v>
      </c>
      <c r="AP14381" s="9">
        <v>2.9532900878710704</v>
      </c>
    </row>
    <row r="14382" spans="40:42" x14ac:dyDescent="0.3">
      <c r="AN14382">
        <v>14378</v>
      </c>
      <c r="AO14382" s="11">
        <v>33971.919999999998</v>
      </c>
      <c r="AP14382" s="9">
        <v>3.3695310460192927</v>
      </c>
    </row>
    <row r="14383" spans="40:42" x14ac:dyDescent="0.3">
      <c r="AN14383">
        <v>14379</v>
      </c>
      <c r="AO14383" s="11">
        <v>20731.419999999998</v>
      </c>
      <c r="AP14383" s="9">
        <v>3.2368264785952756</v>
      </c>
    </row>
    <row r="14384" spans="40:42" x14ac:dyDescent="0.3">
      <c r="AN14384">
        <v>14380</v>
      </c>
      <c r="AO14384" s="11">
        <v>16558.54</v>
      </c>
      <c r="AP14384" s="9">
        <v>3.9503409383091008</v>
      </c>
    </row>
    <row r="14385" spans="40:42" x14ac:dyDescent="0.3">
      <c r="AN14385">
        <v>14381</v>
      </c>
      <c r="AO14385" s="11">
        <v>14829.46</v>
      </c>
      <c r="AP14385" s="9">
        <v>2.688907939168184</v>
      </c>
    </row>
    <row r="14386" spans="40:42" x14ac:dyDescent="0.3">
      <c r="AN14386">
        <v>14382</v>
      </c>
      <c r="AO14386" s="11">
        <v>19711.96</v>
      </c>
      <c r="AP14386" s="9">
        <v>2.8357875465063267</v>
      </c>
    </row>
    <row r="14387" spans="40:42" x14ac:dyDescent="0.3">
      <c r="AN14387">
        <v>14383</v>
      </c>
      <c r="AO14387" s="11">
        <v>19170.5</v>
      </c>
      <c r="AP14387" s="9">
        <v>2.6185861677133406</v>
      </c>
    </row>
    <row r="14388" spans="40:42" x14ac:dyDescent="0.3">
      <c r="AN14388">
        <v>14384</v>
      </c>
      <c r="AO14388" s="11">
        <v>21525.57</v>
      </c>
      <c r="AP14388" s="9">
        <v>3.3633176974505052</v>
      </c>
    </row>
    <row r="14389" spans="40:42" x14ac:dyDescent="0.3">
      <c r="AN14389">
        <v>14385</v>
      </c>
      <c r="AO14389" s="11">
        <v>23509.65</v>
      </c>
      <c r="AP14389" s="9">
        <v>3.305138267182588</v>
      </c>
    </row>
    <row r="14390" spans="40:42" x14ac:dyDescent="0.3">
      <c r="AN14390">
        <v>14386</v>
      </c>
      <c r="AO14390" s="11">
        <v>46731.55</v>
      </c>
      <c r="AP14390" s="9">
        <v>3.2301392367885828</v>
      </c>
    </row>
    <row r="14391" spans="40:42" x14ac:dyDescent="0.3">
      <c r="AN14391">
        <v>14387</v>
      </c>
      <c r="AO14391" s="11">
        <v>40630.25</v>
      </c>
      <c r="AP14391" s="9">
        <v>3.7344709045191022</v>
      </c>
    </row>
    <row r="14392" spans="40:42" x14ac:dyDescent="0.3">
      <c r="AN14392">
        <v>14388</v>
      </c>
      <c r="AO14392" s="11">
        <v>27940.01</v>
      </c>
      <c r="AP14392" s="9">
        <v>3.4345413429202507</v>
      </c>
    </row>
    <row r="14393" spans="40:42" x14ac:dyDescent="0.3">
      <c r="AN14393">
        <v>14389</v>
      </c>
      <c r="AO14393" s="11">
        <v>23625.95</v>
      </c>
      <c r="AP14393" s="9">
        <v>3.3692046032495759</v>
      </c>
    </row>
    <row r="14394" spans="40:42" x14ac:dyDescent="0.3">
      <c r="AN14394">
        <v>14390</v>
      </c>
      <c r="AO14394" s="11">
        <v>23096.62</v>
      </c>
      <c r="AP14394" s="9">
        <v>3.4088445465295991</v>
      </c>
    </row>
    <row r="14395" spans="40:42" x14ac:dyDescent="0.3">
      <c r="AN14395">
        <v>14391</v>
      </c>
      <c r="AO14395" s="11">
        <v>23327.47</v>
      </c>
      <c r="AP14395" s="9">
        <v>3.4265452882445651</v>
      </c>
    </row>
    <row r="14396" spans="40:42" x14ac:dyDescent="0.3">
      <c r="AN14396">
        <v>14392</v>
      </c>
      <c r="AO14396" s="11">
        <v>25049.24</v>
      </c>
      <c r="AP14396" s="9">
        <v>3.796517649256312</v>
      </c>
    </row>
    <row r="14397" spans="40:42" x14ac:dyDescent="0.3">
      <c r="AN14397">
        <v>14393</v>
      </c>
      <c r="AO14397" s="11">
        <v>22690.560000000001</v>
      </c>
      <c r="AP14397" s="9">
        <v>3.5695076049265548</v>
      </c>
    </row>
    <row r="14398" spans="40:42" x14ac:dyDescent="0.3">
      <c r="AN14398">
        <v>14394</v>
      </c>
      <c r="AO14398" s="11">
        <v>23664.6</v>
      </c>
      <c r="AP14398" s="9">
        <v>3.3618869892992023</v>
      </c>
    </row>
    <row r="14399" spans="40:42" x14ac:dyDescent="0.3">
      <c r="AN14399">
        <v>14395</v>
      </c>
      <c r="AO14399" s="11">
        <v>30121.14</v>
      </c>
      <c r="AP14399" s="9">
        <v>3.4808936749577555</v>
      </c>
    </row>
    <row r="14400" spans="40:42" x14ac:dyDescent="0.3">
      <c r="AN14400">
        <v>14396</v>
      </c>
      <c r="AO14400" s="11">
        <v>16795.22</v>
      </c>
      <c r="AP14400" s="9">
        <v>2.5694533001957094</v>
      </c>
    </row>
    <row r="14401" spans="40:42" x14ac:dyDescent="0.3">
      <c r="AN14401">
        <v>14397</v>
      </c>
      <c r="AO14401" s="11">
        <v>26409.15</v>
      </c>
      <c r="AP14401" s="9">
        <v>3.0266905164830984</v>
      </c>
    </row>
    <row r="14402" spans="40:42" x14ac:dyDescent="0.3">
      <c r="AN14402">
        <v>14398</v>
      </c>
      <c r="AO14402" s="11">
        <v>28629.22</v>
      </c>
      <c r="AP14402" s="9">
        <v>3.4278462444064473</v>
      </c>
    </row>
    <row r="14403" spans="40:42" x14ac:dyDescent="0.3">
      <c r="AN14403">
        <v>14399</v>
      </c>
      <c r="AO14403" s="11">
        <v>30139.88</v>
      </c>
      <c r="AP14403" s="9">
        <v>3.4324096479282691</v>
      </c>
    </row>
    <row r="14404" spans="40:42" x14ac:dyDescent="0.3">
      <c r="AN14404">
        <v>14400</v>
      </c>
      <c r="AO14404" s="11">
        <v>23447.040000000001</v>
      </c>
      <c r="AP14404" s="9">
        <v>3.2643834141170407</v>
      </c>
    </row>
    <row r="14405" spans="40:42" x14ac:dyDescent="0.3">
      <c r="AN14405">
        <v>14401</v>
      </c>
      <c r="AO14405" s="11">
        <v>24029.56</v>
      </c>
      <c r="AP14405" s="9">
        <v>4.0048146765804038</v>
      </c>
    </row>
    <row r="14406" spans="40:42" x14ac:dyDescent="0.3">
      <c r="AN14406">
        <v>14402</v>
      </c>
      <c r="AO14406" s="11">
        <v>33810.480000000003</v>
      </c>
      <c r="AP14406" s="9">
        <v>3.2822038331783361</v>
      </c>
    </row>
    <row r="14407" spans="40:42" x14ac:dyDescent="0.3">
      <c r="AN14407">
        <v>14403</v>
      </c>
      <c r="AO14407" s="11">
        <v>17314.849999999999</v>
      </c>
      <c r="AP14407" s="9">
        <v>3.0756004049255137</v>
      </c>
    </row>
    <row r="14408" spans="40:42" x14ac:dyDescent="0.3">
      <c r="AN14408">
        <v>14404</v>
      </c>
      <c r="AO14408" s="11">
        <v>21631.03</v>
      </c>
      <c r="AP14408" s="9">
        <v>3.3375242257877349</v>
      </c>
    </row>
    <row r="14409" spans="40:42" x14ac:dyDescent="0.3">
      <c r="AN14409">
        <v>14405</v>
      </c>
      <c r="AO14409" s="11">
        <v>22143.63</v>
      </c>
      <c r="AP14409" s="9">
        <v>3.3044432827490562</v>
      </c>
    </row>
    <row r="14410" spans="40:42" x14ac:dyDescent="0.3">
      <c r="AN14410">
        <v>14406</v>
      </c>
      <c r="AO14410" s="11">
        <v>34735.050000000003</v>
      </c>
      <c r="AP14410" s="9">
        <v>3.9269807189658934</v>
      </c>
    </row>
    <row r="14411" spans="40:42" x14ac:dyDescent="0.3">
      <c r="AN14411">
        <v>14407</v>
      </c>
      <c r="AO14411" s="11">
        <v>27641.63</v>
      </c>
      <c r="AP14411" s="9">
        <v>3.3788742384035935</v>
      </c>
    </row>
    <row r="14412" spans="40:42" x14ac:dyDescent="0.3">
      <c r="AN14412">
        <v>14408</v>
      </c>
      <c r="AO14412" s="11">
        <v>31930.75</v>
      </c>
      <c r="AP14412" s="9">
        <v>3.3130358765257428</v>
      </c>
    </row>
    <row r="14413" spans="40:42" x14ac:dyDescent="0.3">
      <c r="AN14413">
        <v>14409</v>
      </c>
      <c r="AO14413" s="11">
        <v>36916.1</v>
      </c>
      <c r="AP14413" s="9">
        <v>3.5840553019146895</v>
      </c>
    </row>
    <row r="14414" spans="40:42" x14ac:dyDescent="0.3">
      <c r="AN14414">
        <v>14410</v>
      </c>
      <c r="AO14414" s="11">
        <v>43302.07</v>
      </c>
      <c r="AP14414" s="9">
        <v>3.9278094922661646</v>
      </c>
    </row>
    <row r="14415" spans="40:42" x14ac:dyDescent="0.3">
      <c r="AN14415">
        <v>14411</v>
      </c>
      <c r="AO14415" s="11">
        <v>28215.279999999999</v>
      </c>
      <c r="AP14415" s="9">
        <v>3.8626099384715431</v>
      </c>
    </row>
    <row r="14416" spans="40:42" x14ac:dyDescent="0.3">
      <c r="AN14416">
        <v>14412</v>
      </c>
      <c r="AO14416" s="11">
        <v>30353.45</v>
      </c>
      <c r="AP14416" s="9">
        <v>3.6685962640746048</v>
      </c>
    </row>
    <row r="14417" spans="40:42" x14ac:dyDescent="0.3">
      <c r="AN14417">
        <v>14413</v>
      </c>
      <c r="AO14417" s="11">
        <v>24636.03</v>
      </c>
      <c r="AP14417" s="9">
        <v>3.1265248108822146</v>
      </c>
    </row>
    <row r="14418" spans="40:42" x14ac:dyDescent="0.3">
      <c r="AN14418">
        <v>14414</v>
      </c>
      <c r="AO14418" s="11">
        <v>25146.15</v>
      </c>
      <c r="AP14418" s="9">
        <v>3.2854142537321445</v>
      </c>
    </row>
    <row r="14419" spans="40:42" x14ac:dyDescent="0.3">
      <c r="AN14419">
        <v>14415</v>
      </c>
      <c r="AO14419" s="11">
        <v>27377.82</v>
      </c>
      <c r="AP14419" s="9">
        <v>3.3343186278994952</v>
      </c>
    </row>
    <row r="14420" spans="40:42" x14ac:dyDescent="0.3">
      <c r="AN14420">
        <v>14416</v>
      </c>
      <c r="AO14420" s="11">
        <v>31603.22</v>
      </c>
      <c r="AP14420" s="9">
        <v>3.2580432936703052</v>
      </c>
    </row>
    <row r="14421" spans="40:42" x14ac:dyDescent="0.3">
      <c r="AN14421">
        <v>14417</v>
      </c>
      <c r="AO14421" s="11">
        <v>32518.81</v>
      </c>
      <c r="AP14421" s="9">
        <v>3.4768477177763901</v>
      </c>
    </row>
    <row r="14422" spans="40:42" x14ac:dyDescent="0.3">
      <c r="AN14422">
        <v>14418</v>
      </c>
      <c r="AO14422" s="11">
        <v>35479.69</v>
      </c>
      <c r="AP14422" s="9">
        <v>3.4987327309751239</v>
      </c>
    </row>
    <row r="14423" spans="40:42" x14ac:dyDescent="0.3">
      <c r="AN14423">
        <v>14419</v>
      </c>
      <c r="AO14423" s="11">
        <v>25554.58</v>
      </c>
      <c r="AP14423" s="9">
        <v>3.0681814362445903</v>
      </c>
    </row>
    <row r="14424" spans="40:42" x14ac:dyDescent="0.3">
      <c r="AN14424">
        <v>14420</v>
      </c>
      <c r="AO14424" s="11">
        <v>25252.09</v>
      </c>
      <c r="AP14424" s="9">
        <v>3.500480632004312</v>
      </c>
    </row>
    <row r="14425" spans="40:42" x14ac:dyDescent="0.3">
      <c r="AN14425">
        <v>14421</v>
      </c>
      <c r="AO14425" s="11">
        <v>22606.98</v>
      </c>
      <c r="AP14425" s="9">
        <v>3.3019222054752277</v>
      </c>
    </row>
    <row r="14426" spans="40:42" x14ac:dyDescent="0.3">
      <c r="AN14426">
        <v>14422</v>
      </c>
      <c r="AO14426" s="11">
        <v>35445.29</v>
      </c>
      <c r="AP14426" s="9">
        <v>2.9977887423953327</v>
      </c>
    </row>
    <row r="14427" spans="40:42" x14ac:dyDescent="0.3">
      <c r="AN14427">
        <v>14423</v>
      </c>
      <c r="AO14427" s="11">
        <v>28567.38</v>
      </c>
      <c r="AP14427" s="9">
        <v>3.686040201077994</v>
      </c>
    </row>
    <row r="14428" spans="40:42" x14ac:dyDescent="0.3">
      <c r="AN14428">
        <v>14424</v>
      </c>
      <c r="AO14428" s="11">
        <v>38230.43</v>
      </c>
      <c r="AP14428" s="9">
        <v>3.3735227019789615</v>
      </c>
    </row>
    <row r="14429" spans="40:42" x14ac:dyDescent="0.3">
      <c r="AN14429">
        <v>14425</v>
      </c>
      <c r="AO14429" s="11">
        <v>20362.72</v>
      </c>
      <c r="AP14429" s="9">
        <v>2.7278448877544057</v>
      </c>
    </row>
    <row r="14430" spans="40:42" x14ac:dyDescent="0.3">
      <c r="AN14430">
        <v>14426</v>
      </c>
      <c r="AO14430" s="11">
        <v>26328.05</v>
      </c>
      <c r="AP14430" s="9">
        <v>2.9547134357196447</v>
      </c>
    </row>
    <row r="14431" spans="40:42" x14ac:dyDescent="0.3">
      <c r="AN14431">
        <v>14427</v>
      </c>
      <c r="AO14431" s="11">
        <v>34005.5</v>
      </c>
      <c r="AP14431" s="9">
        <v>3.4426992303756947</v>
      </c>
    </row>
    <row r="14432" spans="40:42" x14ac:dyDescent="0.3">
      <c r="AN14432">
        <v>14428</v>
      </c>
      <c r="AO14432" s="11">
        <v>29007.81</v>
      </c>
      <c r="AP14432" s="9">
        <v>3.2404192597912416</v>
      </c>
    </row>
    <row r="14433" spans="40:42" x14ac:dyDescent="0.3">
      <c r="AN14433">
        <v>14429</v>
      </c>
      <c r="AO14433" s="11">
        <v>33130.74</v>
      </c>
      <c r="AP14433" s="9">
        <v>3.5380716795965501</v>
      </c>
    </row>
    <row r="14434" spans="40:42" x14ac:dyDescent="0.3">
      <c r="AN14434">
        <v>14430</v>
      </c>
      <c r="AO14434" s="11">
        <v>31726.91</v>
      </c>
      <c r="AP14434" s="9">
        <v>3.5087663552363137</v>
      </c>
    </row>
    <row r="14435" spans="40:42" x14ac:dyDescent="0.3">
      <c r="AN14435">
        <v>14431</v>
      </c>
      <c r="AO14435" s="11">
        <v>24688.05</v>
      </c>
      <c r="AP14435" s="9">
        <v>3.1344925261253027</v>
      </c>
    </row>
    <row r="14436" spans="40:42" x14ac:dyDescent="0.3">
      <c r="AN14436">
        <v>14432</v>
      </c>
      <c r="AO14436" s="11">
        <v>26259.32</v>
      </c>
      <c r="AP14436" s="9">
        <v>4.3165359737800246</v>
      </c>
    </row>
    <row r="14437" spans="40:42" x14ac:dyDescent="0.3">
      <c r="AN14437">
        <v>14433</v>
      </c>
      <c r="AO14437" s="11">
        <v>24043.09</v>
      </c>
      <c r="AP14437" s="9">
        <v>3.177600272363569</v>
      </c>
    </row>
    <row r="14438" spans="40:42" x14ac:dyDescent="0.3">
      <c r="AN14438">
        <v>14434</v>
      </c>
      <c r="AO14438" s="11">
        <v>24712.39</v>
      </c>
      <c r="AP14438" s="9">
        <v>2.7970921732119192</v>
      </c>
    </row>
    <row r="14439" spans="40:42" x14ac:dyDescent="0.3">
      <c r="AN14439">
        <v>14435</v>
      </c>
      <c r="AO14439" s="11">
        <v>18011.189999999999</v>
      </c>
      <c r="AP14439" s="9">
        <v>3.6451911141828606</v>
      </c>
    </row>
    <row r="14440" spans="40:42" x14ac:dyDescent="0.3">
      <c r="AN14440">
        <v>14436</v>
      </c>
      <c r="AO14440" s="11">
        <v>26526.75</v>
      </c>
      <c r="AP14440" s="9">
        <v>3.5680469617557535</v>
      </c>
    </row>
    <row r="14441" spans="40:42" x14ac:dyDescent="0.3">
      <c r="AN14441">
        <v>14437</v>
      </c>
      <c r="AO14441" s="11">
        <v>15930.48</v>
      </c>
      <c r="AP14441" s="9">
        <v>3.3618070530668716</v>
      </c>
    </row>
    <row r="14442" spans="40:42" x14ac:dyDescent="0.3">
      <c r="AN14442">
        <v>14438</v>
      </c>
      <c r="AO14442" s="11">
        <v>32800.67</v>
      </c>
      <c r="AP14442" s="9">
        <v>3.7445577791781299</v>
      </c>
    </row>
    <row r="14443" spans="40:42" x14ac:dyDescent="0.3">
      <c r="AN14443">
        <v>14439</v>
      </c>
      <c r="AO14443" s="11">
        <v>19675.560000000001</v>
      </c>
      <c r="AP14443" s="9">
        <v>4.0330009666617732</v>
      </c>
    </row>
    <row r="14444" spans="40:42" x14ac:dyDescent="0.3">
      <c r="AN14444">
        <v>14440</v>
      </c>
      <c r="AO14444" s="11">
        <v>32123.200000000001</v>
      </c>
      <c r="AP14444" s="9">
        <v>3.752055869964618</v>
      </c>
    </row>
    <row r="14445" spans="40:42" x14ac:dyDescent="0.3">
      <c r="AN14445">
        <v>14441</v>
      </c>
      <c r="AO14445" s="11">
        <v>36708.75</v>
      </c>
      <c r="AP14445" s="9">
        <v>3.6549726619966516</v>
      </c>
    </row>
    <row r="14446" spans="40:42" x14ac:dyDescent="0.3">
      <c r="AN14446">
        <v>14442</v>
      </c>
      <c r="AO14446" s="11">
        <v>29352.3</v>
      </c>
      <c r="AP14446" s="9">
        <v>3.0188550842125936</v>
      </c>
    </row>
    <row r="14447" spans="40:42" x14ac:dyDescent="0.3">
      <c r="AN14447">
        <v>14443</v>
      </c>
      <c r="AO14447" s="11">
        <v>26708.79</v>
      </c>
      <c r="AP14447" s="9">
        <v>3.0626269063365994</v>
      </c>
    </row>
    <row r="14448" spans="40:42" x14ac:dyDescent="0.3">
      <c r="AN14448">
        <v>14444</v>
      </c>
      <c r="AO14448" s="11">
        <v>21075</v>
      </c>
      <c r="AP14448" s="9">
        <v>3.2555376463165606</v>
      </c>
    </row>
    <row r="14449" spans="40:42" x14ac:dyDescent="0.3">
      <c r="AN14449">
        <v>14445</v>
      </c>
      <c r="AO14449" s="11">
        <v>34577.81</v>
      </c>
      <c r="AP14449" s="9">
        <v>3.3857472777972246</v>
      </c>
    </row>
    <row r="14450" spans="40:42" x14ac:dyDescent="0.3">
      <c r="AN14450">
        <v>14446</v>
      </c>
      <c r="AO14450" s="11">
        <v>46575.58</v>
      </c>
      <c r="AP14450" s="9">
        <v>4.3374652518592978</v>
      </c>
    </row>
    <row r="14451" spans="40:42" x14ac:dyDescent="0.3">
      <c r="AN14451">
        <v>14447</v>
      </c>
      <c r="AO14451" s="11">
        <v>27989.8</v>
      </c>
      <c r="AP14451" s="9">
        <v>3.7301948460221181</v>
      </c>
    </row>
    <row r="14452" spans="40:42" x14ac:dyDescent="0.3">
      <c r="AN14452">
        <v>14448</v>
      </c>
      <c r="AO14452" s="11">
        <v>25726.89</v>
      </c>
      <c r="AP14452" s="9">
        <v>3.174440541434238</v>
      </c>
    </row>
    <row r="14453" spans="40:42" x14ac:dyDescent="0.3">
      <c r="AN14453">
        <v>14449</v>
      </c>
      <c r="AO14453" s="11">
        <v>24863.54</v>
      </c>
      <c r="AP14453" s="9">
        <v>3.5748472738332242</v>
      </c>
    </row>
    <row r="14454" spans="40:42" x14ac:dyDescent="0.3">
      <c r="AN14454">
        <v>14450</v>
      </c>
      <c r="AO14454" s="11">
        <v>23025.57</v>
      </c>
      <c r="AP14454" s="9">
        <v>3.3573283674753669</v>
      </c>
    </row>
    <row r="14455" spans="40:42" x14ac:dyDescent="0.3">
      <c r="AN14455">
        <v>14451</v>
      </c>
      <c r="AO14455" s="11">
        <v>35770.879999999997</v>
      </c>
      <c r="AP14455" s="9">
        <v>3.5001622217595996</v>
      </c>
    </row>
    <row r="14456" spans="40:42" x14ac:dyDescent="0.3">
      <c r="AN14456">
        <v>14452</v>
      </c>
      <c r="AO14456" s="11">
        <v>13198.02</v>
      </c>
      <c r="AP14456" s="9">
        <v>3.3113858750038911</v>
      </c>
    </row>
    <row r="14457" spans="40:42" x14ac:dyDescent="0.3">
      <c r="AN14457">
        <v>14453</v>
      </c>
      <c r="AO14457" s="11">
        <v>20569.95</v>
      </c>
      <c r="AP14457" s="9">
        <v>3.8219024831392998</v>
      </c>
    </row>
    <row r="14458" spans="40:42" x14ac:dyDescent="0.3">
      <c r="AN14458">
        <v>14454</v>
      </c>
      <c r="AO14458" s="11">
        <v>35279.17</v>
      </c>
      <c r="AP14458" s="9">
        <v>3.3120018686882533</v>
      </c>
    </row>
    <row r="14459" spans="40:42" x14ac:dyDescent="0.3">
      <c r="AN14459">
        <v>14455</v>
      </c>
      <c r="AO14459" s="11">
        <v>14309.44</v>
      </c>
      <c r="AP14459" s="9">
        <v>2.769143066478962</v>
      </c>
    </row>
    <row r="14460" spans="40:42" x14ac:dyDescent="0.3">
      <c r="AN14460">
        <v>14456</v>
      </c>
      <c r="AO14460" s="11">
        <v>35349.040000000001</v>
      </c>
      <c r="AP14460" s="9">
        <v>3.1356755232640299</v>
      </c>
    </row>
    <row r="14461" spans="40:42" x14ac:dyDescent="0.3">
      <c r="AN14461">
        <v>14457</v>
      </c>
      <c r="AO14461" s="11">
        <v>30268.25</v>
      </c>
      <c r="AP14461" s="9">
        <v>3.4189823427874386</v>
      </c>
    </row>
    <row r="14462" spans="40:42" x14ac:dyDescent="0.3">
      <c r="AN14462">
        <v>14458</v>
      </c>
      <c r="AO14462" s="11">
        <v>33524.400000000001</v>
      </c>
      <c r="AP14462" s="9">
        <v>4.2087723215242088</v>
      </c>
    </row>
    <row r="14463" spans="40:42" x14ac:dyDescent="0.3">
      <c r="AN14463">
        <v>14459</v>
      </c>
      <c r="AO14463" s="11">
        <v>28074.81</v>
      </c>
      <c r="AP14463" s="9">
        <v>3.0074816711246704</v>
      </c>
    </row>
    <row r="14464" spans="40:42" x14ac:dyDescent="0.3">
      <c r="AN14464">
        <v>14460</v>
      </c>
      <c r="AO14464" s="11">
        <v>37812.980000000003</v>
      </c>
      <c r="AP14464" s="9">
        <v>3.5885392267800738</v>
      </c>
    </row>
    <row r="14465" spans="40:42" x14ac:dyDescent="0.3">
      <c r="AN14465">
        <v>14461</v>
      </c>
      <c r="AO14465" s="11">
        <v>24623.32</v>
      </c>
      <c r="AP14465" s="9">
        <v>3.2826704096988131</v>
      </c>
    </row>
    <row r="14466" spans="40:42" x14ac:dyDescent="0.3">
      <c r="AN14466">
        <v>14462</v>
      </c>
      <c r="AO14466" s="11">
        <v>33126.43</v>
      </c>
      <c r="AP14466" s="9">
        <v>3.4875955376259005</v>
      </c>
    </row>
    <row r="14467" spans="40:42" x14ac:dyDescent="0.3">
      <c r="AN14467">
        <v>14463</v>
      </c>
      <c r="AO14467" s="11">
        <v>43751.07</v>
      </c>
      <c r="AP14467" s="9">
        <v>4.1396561968949293</v>
      </c>
    </row>
    <row r="14468" spans="40:42" x14ac:dyDescent="0.3">
      <c r="AN14468">
        <v>14464</v>
      </c>
      <c r="AO14468" s="11">
        <v>24892.11</v>
      </c>
      <c r="AP14468" s="9">
        <v>3.0932116645465677</v>
      </c>
    </row>
    <row r="14469" spans="40:42" x14ac:dyDescent="0.3">
      <c r="AN14469">
        <v>14465</v>
      </c>
      <c r="AO14469" s="11">
        <v>24647.39</v>
      </c>
      <c r="AP14469" s="9">
        <v>3.2982012296613488</v>
      </c>
    </row>
    <row r="14470" spans="40:42" x14ac:dyDescent="0.3">
      <c r="AN14470">
        <v>14466</v>
      </c>
      <c r="AO14470" s="11">
        <v>33271.629999999997</v>
      </c>
      <c r="AP14470" s="9">
        <v>4.5420196514574345</v>
      </c>
    </row>
    <row r="14471" spans="40:42" x14ac:dyDescent="0.3">
      <c r="AN14471">
        <v>14467</v>
      </c>
      <c r="AO14471" s="11">
        <v>21345.43</v>
      </c>
      <c r="AP14471" s="9">
        <v>3.4947963152046024</v>
      </c>
    </row>
    <row r="14472" spans="40:42" x14ac:dyDescent="0.3">
      <c r="AN14472">
        <v>14468</v>
      </c>
      <c r="AO14472" s="11">
        <v>30567.03</v>
      </c>
      <c r="AP14472" s="9">
        <v>3.2527600857946428</v>
      </c>
    </row>
    <row r="14473" spans="40:42" x14ac:dyDescent="0.3">
      <c r="AN14473">
        <v>14469</v>
      </c>
      <c r="AO14473" s="11">
        <v>38085.050000000003</v>
      </c>
      <c r="AP14473" s="9">
        <v>3.8193912001966068</v>
      </c>
    </row>
    <row r="14474" spans="40:42" x14ac:dyDescent="0.3">
      <c r="AN14474">
        <v>14470</v>
      </c>
      <c r="AO14474" s="11">
        <v>21802.639999999999</v>
      </c>
      <c r="AP14474" s="9">
        <v>3.0748896420435328</v>
      </c>
    </row>
    <row r="14475" spans="40:42" x14ac:dyDescent="0.3">
      <c r="AN14475">
        <v>14471</v>
      </c>
      <c r="AO14475" s="11">
        <v>26025.51</v>
      </c>
      <c r="AP14475" s="9">
        <v>3.23113327348333</v>
      </c>
    </row>
    <row r="14476" spans="40:42" x14ac:dyDescent="0.3">
      <c r="AN14476">
        <v>14472</v>
      </c>
      <c r="AO14476" s="11">
        <v>18387.79</v>
      </c>
      <c r="AP14476" s="9">
        <v>3.1011379116605369</v>
      </c>
    </row>
    <row r="14477" spans="40:42" x14ac:dyDescent="0.3">
      <c r="AN14477">
        <v>14473</v>
      </c>
      <c r="AO14477" s="11">
        <v>22825.5</v>
      </c>
      <c r="AP14477" s="9">
        <v>2.8212663795418451</v>
      </c>
    </row>
    <row r="14478" spans="40:42" x14ac:dyDescent="0.3">
      <c r="AN14478">
        <v>14474</v>
      </c>
      <c r="AO14478" s="11">
        <v>39993.550000000003</v>
      </c>
      <c r="AP14478" s="9">
        <v>3.0990492650599535</v>
      </c>
    </row>
    <row r="14479" spans="40:42" x14ac:dyDescent="0.3">
      <c r="AN14479">
        <v>14475</v>
      </c>
      <c r="AO14479" s="11">
        <v>28946.22</v>
      </c>
      <c r="AP14479" s="9">
        <v>3.8729446476552645</v>
      </c>
    </row>
    <row r="14480" spans="40:42" x14ac:dyDescent="0.3">
      <c r="AN14480">
        <v>14476</v>
      </c>
      <c r="AO14480" s="11">
        <v>31760.41</v>
      </c>
      <c r="AP14480" s="9">
        <v>3.7059346462285845</v>
      </c>
    </row>
    <row r="14481" spans="40:42" x14ac:dyDescent="0.3">
      <c r="AN14481">
        <v>14477</v>
      </c>
      <c r="AO14481" s="11">
        <v>25149.22</v>
      </c>
      <c r="AP14481" s="9">
        <v>3.3024737858197244</v>
      </c>
    </row>
    <row r="14482" spans="40:42" x14ac:dyDescent="0.3">
      <c r="AN14482">
        <v>14478</v>
      </c>
      <c r="AO14482" s="11">
        <v>17458.54</v>
      </c>
      <c r="AP14482" s="9">
        <v>2.8725607416644285</v>
      </c>
    </row>
    <row r="14483" spans="40:42" x14ac:dyDescent="0.3">
      <c r="AN14483">
        <v>14479</v>
      </c>
      <c r="AO14483" s="11">
        <v>24934.35</v>
      </c>
      <c r="AP14483" s="9">
        <v>4.3658867555904273</v>
      </c>
    </row>
    <row r="14484" spans="40:42" x14ac:dyDescent="0.3">
      <c r="AN14484">
        <v>14480</v>
      </c>
      <c r="AO14484" s="11">
        <v>21949.35</v>
      </c>
      <c r="AP14484" s="9">
        <v>3.4693964219422253</v>
      </c>
    </row>
    <row r="14485" spans="40:42" x14ac:dyDescent="0.3">
      <c r="AN14485">
        <v>14481</v>
      </c>
      <c r="AO14485" s="11">
        <v>30219.86</v>
      </c>
      <c r="AP14485" s="9">
        <v>3.0893084683955507</v>
      </c>
    </row>
    <row r="14486" spans="40:42" x14ac:dyDescent="0.3">
      <c r="AN14486">
        <v>14482</v>
      </c>
      <c r="AO14486" s="11">
        <v>25612.86</v>
      </c>
      <c r="AP14486" s="9">
        <v>3.0605851309133709</v>
      </c>
    </row>
    <row r="14487" spans="40:42" x14ac:dyDescent="0.3">
      <c r="AN14487">
        <v>14483</v>
      </c>
      <c r="AO14487" s="11">
        <v>26903</v>
      </c>
      <c r="AP14487" s="9">
        <v>3.32635939765734</v>
      </c>
    </row>
    <row r="14488" spans="40:42" x14ac:dyDescent="0.3">
      <c r="AN14488">
        <v>14484</v>
      </c>
      <c r="AO14488" s="11">
        <v>23065.67</v>
      </c>
      <c r="AP14488" s="9">
        <v>3.4461847600214628</v>
      </c>
    </row>
    <row r="14489" spans="40:42" x14ac:dyDescent="0.3">
      <c r="AN14489">
        <v>14485</v>
      </c>
      <c r="AO14489" s="11">
        <v>20401.189999999999</v>
      </c>
      <c r="AP14489" s="9">
        <v>3.434317035414161</v>
      </c>
    </row>
    <row r="14490" spans="40:42" x14ac:dyDescent="0.3">
      <c r="AN14490">
        <v>14486</v>
      </c>
      <c r="AO14490" s="11">
        <v>26927.01</v>
      </c>
      <c r="AP14490" s="9">
        <v>3.8507976200543181</v>
      </c>
    </row>
    <row r="14491" spans="40:42" x14ac:dyDescent="0.3">
      <c r="AN14491">
        <v>14487</v>
      </c>
      <c r="AO14491" s="11">
        <v>32913.69</v>
      </c>
      <c r="AP14491" s="9">
        <v>3.7325061609012962</v>
      </c>
    </row>
    <row r="14492" spans="40:42" x14ac:dyDescent="0.3">
      <c r="AN14492">
        <v>14488</v>
      </c>
      <c r="AO14492" s="11">
        <v>28878.63</v>
      </c>
      <c r="AP14492" s="9">
        <v>3.8220102311649904</v>
      </c>
    </row>
    <row r="14493" spans="40:42" x14ac:dyDescent="0.3">
      <c r="AN14493">
        <v>14489</v>
      </c>
      <c r="AO14493" s="11">
        <v>29847.64</v>
      </c>
      <c r="AP14493" s="9">
        <v>3.6959055665206164</v>
      </c>
    </row>
    <row r="14494" spans="40:42" x14ac:dyDescent="0.3">
      <c r="AN14494">
        <v>14490</v>
      </c>
      <c r="AO14494" s="11">
        <v>22495.25</v>
      </c>
      <c r="AP14494" s="9">
        <v>2.5464912171794145</v>
      </c>
    </row>
    <row r="14495" spans="40:42" x14ac:dyDescent="0.3">
      <c r="AN14495">
        <v>14491</v>
      </c>
      <c r="AO14495" s="11">
        <v>28254.19</v>
      </c>
      <c r="AP14495" s="9">
        <v>3.4023319192382471</v>
      </c>
    </row>
    <row r="14496" spans="40:42" x14ac:dyDescent="0.3">
      <c r="AN14496">
        <v>14492</v>
      </c>
      <c r="AO14496" s="11">
        <v>46586.559999999998</v>
      </c>
      <c r="AP14496" s="9">
        <v>3.9821386719252407</v>
      </c>
    </row>
    <row r="14497" spans="40:42" x14ac:dyDescent="0.3">
      <c r="AN14497">
        <v>14493</v>
      </c>
      <c r="AO14497" s="11">
        <v>31732.55</v>
      </c>
      <c r="AP14497" s="9">
        <v>3.4822152477807604</v>
      </c>
    </row>
    <row r="14498" spans="40:42" x14ac:dyDescent="0.3">
      <c r="AN14498">
        <v>14494</v>
      </c>
      <c r="AO14498" s="11">
        <v>37777.910000000003</v>
      </c>
      <c r="AP14498" s="9">
        <v>3.2007265397814959</v>
      </c>
    </row>
    <row r="14499" spans="40:42" x14ac:dyDescent="0.3">
      <c r="AN14499">
        <v>14495</v>
      </c>
      <c r="AO14499" s="11">
        <v>26895.21</v>
      </c>
      <c r="AP14499" s="9">
        <v>3.6585789936238626</v>
      </c>
    </row>
    <row r="14500" spans="40:42" x14ac:dyDescent="0.3">
      <c r="AN14500">
        <v>14496</v>
      </c>
      <c r="AO14500" s="11">
        <v>20785.43</v>
      </c>
      <c r="AP14500" s="9">
        <v>3.6681949677487395</v>
      </c>
    </row>
    <row r="14501" spans="40:42" x14ac:dyDescent="0.3">
      <c r="AN14501">
        <v>14497</v>
      </c>
      <c r="AO14501" s="11">
        <v>33183.83</v>
      </c>
      <c r="AP14501" s="9">
        <v>3.6867474819194412</v>
      </c>
    </row>
    <row r="14502" spans="40:42" x14ac:dyDescent="0.3">
      <c r="AN14502">
        <v>14498</v>
      </c>
      <c r="AO14502" s="11">
        <v>34560.47</v>
      </c>
      <c r="AP14502" s="9">
        <v>3.6729631158119664</v>
      </c>
    </row>
    <row r="14503" spans="40:42" x14ac:dyDescent="0.3">
      <c r="AN14503">
        <v>14499</v>
      </c>
      <c r="AO14503" s="11">
        <v>34401.78</v>
      </c>
      <c r="AP14503" s="9">
        <v>3.6433754265033538</v>
      </c>
    </row>
    <row r="14504" spans="40:42" x14ac:dyDescent="0.3">
      <c r="AN14504">
        <v>14500</v>
      </c>
      <c r="AO14504" s="11">
        <v>21941.05</v>
      </c>
      <c r="AP14504" s="9">
        <v>2.9061915630808346</v>
      </c>
    </row>
    <row r="14505" spans="40:42" x14ac:dyDescent="0.3">
      <c r="AN14505">
        <v>14501</v>
      </c>
      <c r="AO14505" s="11">
        <v>28913.200000000001</v>
      </c>
      <c r="AP14505" s="9">
        <v>3.4718261686302028</v>
      </c>
    </row>
    <row r="14506" spans="40:42" x14ac:dyDescent="0.3">
      <c r="AN14506">
        <v>14502</v>
      </c>
      <c r="AO14506" s="11">
        <v>23754.560000000001</v>
      </c>
      <c r="AP14506" s="9">
        <v>2.894647272214641</v>
      </c>
    </row>
    <row r="14507" spans="40:42" x14ac:dyDescent="0.3">
      <c r="AN14507">
        <v>14503</v>
      </c>
      <c r="AO14507" s="11">
        <v>17541.07</v>
      </c>
      <c r="AP14507" s="9">
        <v>4.4678552061716506</v>
      </c>
    </row>
    <row r="14508" spans="40:42" x14ac:dyDescent="0.3">
      <c r="AN14508">
        <v>14504</v>
      </c>
      <c r="AO14508" s="11">
        <v>20016.150000000001</v>
      </c>
      <c r="AP14508" s="9">
        <v>3.246438814379133</v>
      </c>
    </row>
    <row r="14509" spans="40:42" x14ac:dyDescent="0.3">
      <c r="AN14509">
        <v>14505</v>
      </c>
      <c r="AO14509" s="11">
        <v>21900.58</v>
      </c>
      <c r="AP14509" s="9">
        <v>3.0642715094721331</v>
      </c>
    </row>
    <row r="14510" spans="40:42" x14ac:dyDescent="0.3">
      <c r="AN14510">
        <v>14506</v>
      </c>
      <c r="AO14510" s="11">
        <v>24906.99</v>
      </c>
      <c r="AP14510" s="9">
        <v>3.3606767636389141</v>
      </c>
    </row>
    <row r="14511" spans="40:42" x14ac:dyDescent="0.3">
      <c r="AN14511">
        <v>14507</v>
      </c>
      <c r="AO14511" s="11">
        <v>26498.799999999999</v>
      </c>
      <c r="AP14511" s="9">
        <v>3.1964267898721204</v>
      </c>
    </row>
    <row r="14512" spans="40:42" x14ac:dyDescent="0.3">
      <c r="AN14512">
        <v>14508</v>
      </c>
      <c r="AO14512" s="11">
        <v>25760.97</v>
      </c>
      <c r="AP14512" s="9">
        <v>3.6635362314676043</v>
      </c>
    </row>
    <row r="14513" spans="40:42" x14ac:dyDescent="0.3">
      <c r="AN14513">
        <v>14509</v>
      </c>
      <c r="AO14513" s="11">
        <v>30171.07</v>
      </c>
      <c r="AP14513" s="9">
        <v>3.2756911358960892</v>
      </c>
    </row>
    <row r="14514" spans="40:42" x14ac:dyDescent="0.3">
      <c r="AN14514">
        <v>14510</v>
      </c>
      <c r="AO14514" s="11">
        <v>28712.78</v>
      </c>
      <c r="AP14514" s="9">
        <v>3.4327120239725017</v>
      </c>
    </row>
    <row r="14515" spans="40:42" x14ac:dyDescent="0.3">
      <c r="AN14515">
        <v>14511</v>
      </c>
      <c r="AO14515" s="11">
        <v>21300.38</v>
      </c>
      <c r="AP14515" s="9">
        <v>3.049555796273046</v>
      </c>
    </row>
    <row r="14516" spans="40:42" x14ac:dyDescent="0.3">
      <c r="AN14516">
        <v>14512</v>
      </c>
      <c r="AO14516" s="11">
        <v>26703.27</v>
      </c>
      <c r="AP14516" s="9">
        <v>3.0907772195274705</v>
      </c>
    </row>
    <row r="14517" spans="40:42" x14ac:dyDescent="0.3">
      <c r="AN14517">
        <v>14513</v>
      </c>
      <c r="AO14517" s="11">
        <v>51975.99</v>
      </c>
      <c r="AP14517" s="9">
        <v>3.7889222295904199</v>
      </c>
    </row>
    <row r="14518" spans="40:42" x14ac:dyDescent="0.3">
      <c r="AN14518">
        <v>14514</v>
      </c>
      <c r="AO14518" s="11">
        <v>23907.54</v>
      </c>
      <c r="AP14518" s="9">
        <v>3.1205638720163256</v>
      </c>
    </row>
    <row r="14519" spans="40:42" x14ac:dyDescent="0.3">
      <c r="AN14519">
        <v>14515</v>
      </c>
      <c r="AO14519" s="11">
        <v>16165.11</v>
      </c>
      <c r="AP14519" s="9">
        <v>3.0525336637300522</v>
      </c>
    </row>
    <row r="14520" spans="40:42" x14ac:dyDescent="0.3">
      <c r="AN14520">
        <v>14516</v>
      </c>
      <c r="AO14520" s="11">
        <v>25368.54</v>
      </c>
      <c r="AP14520" s="9">
        <v>3.0835512187232554</v>
      </c>
    </row>
    <row r="14521" spans="40:42" x14ac:dyDescent="0.3">
      <c r="AN14521">
        <v>14517</v>
      </c>
      <c r="AO14521" s="11">
        <v>21702.17</v>
      </c>
      <c r="AP14521" s="9">
        <v>3.408723011414772</v>
      </c>
    </row>
    <row r="14522" spans="40:42" x14ac:dyDescent="0.3">
      <c r="AN14522">
        <v>14518</v>
      </c>
      <c r="AO14522" s="11">
        <v>39561.410000000003</v>
      </c>
      <c r="AP14522" s="9">
        <v>3.2167360274992269</v>
      </c>
    </row>
    <row r="14523" spans="40:42" x14ac:dyDescent="0.3">
      <c r="AN14523">
        <v>14519</v>
      </c>
      <c r="AO14523" s="11">
        <v>19461.05</v>
      </c>
      <c r="AP14523" s="9">
        <v>3.0443914294002541</v>
      </c>
    </row>
    <row r="14524" spans="40:42" x14ac:dyDescent="0.3">
      <c r="AN14524">
        <v>14520</v>
      </c>
      <c r="AO14524" s="11">
        <v>28649.99</v>
      </c>
      <c r="AP14524" s="9">
        <v>3.2751168980931116</v>
      </c>
    </row>
    <row r="14525" spans="40:42" x14ac:dyDescent="0.3">
      <c r="AN14525">
        <v>14521</v>
      </c>
      <c r="AO14525" s="11">
        <v>25022.38</v>
      </c>
      <c r="AP14525" s="9">
        <v>2.8228101920441699</v>
      </c>
    </row>
    <row r="14526" spans="40:42" x14ac:dyDescent="0.3">
      <c r="AN14526">
        <v>14522</v>
      </c>
      <c r="AO14526" s="11">
        <v>30860.63</v>
      </c>
      <c r="AP14526" s="9">
        <v>2.9127380764866095</v>
      </c>
    </row>
    <row r="14527" spans="40:42" x14ac:dyDescent="0.3">
      <c r="AN14527">
        <v>14523</v>
      </c>
      <c r="AO14527" s="11">
        <v>23353.45</v>
      </c>
      <c r="AP14527" s="9">
        <v>3.3184301805589409</v>
      </c>
    </row>
    <row r="14528" spans="40:42" x14ac:dyDescent="0.3">
      <c r="AN14528">
        <v>14524</v>
      </c>
      <c r="AO14528" s="11">
        <v>35954.15</v>
      </c>
      <c r="AP14528" s="9">
        <v>3.3045767373377974</v>
      </c>
    </row>
    <row r="14529" spans="40:42" x14ac:dyDescent="0.3">
      <c r="AN14529">
        <v>14525</v>
      </c>
      <c r="AO14529" s="11">
        <v>22094.15</v>
      </c>
      <c r="AP14529" s="9">
        <v>3.0113341606383508</v>
      </c>
    </row>
    <row r="14530" spans="40:42" x14ac:dyDescent="0.3">
      <c r="AN14530">
        <v>14526</v>
      </c>
      <c r="AO14530" s="11">
        <v>44056.800000000003</v>
      </c>
      <c r="AP14530" s="9">
        <v>3.7419082151378409</v>
      </c>
    </row>
    <row r="14531" spans="40:42" x14ac:dyDescent="0.3">
      <c r="AN14531">
        <v>14527</v>
      </c>
      <c r="AO14531" s="11">
        <v>33307.71</v>
      </c>
      <c r="AP14531" s="9">
        <v>3.2432268329596585</v>
      </c>
    </row>
    <row r="14532" spans="40:42" x14ac:dyDescent="0.3">
      <c r="AN14532">
        <v>14528</v>
      </c>
      <c r="AO14532" s="11">
        <v>26359.47</v>
      </c>
      <c r="AP14532" s="9">
        <v>3.3549856421936033</v>
      </c>
    </row>
    <row r="14533" spans="40:42" x14ac:dyDescent="0.3">
      <c r="AN14533">
        <v>14529</v>
      </c>
      <c r="AO14533" s="11">
        <v>12913.75</v>
      </c>
      <c r="AP14533" s="9">
        <v>2.6047112792750098</v>
      </c>
    </row>
    <row r="14534" spans="40:42" x14ac:dyDescent="0.3">
      <c r="AN14534">
        <v>14530</v>
      </c>
      <c r="AO14534" s="11">
        <v>30816.52</v>
      </c>
      <c r="AP14534" s="9">
        <v>3.0397485131877837</v>
      </c>
    </row>
    <row r="14535" spans="40:42" x14ac:dyDescent="0.3">
      <c r="AN14535">
        <v>14531</v>
      </c>
      <c r="AO14535" s="11">
        <v>32309.17</v>
      </c>
      <c r="AP14535" s="9">
        <v>3.5268503819981878</v>
      </c>
    </row>
    <row r="14536" spans="40:42" x14ac:dyDescent="0.3">
      <c r="AN14536">
        <v>14532</v>
      </c>
      <c r="AO14536" s="11">
        <v>29147.200000000001</v>
      </c>
      <c r="AP14536" s="9">
        <v>3.589883766699264</v>
      </c>
    </row>
    <row r="14537" spans="40:42" x14ac:dyDescent="0.3">
      <c r="AN14537">
        <v>14533</v>
      </c>
      <c r="AO14537" s="11">
        <v>20803.63</v>
      </c>
      <c r="AP14537" s="9">
        <v>3.3203768134009373</v>
      </c>
    </row>
    <row r="14538" spans="40:42" x14ac:dyDescent="0.3">
      <c r="AN14538">
        <v>14534</v>
      </c>
      <c r="AO14538" s="11">
        <v>32675.62</v>
      </c>
      <c r="AP14538" s="9">
        <v>3.5283116275221587</v>
      </c>
    </row>
    <row r="14539" spans="40:42" x14ac:dyDescent="0.3">
      <c r="AN14539">
        <v>14535</v>
      </c>
      <c r="AO14539" s="11">
        <v>18483.38</v>
      </c>
      <c r="AP14539" s="9">
        <v>3.3126243697787849</v>
      </c>
    </row>
    <row r="14540" spans="40:42" x14ac:dyDescent="0.3">
      <c r="AN14540">
        <v>14536</v>
      </c>
      <c r="AO14540" s="11">
        <v>23264.44</v>
      </c>
      <c r="AP14540" s="9">
        <v>3.0659362525052121</v>
      </c>
    </row>
    <row r="14541" spans="40:42" x14ac:dyDescent="0.3">
      <c r="AN14541">
        <v>14537</v>
      </c>
      <c r="AO14541" s="11">
        <v>19171.47</v>
      </c>
      <c r="AP14541" s="9">
        <v>2.6536291633977589</v>
      </c>
    </row>
    <row r="14542" spans="40:42" x14ac:dyDescent="0.3">
      <c r="AN14542">
        <v>14538</v>
      </c>
      <c r="AO14542" s="11">
        <v>19662.509999999998</v>
      </c>
      <c r="AP14542" s="9">
        <v>3.1315522922843857</v>
      </c>
    </row>
    <row r="14543" spans="40:42" x14ac:dyDescent="0.3">
      <c r="AN14543">
        <v>14539</v>
      </c>
      <c r="AO14543" s="11">
        <v>25130.03</v>
      </c>
      <c r="AP14543" s="9">
        <v>3.2073335456666392</v>
      </c>
    </row>
    <row r="14544" spans="40:42" x14ac:dyDescent="0.3">
      <c r="AN14544">
        <v>14540</v>
      </c>
      <c r="AO14544" s="11">
        <v>24194.76</v>
      </c>
      <c r="AP14544" s="9">
        <v>3.400513182673345</v>
      </c>
    </row>
    <row r="14545" spans="40:42" x14ac:dyDescent="0.3">
      <c r="AN14545">
        <v>14541</v>
      </c>
      <c r="AO14545" s="11">
        <v>17808.68</v>
      </c>
      <c r="AP14545" s="9">
        <v>3.573587882628356</v>
      </c>
    </row>
    <row r="14546" spans="40:42" x14ac:dyDescent="0.3">
      <c r="AN14546">
        <v>14542</v>
      </c>
      <c r="AO14546" s="11">
        <v>17598.47</v>
      </c>
      <c r="AP14546" s="9">
        <v>3.9145377256236689</v>
      </c>
    </row>
    <row r="14547" spans="40:42" x14ac:dyDescent="0.3">
      <c r="AN14547">
        <v>14543</v>
      </c>
      <c r="AO14547" s="11">
        <v>25502.99</v>
      </c>
      <c r="AP14547" s="9">
        <v>3.3407811154372178</v>
      </c>
    </row>
    <row r="14548" spans="40:42" x14ac:dyDescent="0.3">
      <c r="AN14548">
        <v>14544</v>
      </c>
      <c r="AO14548" s="11">
        <v>34110.720000000001</v>
      </c>
      <c r="AP14548" s="9">
        <v>3.2536885729980662</v>
      </c>
    </row>
    <row r="14549" spans="40:42" x14ac:dyDescent="0.3">
      <c r="AN14549">
        <v>14545</v>
      </c>
      <c r="AO14549" s="11">
        <v>39628.43</v>
      </c>
      <c r="AP14549" s="9">
        <v>3.9634855008713612</v>
      </c>
    </row>
    <row r="14550" spans="40:42" x14ac:dyDescent="0.3">
      <c r="AN14550">
        <v>14546</v>
      </c>
      <c r="AO14550" s="11">
        <v>53153.19</v>
      </c>
      <c r="AP14550" s="9">
        <v>4.7025701105498099</v>
      </c>
    </row>
    <row r="14551" spans="40:42" x14ac:dyDescent="0.3">
      <c r="AN14551">
        <v>14547</v>
      </c>
      <c r="AO14551" s="11">
        <v>23853.1</v>
      </c>
      <c r="AP14551" s="9">
        <v>3.0986102493212484</v>
      </c>
    </row>
    <row r="14552" spans="40:42" x14ac:dyDescent="0.3">
      <c r="AN14552">
        <v>14548</v>
      </c>
      <c r="AO14552" s="11">
        <v>27183.53</v>
      </c>
      <c r="AP14552" s="9">
        <v>3.4396164455212057</v>
      </c>
    </row>
    <row r="14553" spans="40:42" x14ac:dyDescent="0.3">
      <c r="AN14553">
        <v>14549</v>
      </c>
      <c r="AO14553" s="11">
        <v>19844.39</v>
      </c>
      <c r="AP14553" s="9">
        <v>3.3284126292168259</v>
      </c>
    </row>
    <row r="14554" spans="40:42" x14ac:dyDescent="0.3">
      <c r="AN14554">
        <v>14550</v>
      </c>
      <c r="AO14554" s="11">
        <v>19331.43</v>
      </c>
      <c r="AP14554" s="9">
        <v>3.3012580853602325</v>
      </c>
    </row>
    <row r="14555" spans="40:42" x14ac:dyDescent="0.3">
      <c r="AN14555">
        <v>14551</v>
      </c>
      <c r="AO14555" s="11">
        <v>33356.589999999997</v>
      </c>
      <c r="AP14555" s="9">
        <v>3.5741943920773234</v>
      </c>
    </row>
    <row r="14556" spans="40:42" x14ac:dyDescent="0.3">
      <c r="AN14556">
        <v>14552</v>
      </c>
      <c r="AO14556" s="11">
        <v>22658.42</v>
      </c>
      <c r="AP14556" s="9">
        <v>3.5118539508869149</v>
      </c>
    </row>
    <row r="14557" spans="40:42" x14ac:dyDescent="0.3">
      <c r="AN14557">
        <v>14553</v>
      </c>
      <c r="AO14557" s="11">
        <v>45961.36</v>
      </c>
      <c r="AP14557" s="9">
        <v>3.6859183146793328</v>
      </c>
    </row>
    <row r="14558" spans="40:42" x14ac:dyDescent="0.3">
      <c r="AN14558">
        <v>14554</v>
      </c>
      <c r="AO14558" s="11">
        <v>17413.310000000001</v>
      </c>
      <c r="AP14558" s="9">
        <v>2.9596666103169165</v>
      </c>
    </row>
    <row r="14559" spans="40:42" x14ac:dyDescent="0.3">
      <c r="AN14559">
        <v>14555</v>
      </c>
      <c r="AO14559" s="11">
        <v>29821.73</v>
      </c>
      <c r="AP14559" s="9">
        <v>3.8857523706036128</v>
      </c>
    </row>
    <row r="14560" spans="40:42" x14ac:dyDescent="0.3">
      <c r="AN14560">
        <v>14556</v>
      </c>
      <c r="AO14560" s="11">
        <v>23370.11</v>
      </c>
      <c r="AP14560" s="9">
        <v>4.0134277114128283</v>
      </c>
    </row>
    <row r="14561" spans="40:42" x14ac:dyDescent="0.3">
      <c r="AN14561">
        <v>14557</v>
      </c>
      <c r="AO14561" s="11">
        <v>26820.86</v>
      </c>
      <c r="AP14561" s="9">
        <v>3.4350071258595225</v>
      </c>
    </row>
    <row r="14562" spans="40:42" x14ac:dyDescent="0.3">
      <c r="AN14562">
        <v>14558</v>
      </c>
      <c r="AO14562" s="11">
        <v>24166.06</v>
      </c>
      <c r="AP14562" s="9">
        <v>2.8924005353327908</v>
      </c>
    </row>
    <row r="14563" spans="40:42" x14ac:dyDescent="0.3">
      <c r="AN14563">
        <v>14559</v>
      </c>
      <c r="AO14563" s="11">
        <v>22013.5</v>
      </c>
      <c r="AP14563" s="9">
        <v>3.2534274377172028</v>
      </c>
    </row>
    <row r="14564" spans="40:42" x14ac:dyDescent="0.3">
      <c r="AN14564">
        <v>14560</v>
      </c>
      <c r="AO14564" s="11">
        <v>28508.68</v>
      </c>
      <c r="AP14564" s="9">
        <v>3.5850207505178795</v>
      </c>
    </row>
    <row r="14565" spans="40:42" x14ac:dyDescent="0.3">
      <c r="AN14565">
        <v>14561</v>
      </c>
      <c r="AO14565" s="11">
        <v>18557.740000000002</v>
      </c>
      <c r="AP14565" s="9">
        <v>3.3033037447977955</v>
      </c>
    </row>
    <row r="14566" spans="40:42" x14ac:dyDescent="0.3">
      <c r="AN14566">
        <v>14562</v>
      </c>
      <c r="AO14566" s="11">
        <v>20252.88</v>
      </c>
      <c r="AP14566" s="9">
        <v>3.2496514643257255</v>
      </c>
    </row>
    <row r="14567" spans="40:42" x14ac:dyDescent="0.3">
      <c r="AN14567">
        <v>14563</v>
      </c>
      <c r="AO14567" s="11">
        <v>22133.87</v>
      </c>
      <c r="AP14567" s="9">
        <v>3.3023506207726401</v>
      </c>
    </row>
    <row r="14568" spans="40:42" x14ac:dyDescent="0.3">
      <c r="AN14568">
        <v>14564</v>
      </c>
      <c r="AO14568" s="11">
        <v>25960.81</v>
      </c>
      <c r="AP14568" s="9">
        <v>3.477339330893356</v>
      </c>
    </row>
    <row r="14569" spans="40:42" x14ac:dyDescent="0.3">
      <c r="AN14569">
        <v>14565</v>
      </c>
      <c r="AO14569" s="11">
        <v>31055.11</v>
      </c>
      <c r="AP14569" s="9">
        <v>3.234685409944543</v>
      </c>
    </row>
    <row r="14570" spans="40:42" x14ac:dyDescent="0.3">
      <c r="AN14570">
        <v>14566</v>
      </c>
      <c r="AO14570" s="11">
        <v>21367.55</v>
      </c>
      <c r="AP14570" s="9">
        <v>3.6477550713491258</v>
      </c>
    </row>
    <row r="14571" spans="40:42" x14ac:dyDescent="0.3">
      <c r="AN14571">
        <v>14567</v>
      </c>
      <c r="AO14571" s="11">
        <v>17452.75</v>
      </c>
      <c r="AP14571" s="9">
        <v>3.5597519860997986</v>
      </c>
    </row>
    <row r="14572" spans="40:42" x14ac:dyDescent="0.3">
      <c r="AN14572">
        <v>14568</v>
      </c>
      <c r="AO14572" s="11">
        <v>28033.42</v>
      </c>
      <c r="AP14572" s="9">
        <v>3.3512470849835476</v>
      </c>
    </row>
    <row r="14573" spans="40:42" x14ac:dyDescent="0.3">
      <c r="AN14573">
        <v>14569</v>
      </c>
      <c r="AO14573" s="11">
        <v>30524.76</v>
      </c>
      <c r="AP14573" s="9">
        <v>3.6353205899234271</v>
      </c>
    </row>
    <row r="14574" spans="40:42" x14ac:dyDescent="0.3">
      <c r="AN14574">
        <v>14570</v>
      </c>
      <c r="AO14574" s="11">
        <v>31345.64</v>
      </c>
      <c r="AP14574" s="9">
        <v>3.7582512115660989</v>
      </c>
    </row>
    <row r="14575" spans="40:42" x14ac:dyDescent="0.3">
      <c r="AN14575">
        <v>14571</v>
      </c>
      <c r="AO14575" s="11">
        <v>28860.59</v>
      </c>
      <c r="AP14575" s="9">
        <v>3.6630627286389497</v>
      </c>
    </row>
    <row r="14576" spans="40:42" x14ac:dyDescent="0.3">
      <c r="AN14576">
        <v>14572</v>
      </c>
      <c r="AO14576" s="11">
        <v>13059.52</v>
      </c>
      <c r="AP14576" s="9">
        <v>3.6417632824593422</v>
      </c>
    </row>
    <row r="14577" spans="40:42" x14ac:dyDescent="0.3">
      <c r="AN14577">
        <v>14573</v>
      </c>
      <c r="AO14577" s="11">
        <v>28240.89</v>
      </c>
      <c r="AP14577" s="9">
        <v>3.2982092272907426</v>
      </c>
    </row>
    <row r="14578" spans="40:42" x14ac:dyDescent="0.3">
      <c r="AN14578">
        <v>14574</v>
      </c>
      <c r="AO14578" s="11">
        <v>31422.53</v>
      </c>
      <c r="AP14578" s="9">
        <v>3.5753946112586559</v>
      </c>
    </row>
    <row r="14579" spans="40:42" x14ac:dyDescent="0.3">
      <c r="AN14579">
        <v>14575</v>
      </c>
      <c r="AO14579" s="11">
        <v>24411.8</v>
      </c>
      <c r="AP14579" s="9">
        <v>3.1619645728650632</v>
      </c>
    </row>
    <row r="14580" spans="40:42" x14ac:dyDescent="0.3">
      <c r="AN14580">
        <v>14576</v>
      </c>
      <c r="AO14580" s="11">
        <v>28493.599999999999</v>
      </c>
      <c r="AP14580" s="9">
        <v>4.2115640834962198</v>
      </c>
    </row>
    <row r="14581" spans="40:42" x14ac:dyDescent="0.3">
      <c r="AN14581">
        <v>14577</v>
      </c>
      <c r="AO14581" s="11">
        <v>32901.949999999997</v>
      </c>
      <c r="AP14581" s="9">
        <v>3.6889471665805038</v>
      </c>
    </row>
    <row r="14582" spans="40:42" x14ac:dyDescent="0.3">
      <c r="AN14582">
        <v>14578</v>
      </c>
      <c r="AO14582" s="11">
        <v>26222.06</v>
      </c>
      <c r="AP14582" s="9">
        <v>2.8709467281113512</v>
      </c>
    </row>
    <row r="14583" spans="40:42" x14ac:dyDescent="0.3">
      <c r="AN14583">
        <v>14579</v>
      </c>
      <c r="AO14583" s="11">
        <v>39259.480000000003</v>
      </c>
      <c r="AP14583" s="9">
        <v>3.6969740745617856</v>
      </c>
    </row>
    <row r="14584" spans="40:42" x14ac:dyDescent="0.3">
      <c r="AN14584">
        <v>14580</v>
      </c>
      <c r="AO14584" s="11">
        <v>20055.05</v>
      </c>
      <c r="AP14584" s="9">
        <v>2.7130825805918479</v>
      </c>
    </row>
    <row r="14585" spans="40:42" x14ac:dyDescent="0.3">
      <c r="AN14585">
        <v>14581</v>
      </c>
      <c r="AO14585" s="11">
        <v>40833.24</v>
      </c>
      <c r="AP14585" s="9">
        <v>3.8969252057011698</v>
      </c>
    </row>
    <row r="14586" spans="40:42" x14ac:dyDescent="0.3">
      <c r="AN14586">
        <v>14582</v>
      </c>
      <c r="AO14586" s="11">
        <v>22075.360000000001</v>
      </c>
      <c r="AP14586" s="9">
        <v>3.3962623008970012</v>
      </c>
    </row>
    <row r="14587" spans="40:42" x14ac:dyDescent="0.3">
      <c r="AN14587">
        <v>14583</v>
      </c>
      <c r="AO14587" s="11">
        <v>26948.67</v>
      </c>
      <c r="AP14587" s="9">
        <v>3.5422967982118871</v>
      </c>
    </row>
    <row r="14588" spans="40:42" x14ac:dyDescent="0.3">
      <c r="AN14588">
        <v>14584</v>
      </c>
      <c r="AO14588" s="11">
        <v>19002.5</v>
      </c>
      <c r="AP14588" s="9">
        <v>3.4440890262523745</v>
      </c>
    </row>
    <row r="14589" spans="40:42" x14ac:dyDescent="0.3">
      <c r="AN14589">
        <v>14585</v>
      </c>
      <c r="AO14589" s="11">
        <v>22522.54</v>
      </c>
      <c r="AP14589" s="9">
        <v>3.5833562178365876</v>
      </c>
    </row>
    <row r="14590" spans="40:42" x14ac:dyDescent="0.3">
      <c r="AN14590">
        <v>14586</v>
      </c>
      <c r="AO14590" s="11">
        <v>18878.72</v>
      </c>
      <c r="AP14590" s="9">
        <v>2.9877704936488834</v>
      </c>
    </row>
    <row r="14591" spans="40:42" x14ac:dyDescent="0.3">
      <c r="AN14591">
        <v>14587</v>
      </c>
      <c r="AO14591" s="11">
        <v>25229.24</v>
      </c>
      <c r="AP14591" s="9">
        <v>3.8010583241677711</v>
      </c>
    </row>
    <row r="14592" spans="40:42" x14ac:dyDescent="0.3">
      <c r="AN14592">
        <v>14588</v>
      </c>
      <c r="AO14592" s="11">
        <v>17875.900000000001</v>
      </c>
      <c r="AP14592" s="9">
        <v>2.578265616023717</v>
      </c>
    </row>
    <row r="14593" spans="40:42" x14ac:dyDescent="0.3">
      <c r="AN14593">
        <v>14589</v>
      </c>
      <c r="AO14593" s="11">
        <v>23820.47</v>
      </c>
      <c r="AP14593" s="9">
        <v>3.1647111731420847</v>
      </c>
    </row>
    <row r="14594" spans="40:42" x14ac:dyDescent="0.3">
      <c r="AN14594">
        <v>14590</v>
      </c>
      <c r="AO14594" s="11">
        <v>22045.56</v>
      </c>
      <c r="AP14594" s="9">
        <v>3.2219181133222818</v>
      </c>
    </row>
    <row r="14595" spans="40:42" x14ac:dyDescent="0.3">
      <c r="AN14595">
        <v>14591</v>
      </c>
      <c r="AO14595" s="11">
        <v>24194.880000000001</v>
      </c>
      <c r="AP14595" s="9">
        <v>2.9024707835737185</v>
      </c>
    </row>
    <row r="14596" spans="40:42" x14ac:dyDescent="0.3">
      <c r="AN14596">
        <v>14592</v>
      </c>
      <c r="AO14596" s="11">
        <v>16534.48</v>
      </c>
      <c r="AP14596" s="9">
        <v>2.8530250379681696</v>
      </c>
    </row>
    <row r="14597" spans="40:42" x14ac:dyDescent="0.3">
      <c r="AN14597">
        <v>14593</v>
      </c>
      <c r="AO14597" s="11">
        <v>26836.51</v>
      </c>
      <c r="AP14597" s="9">
        <v>3.1013213232501076</v>
      </c>
    </row>
    <row r="14598" spans="40:42" x14ac:dyDescent="0.3">
      <c r="AN14598">
        <v>14594</v>
      </c>
      <c r="AO14598" s="11">
        <v>29576.13</v>
      </c>
      <c r="AP14598" s="9">
        <v>3.3496595275978951</v>
      </c>
    </row>
    <row r="14599" spans="40:42" x14ac:dyDescent="0.3">
      <c r="AN14599">
        <v>14595</v>
      </c>
      <c r="AO14599" s="11">
        <v>18054.29</v>
      </c>
      <c r="AP14599" s="9">
        <v>3.2663434252862382</v>
      </c>
    </row>
    <row r="14600" spans="40:42" x14ac:dyDescent="0.3">
      <c r="AN14600">
        <v>14596</v>
      </c>
      <c r="AO14600" s="11">
        <v>24400.67</v>
      </c>
      <c r="AP14600" s="9">
        <v>3.5001041068251344</v>
      </c>
    </row>
    <row r="14601" spans="40:42" x14ac:dyDescent="0.3">
      <c r="AN14601">
        <v>14597</v>
      </c>
      <c r="AO14601" s="11">
        <v>22729.57</v>
      </c>
      <c r="AP14601" s="9">
        <v>3.2681006504946817</v>
      </c>
    </row>
    <row r="14602" spans="40:42" x14ac:dyDescent="0.3">
      <c r="AN14602">
        <v>14598</v>
      </c>
      <c r="AO14602" s="11">
        <v>20345.95</v>
      </c>
      <c r="AP14602" s="9">
        <v>2.7597129721671836</v>
      </c>
    </row>
    <row r="14603" spans="40:42" x14ac:dyDescent="0.3">
      <c r="AN14603">
        <v>14599</v>
      </c>
      <c r="AO14603" s="11">
        <v>20159.18</v>
      </c>
      <c r="AP14603" s="9">
        <v>2.8178813409954575</v>
      </c>
    </row>
    <row r="14604" spans="40:42" x14ac:dyDescent="0.3">
      <c r="AN14604">
        <v>14600</v>
      </c>
      <c r="AO14604" s="11">
        <v>25433.88</v>
      </c>
      <c r="AP14604" s="9">
        <v>3.2864450162473555</v>
      </c>
    </row>
    <row r="14605" spans="40:42" x14ac:dyDescent="0.3">
      <c r="AN14605">
        <v>14601</v>
      </c>
      <c r="AO14605" s="11">
        <v>33443.67</v>
      </c>
      <c r="AP14605" s="9">
        <v>3.4731159228024904</v>
      </c>
    </row>
    <row r="14606" spans="40:42" x14ac:dyDescent="0.3">
      <c r="AN14606">
        <v>14602</v>
      </c>
      <c r="AO14606" s="11">
        <v>26366.39</v>
      </c>
      <c r="AP14606" s="9">
        <v>3.699499970994319</v>
      </c>
    </row>
    <row r="14607" spans="40:42" x14ac:dyDescent="0.3">
      <c r="AN14607">
        <v>14603</v>
      </c>
      <c r="AO14607" s="11">
        <v>32272.35</v>
      </c>
      <c r="AP14607" s="9">
        <v>4.1377338319119366</v>
      </c>
    </row>
    <row r="14608" spans="40:42" x14ac:dyDescent="0.3">
      <c r="AN14608">
        <v>14604</v>
      </c>
      <c r="AO14608" s="11">
        <v>34870.980000000003</v>
      </c>
      <c r="AP14608" s="9">
        <v>3.1817299183827488</v>
      </c>
    </row>
    <row r="14609" spans="40:42" x14ac:dyDescent="0.3">
      <c r="AN14609">
        <v>14605</v>
      </c>
      <c r="AO14609" s="11">
        <v>33118.6</v>
      </c>
      <c r="AP14609" s="9">
        <v>3.2300323131749495</v>
      </c>
    </row>
    <row r="14610" spans="40:42" x14ac:dyDescent="0.3">
      <c r="AN14610">
        <v>14606</v>
      </c>
      <c r="AO14610" s="11">
        <v>33041.93</v>
      </c>
      <c r="AP14610" s="9">
        <v>3.2003927793414921</v>
      </c>
    </row>
    <row r="14611" spans="40:42" x14ac:dyDescent="0.3">
      <c r="AN14611">
        <v>14607</v>
      </c>
      <c r="AO14611" s="11">
        <v>28106.32</v>
      </c>
      <c r="AP14611" s="9">
        <v>3.5151643764565268</v>
      </c>
    </row>
    <row r="14612" spans="40:42" x14ac:dyDescent="0.3">
      <c r="AN14612">
        <v>14608</v>
      </c>
      <c r="AO14612" s="11">
        <v>26131.01</v>
      </c>
      <c r="AP14612" s="9">
        <v>3.4393924254901389</v>
      </c>
    </row>
    <row r="14613" spans="40:42" x14ac:dyDescent="0.3">
      <c r="AN14613">
        <v>14609</v>
      </c>
      <c r="AO14613" s="11">
        <v>23027.45</v>
      </c>
      <c r="AP14613" s="9">
        <v>3.2613539098899382</v>
      </c>
    </row>
    <row r="14614" spans="40:42" x14ac:dyDescent="0.3">
      <c r="AN14614">
        <v>14610</v>
      </c>
      <c r="AO14614" s="11">
        <v>17618.96</v>
      </c>
      <c r="AP14614" s="9">
        <v>2.9461269903219489</v>
      </c>
    </row>
    <row r="14615" spans="40:42" x14ac:dyDescent="0.3">
      <c r="AN14615">
        <v>14611</v>
      </c>
      <c r="AO14615" s="11">
        <v>25870.37</v>
      </c>
      <c r="AP14615" s="9">
        <v>3.2835790127350211</v>
      </c>
    </row>
    <row r="14616" spans="40:42" x14ac:dyDescent="0.3">
      <c r="AN14616">
        <v>14612</v>
      </c>
      <c r="AO14616" s="11">
        <v>27352.44</v>
      </c>
      <c r="AP14616" s="9">
        <v>3.208680225925828</v>
      </c>
    </row>
    <row r="14617" spans="40:42" x14ac:dyDescent="0.3">
      <c r="AN14617">
        <v>14613</v>
      </c>
      <c r="AO14617" s="11">
        <v>32571.91</v>
      </c>
      <c r="AP14617" s="9">
        <v>3.2288586942673869</v>
      </c>
    </row>
    <row r="14618" spans="40:42" x14ac:dyDescent="0.3">
      <c r="AN14618">
        <v>14614</v>
      </c>
      <c r="AO14618" s="11">
        <v>24888.92</v>
      </c>
      <c r="AP14618" s="9">
        <v>2.7457613576243913</v>
      </c>
    </row>
    <row r="14619" spans="40:42" x14ac:dyDescent="0.3">
      <c r="AN14619">
        <v>14615</v>
      </c>
      <c r="AO14619" s="11">
        <v>25860.22</v>
      </c>
      <c r="AP14619" s="9">
        <v>3.7228583885045357</v>
      </c>
    </row>
    <row r="14620" spans="40:42" x14ac:dyDescent="0.3">
      <c r="AN14620">
        <v>14616</v>
      </c>
      <c r="AO14620" s="11">
        <v>38337.99</v>
      </c>
      <c r="AP14620" s="9">
        <v>3.6316620446563062</v>
      </c>
    </row>
    <row r="14621" spans="40:42" x14ac:dyDescent="0.3">
      <c r="AN14621">
        <v>14617</v>
      </c>
      <c r="AO14621" s="11">
        <v>14463.45</v>
      </c>
      <c r="AP14621" s="9">
        <v>2.4996945756221378</v>
      </c>
    </row>
    <row r="14622" spans="40:42" x14ac:dyDescent="0.3">
      <c r="AN14622">
        <v>14618</v>
      </c>
      <c r="AO14622" s="11">
        <v>20348.77</v>
      </c>
      <c r="AP14622" s="9">
        <v>3.0712905604134724</v>
      </c>
    </row>
    <row r="14623" spans="40:42" x14ac:dyDescent="0.3">
      <c r="AN14623">
        <v>14619</v>
      </c>
      <c r="AO14623" s="11">
        <v>39838.61</v>
      </c>
      <c r="AP14623" s="9">
        <v>3.2310772023506584</v>
      </c>
    </row>
    <row r="14624" spans="40:42" x14ac:dyDescent="0.3">
      <c r="AN14624">
        <v>14620</v>
      </c>
      <c r="AO14624" s="11">
        <v>32327.03</v>
      </c>
      <c r="AP14624" s="9">
        <v>3.0766634510949982</v>
      </c>
    </row>
    <row r="14625" spans="40:42" x14ac:dyDescent="0.3">
      <c r="AN14625">
        <v>14621</v>
      </c>
      <c r="AO14625" s="11">
        <v>24837.17</v>
      </c>
      <c r="AP14625" s="9">
        <v>2.9256907160119359</v>
      </c>
    </row>
    <row r="14626" spans="40:42" x14ac:dyDescent="0.3">
      <c r="AN14626">
        <v>14622</v>
      </c>
      <c r="AO14626" s="11">
        <v>22669.83</v>
      </c>
      <c r="AP14626" s="9">
        <v>3.0868045985511605</v>
      </c>
    </row>
    <row r="14627" spans="40:42" x14ac:dyDescent="0.3">
      <c r="AN14627">
        <v>14623</v>
      </c>
      <c r="AO14627" s="11">
        <v>34384.42</v>
      </c>
      <c r="AP14627" s="9">
        <v>3.8918974962169313</v>
      </c>
    </row>
    <row r="14628" spans="40:42" x14ac:dyDescent="0.3">
      <c r="AN14628">
        <v>14624</v>
      </c>
      <c r="AO14628" s="11">
        <v>21337.26</v>
      </c>
      <c r="AP14628" s="9">
        <v>3.1925612930003218</v>
      </c>
    </row>
    <row r="14629" spans="40:42" x14ac:dyDescent="0.3">
      <c r="AN14629">
        <v>14625</v>
      </c>
      <c r="AO14629" s="11">
        <v>36349.4</v>
      </c>
      <c r="AP14629" s="9">
        <v>3.5220788716166251</v>
      </c>
    </row>
    <row r="14630" spans="40:42" x14ac:dyDescent="0.3">
      <c r="AN14630">
        <v>14626</v>
      </c>
      <c r="AO14630" s="11">
        <v>25944.15</v>
      </c>
      <c r="AP14630" s="9">
        <v>3.2964407602532129</v>
      </c>
    </row>
    <row r="14631" spans="40:42" x14ac:dyDescent="0.3">
      <c r="AN14631">
        <v>14627</v>
      </c>
      <c r="AO14631" s="11">
        <v>20148.669999999998</v>
      </c>
      <c r="AP14631" s="9">
        <v>2.7952672574596775</v>
      </c>
    </row>
    <row r="14632" spans="40:42" x14ac:dyDescent="0.3">
      <c r="AN14632">
        <v>14628</v>
      </c>
      <c r="AO14632" s="11">
        <v>25108.04</v>
      </c>
      <c r="AP14632" s="9">
        <v>3.596596694498766</v>
      </c>
    </row>
    <row r="14633" spans="40:42" x14ac:dyDescent="0.3">
      <c r="AN14633">
        <v>14629</v>
      </c>
      <c r="AO14633" s="11">
        <v>30423.25</v>
      </c>
      <c r="AP14633" s="9">
        <v>3.5597051372580291</v>
      </c>
    </row>
    <row r="14634" spans="40:42" x14ac:dyDescent="0.3">
      <c r="AN14634">
        <v>14630</v>
      </c>
      <c r="AO14634" s="11">
        <v>32358.77</v>
      </c>
      <c r="AP14634" s="9">
        <v>3.43392225783743</v>
      </c>
    </row>
    <row r="14635" spans="40:42" x14ac:dyDescent="0.3">
      <c r="AN14635">
        <v>14631</v>
      </c>
      <c r="AO14635" s="11">
        <v>28104.720000000001</v>
      </c>
      <c r="AP14635" s="9">
        <v>3.8134444199667854</v>
      </c>
    </row>
    <row r="14636" spans="40:42" x14ac:dyDescent="0.3">
      <c r="AN14636">
        <v>14632</v>
      </c>
      <c r="AO14636" s="11">
        <v>40530.800000000003</v>
      </c>
      <c r="AP14636" s="9">
        <v>3.3610742673250673</v>
      </c>
    </row>
    <row r="14637" spans="40:42" x14ac:dyDescent="0.3">
      <c r="AN14637">
        <v>14633</v>
      </c>
      <c r="AO14637" s="11">
        <v>28548.84</v>
      </c>
      <c r="AP14637" s="9">
        <v>3.0485930472861082</v>
      </c>
    </row>
    <row r="14638" spans="40:42" x14ac:dyDescent="0.3">
      <c r="AN14638">
        <v>14634</v>
      </c>
      <c r="AO14638" s="11">
        <v>35916.79</v>
      </c>
      <c r="AP14638" s="9">
        <v>3.6067916054199678</v>
      </c>
    </row>
    <row r="14639" spans="40:42" x14ac:dyDescent="0.3">
      <c r="AN14639">
        <v>14635</v>
      </c>
      <c r="AO14639" s="11">
        <v>26542.76</v>
      </c>
      <c r="AP14639" s="9">
        <v>3.4075703880919801</v>
      </c>
    </row>
    <row r="14640" spans="40:42" x14ac:dyDescent="0.3">
      <c r="AN14640">
        <v>14636</v>
      </c>
      <c r="AO14640" s="11">
        <v>16304.46</v>
      </c>
      <c r="AP14640" s="9">
        <v>2.9327063826893953</v>
      </c>
    </row>
    <row r="14641" spans="40:42" x14ac:dyDescent="0.3">
      <c r="AN14641">
        <v>14637</v>
      </c>
      <c r="AO14641" s="11">
        <v>33300.19</v>
      </c>
      <c r="AP14641" s="9">
        <v>3.631274330127392</v>
      </c>
    </row>
    <row r="14642" spans="40:42" x14ac:dyDescent="0.3">
      <c r="AN14642">
        <v>14638</v>
      </c>
      <c r="AO14642" s="11">
        <v>24153.61</v>
      </c>
      <c r="AP14642" s="9">
        <v>3.6923979983887882</v>
      </c>
    </row>
    <row r="14643" spans="40:42" x14ac:dyDescent="0.3">
      <c r="AN14643">
        <v>14639</v>
      </c>
      <c r="AO14643" s="11">
        <v>22559.1</v>
      </c>
      <c r="AP14643" s="9">
        <v>3.3826000824430338</v>
      </c>
    </row>
    <row r="14644" spans="40:42" x14ac:dyDescent="0.3">
      <c r="AN14644">
        <v>14640</v>
      </c>
      <c r="AO14644" s="11">
        <v>26278.1</v>
      </c>
      <c r="AP14644" s="9">
        <v>3.5092064932078011</v>
      </c>
    </row>
    <row r="14645" spans="40:42" x14ac:dyDescent="0.3">
      <c r="AN14645">
        <v>14641</v>
      </c>
      <c r="AO14645" s="11">
        <v>23174.29</v>
      </c>
      <c r="AP14645" s="9">
        <v>3.2049984332425709</v>
      </c>
    </row>
    <row r="14646" spans="40:42" x14ac:dyDescent="0.3">
      <c r="AN14646">
        <v>14642</v>
      </c>
      <c r="AO14646" s="11">
        <v>35883.440000000002</v>
      </c>
      <c r="AP14646" s="9">
        <v>3.3380817982403905</v>
      </c>
    </row>
    <row r="14647" spans="40:42" x14ac:dyDescent="0.3">
      <c r="AN14647">
        <v>14643</v>
      </c>
      <c r="AO14647" s="11">
        <v>37850.89</v>
      </c>
      <c r="AP14647" s="9">
        <v>4.0514248689457144</v>
      </c>
    </row>
    <row r="14648" spans="40:42" x14ac:dyDescent="0.3">
      <c r="AN14648">
        <v>14644</v>
      </c>
      <c r="AO14648" s="11">
        <v>22510.92</v>
      </c>
      <c r="AP14648" s="9">
        <v>3.5376990326941513</v>
      </c>
    </row>
    <row r="14649" spans="40:42" x14ac:dyDescent="0.3">
      <c r="AN14649">
        <v>14645</v>
      </c>
      <c r="AO14649" s="11">
        <v>25362.25</v>
      </c>
      <c r="AP14649" s="9">
        <v>2.7492023431436956</v>
      </c>
    </row>
    <row r="14650" spans="40:42" x14ac:dyDescent="0.3">
      <c r="AN14650">
        <v>14646</v>
      </c>
      <c r="AO14650" s="11">
        <v>39893.269999999997</v>
      </c>
      <c r="AP14650" s="9">
        <v>3.4238313079216467</v>
      </c>
    </row>
    <row r="14651" spans="40:42" x14ac:dyDescent="0.3">
      <c r="AN14651">
        <v>14647</v>
      </c>
      <c r="AO14651" s="11">
        <v>26540.05</v>
      </c>
      <c r="AP14651" s="9">
        <v>2.9686951308922374</v>
      </c>
    </row>
    <row r="14652" spans="40:42" x14ac:dyDescent="0.3">
      <c r="AN14652">
        <v>14648</v>
      </c>
      <c r="AO14652" s="11">
        <v>23080.23</v>
      </c>
      <c r="AP14652" s="9">
        <v>2.9275996828783541</v>
      </c>
    </row>
    <row r="14653" spans="40:42" x14ac:dyDescent="0.3">
      <c r="AN14653">
        <v>14649</v>
      </c>
      <c r="AO14653" s="11">
        <v>21987.67</v>
      </c>
      <c r="AP14653" s="9">
        <v>3.8210596952988856</v>
      </c>
    </row>
    <row r="14654" spans="40:42" x14ac:dyDescent="0.3">
      <c r="AN14654">
        <v>14650</v>
      </c>
      <c r="AO14654" s="11">
        <v>41973.07</v>
      </c>
      <c r="AP14654" s="9">
        <v>3.5916348491934182</v>
      </c>
    </row>
    <row r="14655" spans="40:42" x14ac:dyDescent="0.3">
      <c r="AN14655">
        <v>14651</v>
      </c>
      <c r="AO14655" s="11">
        <v>25119.1</v>
      </c>
      <c r="AP14655" s="9">
        <v>3.3774740460948531</v>
      </c>
    </row>
    <row r="14656" spans="40:42" x14ac:dyDescent="0.3">
      <c r="AN14656">
        <v>14652</v>
      </c>
      <c r="AO14656" s="11">
        <v>39872.29</v>
      </c>
      <c r="AP14656" s="9">
        <v>3.7777791564522087</v>
      </c>
    </row>
    <row r="14657" spans="40:42" x14ac:dyDescent="0.3">
      <c r="AN14657">
        <v>14653</v>
      </c>
      <c r="AO14657" s="11">
        <v>19991.349999999999</v>
      </c>
      <c r="AP14657" s="9">
        <v>2.922569961830304</v>
      </c>
    </row>
    <row r="14658" spans="40:42" x14ac:dyDescent="0.3">
      <c r="AN14658">
        <v>14654</v>
      </c>
      <c r="AO14658" s="11">
        <v>29915.11</v>
      </c>
      <c r="AP14658" s="9">
        <v>3.5735351075043198</v>
      </c>
    </row>
    <row r="14659" spans="40:42" x14ac:dyDescent="0.3">
      <c r="AN14659">
        <v>14655</v>
      </c>
      <c r="AO14659" s="11">
        <v>25184.400000000001</v>
      </c>
      <c r="AP14659" s="9">
        <v>3.4580493154938585</v>
      </c>
    </row>
    <row r="14660" spans="40:42" x14ac:dyDescent="0.3">
      <c r="AN14660">
        <v>14656</v>
      </c>
      <c r="AO14660" s="11">
        <v>26803.95</v>
      </c>
      <c r="AP14660" s="9">
        <v>3.5914236516114042</v>
      </c>
    </row>
    <row r="14661" spans="40:42" x14ac:dyDescent="0.3">
      <c r="AN14661">
        <v>14657</v>
      </c>
      <c r="AO14661" s="11">
        <v>35915.67</v>
      </c>
      <c r="AP14661" s="9">
        <v>3.5587071362119445</v>
      </c>
    </row>
    <row r="14662" spans="40:42" x14ac:dyDescent="0.3">
      <c r="AN14662">
        <v>14658</v>
      </c>
      <c r="AO14662" s="11">
        <v>34813.629999999997</v>
      </c>
      <c r="AP14662" s="9">
        <v>3.0549576685276096</v>
      </c>
    </row>
    <row r="14663" spans="40:42" x14ac:dyDescent="0.3">
      <c r="AN14663">
        <v>14659</v>
      </c>
      <c r="AO14663" s="11">
        <v>25923.99</v>
      </c>
      <c r="AP14663" s="9">
        <v>3.025804975023997</v>
      </c>
    </row>
    <row r="14664" spans="40:42" x14ac:dyDescent="0.3">
      <c r="AN14664">
        <v>14660</v>
      </c>
      <c r="AO14664" s="11">
        <v>20630.41</v>
      </c>
      <c r="AP14664" s="9">
        <v>3.8111730175843364</v>
      </c>
    </row>
    <row r="14665" spans="40:42" x14ac:dyDescent="0.3">
      <c r="AN14665">
        <v>14661</v>
      </c>
      <c r="AO14665" s="11">
        <v>23904.36</v>
      </c>
      <c r="AP14665" s="9">
        <v>3.3957313782022829</v>
      </c>
    </row>
    <row r="14666" spans="40:42" x14ac:dyDescent="0.3">
      <c r="AN14666">
        <v>14662</v>
      </c>
      <c r="AO14666" s="11">
        <v>24230.9</v>
      </c>
      <c r="AP14666" s="9">
        <v>3.2483353069815375</v>
      </c>
    </row>
    <row r="14667" spans="40:42" x14ac:dyDescent="0.3">
      <c r="AN14667">
        <v>14663</v>
      </c>
      <c r="AO14667" s="11">
        <v>36634.01</v>
      </c>
      <c r="AP14667" s="9">
        <v>3.0523140032035934</v>
      </c>
    </row>
    <row r="14668" spans="40:42" x14ac:dyDescent="0.3">
      <c r="AN14668">
        <v>14664</v>
      </c>
      <c r="AO14668" s="11">
        <v>31035.95</v>
      </c>
      <c r="AP14668" s="9">
        <v>3.6465213254713933</v>
      </c>
    </row>
    <row r="14669" spans="40:42" x14ac:dyDescent="0.3">
      <c r="AN14669">
        <v>14665</v>
      </c>
      <c r="AO14669" s="11">
        <v>30173.919999999998</v>
      </c>
      <c r="AP14669" s="9">
        <v>2.9330429785703003</v>
      </c>
    </row>
    <row r="14670" spans="40:42" x14ac:dyDescent="0.3">
      <c r="AN14670">
        <v>14666</v>
      </c>
      <c r="AO14670" s="11">
        <v>19953.13</v>
      </c>
      <c r="AP14670" s="9">
        <v>2.986132455942462</v>
      </c>
    </row>
    <row r="14671" spans="40:42" x14ac:dyDescent="0.3">
      <c r="AN14671">
        <v>14667</v>
      </c>
      <c r="AO14671" s="11">
        <v>27033.26</v>
      </c>
      <c r="AP14671" s="9">
        <v>3.3847342525116471</v>
      </c>
    </row>
    <row r="14672" spans="40:42" x14ac:dyDescent="0.3">
      <c r="AN14672">
        <v>14668</v>
      </c>
      <c r="AO14672" s="11">
        <v>18469.810000000001</v>
      </c>
      <c r="AP14672" s="9">
        <v>3.8088770506636895</v>
      </c>
    </row>
    <row r="14673" spans="40:42" x14ac:dyDescent="0.3">
      <c r="AN14673">
        <v>14669</v>
      </c>
      <c r="AO14673" s="11">
        <v>28908.18</v>
      </c>
      <c r="AP14673" s="9">
        <v>2.8365668598734062</v>
      </c>
    </row>
    <row r="14674" spans="40:42" x14ac:dyDescent="0.3">
      <c r="AN14674">
        <v>14670</v>
      </c>
      <c r="AO14674" s="11">
        <v>20309.259999999998</v>
      </c>
      <c r="AP14674" s="9">
        <v>3.386701702963677</v>
      </c>
    </row>
    <row r="14675" spans="40:42" x14ac:dyDescent="0.3">
      <c r="AN14675">
        <v>14671</v>
      </c>
      <c r="AO14675" s="11">
        <v>30697.08</v>
      </c>
      <c r="AP14675" s="9">
        <v>3.8860998090838286</v>
      </c>
    </row>
    <row r="14676" spans="40:42" x14ac:dyDescent="0.3">
      <c r="AN14676">
        <v>14672</v>
      </c>
      <c r="AO14676" s="11">
        <v>25614.98</v>
      </c>
      <c r="AP14676" s="9">
        <v>3.3974437741263066</v>
      </c>
    </row>
    <row r="14677" spans="40:42" x14ac:dyDescent="0.3">
      <c r="AN14677">
        <v>14673</v>
      </c>
      <c r="AO14677" s="11">
        <v>46027.19</v>
      </c>
      <c r="AP14677" s="9">
        <v>3.3095432571510854</v>
      </c>
    </row>
    <row r="14678" spans="40:42" x14ac:dyDescent="0.3">
      <c r="AN14678">
        <v>14674</v>
      </c>
      <c r="AO14678" s="11">
        <v>23315.56</v>
      </c>
      <c r="AP14678" s="9">
        <v>2.9498755493855833</v>
      </c>
    </row>
    <row r="14679" spans="40:42" x14ac:dyDescent="0.3">
      <c r="AN14679">
        <v>14675</v>
      </c>
      <c r="AO14679" s="11">
        <v>20691.72</v>
      </c>
      <c r="AP14679" s="9">
        <v>3.2289205559085428</v>
      </c>
    </row>
    <row r="14680" spans="40:42" x14ac:dyDescent="0.3">
      <c r="AN14680">
        <v>14676</v>
      </c>
      <c r="AO14680" s="11">
        <v>25895.82</v>
      </c>
      <c r="AP14680" s="9">
        <v>3.01330938712948</v>
      </c>
    </row>
    <row r="14681" spans="40:42" x14ac:dyDescent="0.3">
      <c r="AN14681">
        <v>14677</v>
      </c>
      <c r="AO14681" s="11">
        <v>27698.97</v>
      </c>
      <c r="AP14681" s="9">
        <v>3.2783184657432347</v>
      </c>
    </row>
    <row r="14682" spans="40:42" x14ac:dyDescent="0.3">
      <c r="AN14682">
        <v>14678</v>
      </c>
      <c r="AO14682" s="11">
        <v>34216.04</v>
      </c>
      <c r="AP14682" s="9">
        <v>3.1131962381636291</v>
      </c>
    </row>
    <row r="14683" spans="40:42" x14ac:dyDescent="0.3">
      <c r="AN14683">
        <v>14679</v>
      </c>
      <c r="AO14683" s="11">
        <v>35632.5</v>
      </c>
      <c r="AP14683" s="9">
        <v>4.0219533538147116</v>
      </c>
    </row>
    <row r="14684" spans="40:42" x14ac:dyDescent="0.3">
      <c r="AN14684">
        <v>14680</v>
      </c>
      <c r="AO14684" s="11">
        <v>21965.8</v>
      </c>
      <c r="AP14684" s="9">
        <v>2.665188417673594</v>
      </c>
    </row>
    <row r="14685" spans="40:42" x14ac:dyDescent="0.3">
      <c r="AN14685">
        <v>14681</v>
      </c>
      <c r="AO14685" s="11">
        <v>36073.96</v>
      </c>
      <c r="AP14685" s="9">
        <v>3.530115486661876</v>
      </c>
    </row>
    <row r="14686" spans="40:42" x14ac:dyDescent="0.3">
      <c r="AN14686">
        <v>14682</v>
      </c>
      <c r="AO14686" s="11">
        <v>29694.959999999999</v>
      </c>
      <c r="AP14686" s="9">
        <v>3.6523251521450613</v>
      </c>
    </row>
    <row r="14687" spans="40:42" x14ac:dyDescent="0.3">
      <c r="AN14687">
        <v>14683</v>
      </c>
      <c r="AO14687" s="11">
        <v>31265.86</v>
      </c>
      <c r="AP14687" s="9">
        <v>3.4789099868854385</v>
      </c>
    </row>
    <row r="14688" spans="40:42" x14ac:dyDescent="0.3">
      <c r="AN14688">
        <v>14684</v>
      </c>
      <c r="AO14688" s="11">
        <v>22284.79</v>
      </c>
      <c r="AP14688" s="9">
        <v>3.5228887761272598</v>
      </c>
    </row>
    <row r="14689" spans="40:42" x14ac:dyDescent="0.3">
      <c r="AN14689">
        <v>14685</v>
      </c>
      <c r="AO14689" s="11">
        <v>29858.19</v>
      </c>
      <c r="AP14689" s="9">
        <v>3.7339253155053784</v>
      </c>
    </row>
    <row r="14690" spans="40:42" x14ac:dyDescent="0.3">
      <c r="AN14690">
        <v>14686</v>
      </c>
      <c r="AO14690" s="11">
        <v>29285.01</v>
      </c>
      <c r="AP14690" s="9">
        <v>3.5037381866776927</v>
      </c>
    </row>
    <row r="14691" spans="40:42" x14ac:dyDescent="0.3">
      <c r="AN14691">
        <v>14687</v>
      </c>
      <c r="AO14691" s="11">
        <v>22719.31</v>
      </c>
      <c r="AP14691" s="9">
        <v>3.0087107446626513</v>
      </c>
    </row>
    <row r="14692" spans="40:42" x14ac:dyDescent="0.3">
      <c r="AN14692">
        <v>14688</v>
      </c>
      <c r="AO14692" s="11">
        <v>29647.31</v>
      </c>
      <c r="AP14692" s="9">
        <v>2.9857895943921471</v>
      </c>
    </row>
    <row r="14693" spans="40:42" x14ac:dyDescent="0.3">
      <c r="AN14693">
        <v>14689</v>
      </c>
      <c r="AO14693" s="11">
        <v>23031.27</v>
      </c>
      <c r="AP14693" s="9">
        <v>2.954962200131396</v>
      </c>
    </row>
    <row r="14694" spans="40:42" x14ac:dyDescent="0.3">
      <c r="AN14694">
        <v>14690</v>
      </c>
      <c r="AO14694" s="11">
        <v>21354.080000000002</v>
      </c>
      <c r="AP14694" s="9">
        <v>2.9453209703670642</v>
      </c>
    </row>
    <row r="14695" spans="40:42" x14ac:dyDescent="0.3">
      <c r="AN14695">
        <v>14691</v>
      </c>
      <c r="AO14695" s="11">
        <v>20425.400000000001</v>
      </c>
      <c r="AP14695" s="9">
        <v>3.1527453721177778</v>
      </c>
    </row>
    <row r="14696" spans="40:42" x14ac:dyDescent="0.3">
      <c r="AN14696">
        <v>14692</v>
      </c>
      <c r="AO14696" s="11">
        <v>26899.119999999999</v>
      </c>
      <c r="AP14696" s="9">
        <v>3.2210147888025169</v>
      </c>
    </row>
    <row r="14697" spans="40:42" x14ac:dyDescent="0.3">
      <c r="AN14697">
        <v>14693</v>
      </c>
      <c r="AO14697" s="11">
        <v>22122.5</v>
      </c>
      <c r="AP14697" s="9">
        <v>3.5840722035511043</v>
      </c>
    </row>
    <row r="14698" spans="40:42" x14ac:dyDescent="0.3">
      <c r="AN14698">
        <v>14694</v>
      </c>
      <c r="AO14698" s="11">
        <v>28117.31</v>
      </c>
      <c r="AP14698" s="9">
        <v>3.820327400683889</v>
      </c>
    </row>
    <row r="14699" spans="40:42" x14ac:dyDescent="0.3">
      <c r="AN14699">
        <v>14695</v>
      </c>
      <c r="AO14699" s="11">
        <v>29178.01</v>
      </c>
      <c r="AP14699" s="9">
        <v>4.1233969303787461</v>
      </c>
    </row>
    <row r="14700" spans="40:42" x14ac:dyDescent="0.3">
      <c r="AN14700">
        <v>14696</v>
      </c>
      <c r="AO14700" s="11">
        <v>43846.879999999997</v>
      </c>
      <c r="AP14700" s="9">
        <v>4.4203508580818367</v>
      </c>
    </row>
    <row r="14701" spans="40:42" x14ac:dyDescent="0.3">
      <c r="AN14701">
        <v>14697</v>
      </c>
      <c r="AO14701" s="11">
        <v>14331.74</v>
      </c>
      <c r="AP14701" s="9">
        <v>3.395287837891138</v>
      </c>
    </row>
    <row r="14702" spans="40:42" x14ac:dyDescent="0.3">
      <c r="AN14702">
        <v>14698</v>
      </c>
      <c r="AO14702" s="11">
        <v>35459.480000000003</v>
      </c>
      <c r="AP14702" s="9">
        <v>3.3092282430461801</v>
      </c>
    </row>
    <row r="14703" spans="40:42" x14ac:dyDescent="0.3">
      <c r="AN14703">
        <v>14699</v>
      </c>
      <c r="AO14703" s="11">
        <v>31673.23</v>
      </c>
      <c r="AP14703" s="9">
        <v>3.2761218023734067</v>
      </c>
    </row>
    <row r="14704" spans="40:42" x14ac:dyDescent="0.3">
      <c r="AN14704">
        <v>14700</v>
      </c>
      <c r="AO14704" s="11">
        <v>16207.79</v>
      </c>
      <c r="AP14704" s="9">
        <v>3.3277739899859196</v>
      </c>
    </row>
    <row r="14705" spans="40:42" x14ac:dyDescent="0.3">
      <c r="AN14705">
        <v>14701</v>
      </c>
      <c r="AO14705" s="11">
        <v>33376.86</v>
      </c>
      <c r="AP14705" s="9">
        <v>3.7033215641697597</v>
      </c>
    </row>
    <row r="14706" spans="40:42" x14ac:dyDescent="0.3">
      <c r="AN14706">
        <v>14702</v>
      </c>
      <c r="AO14706" s="11">
        <v>24602.67</v>
      </c>
      <c r="AP14706" s="9">
        <v>3.1886241525354948</v>
      </c>
    </row>
    <row r="14707" spans="40:42" x14ac:dyDescent="0.3">
      <c r="AN14707">
        <v>14703</v>
      </c>
      <c r="AO14707" s="11">
        <v>20516.62</v>
      </c>
      <c r="AP14707" s="9">
        <v>3.1402709815869279</v>
      </c>
    </row>
    <row r="14708" spans="40:42" x14ac:dyDescent="0.3">
      <c r="AN14708">
        <v>14704</v>
      </c>
      <c r="AO14708" s="11">
        <v>17178.03</v>
      </c>
      <c r="AP14708" s="9">
        <v>3.3827677698533942</v>
      </c>
    </row>
    <row r="14709" spans="40:42" x14ac:dyDescent="0.3">
      <c r="AN14709">
        <v>14705</v>
      </c>
      <c r="AO14709" s="11">
        <v>21864.240000000002</v>
      </c>
      <c r="AP14709" s="9">
        <v>2.9383400070340375</v>
      </c>
    </row>
    <row r="14710" spans="40:42" x14ac:dyDescent="0.3">
      <c r="AN14710">
        <v>14706</v>
      </c>
      <c r="AO14710" s="11">
        <v>18848.86</v>
      </c>
      <c r="AP14710" s="9">
        <v>3.1567464961366274</v>
      </c>
    </row>
    <row r="14711" spans="40:42" x14ac:dyDescent="0.3">
      <c r="AN14711">
        <v>14707</v>
      </c>
      <c r="AO14711" s="11">
        <v>55892.84</v>
      </c>
      <c r="AP14711" s="9">
        <v>4.4787158432864267</v>
      </c>
    </row>
    <row r="14712" spans="40:42" x14ac:dyDescent="0.3">
      <c r="AN14712">
        <v>14708</v>
      </c>
      <c r="AO14712" s="11">
        <v>33112.660000000003</v>
      </c>
      <c r="AP14712" s="9">
        <v>4.2341296778179753</v>
      </c>
    </row>
    <row r="14713" spans="40:42" x14ac:dyDescent="0.3">
      <c r="AN14713">
        <v>14709</v>
      </c>
      <c r="AO14713" s="11">
        <v>21613.32</v>
      </c>
      <c r="AP14713" s="9">
        <v>3.041112033768449</v>
      </c>
    </row>
    <row r="14714" spans="40:42" x14ac:dyDescent="0.3">
      <c r="AN14714">
        <v>14710</v>
      </c>
      <c r="AO14714" s="11">
        <v>22235.13</v>
      </c>
      <c r="AP14714" s="9">
        <v>4.4571006071484147</v>
      </c>
    </row>
    <row r="14715" spans="40:42" x14ac:dyDescent="0.3">
      <c r="AN14715">
        <v>14711</v>
      </c>
      <c r="AO14715" s="11">
        <v>32342.16</v>
      </c>
      <c r="AP14715" s="9">
        <v>3.2973611443447415</v>
      </c>
    </row>
    <row r="14716" spans="40:42" x14ac:dyDescent="0.3">
      <c r="AN14716">
        <v>14712</v>
      </c>
      <c r="AO14716" s="11">
        <v>30224.39</v>
      </c>
      <c r="AP14716" s="9">
        <v>3.3772025546841329</v>
      </c>
    </row>
    <row r="14717" spans="40:42" x14ac:dyDescent="0.3">
      <c r="AN14717">
        <v>14713</v>
      </c>
      <c r="AO14717" s="11">
        <v>26642.02</v>
      </c>
      <c r="AP14717" s="9">
        <v>3.559782081865781</v>
      </c>
    </row>
    <row r="14718" spans="40:42" x14ac:dyDescent="0.3">
      <c r="AN14718">
        <v>14714</v>
      </c>
      <c r="AO14718" s="11">
        <v>21704.57</v>
      </c>
      <c r="AP14718" s="9">
        <v>3.4187402308828716</v>
      </c>
    </row>
    <row r="14719" spans="40:42" x14ac:dyDescent="0.3">
      <c r="AN14719">
        <v>14715</v>
      </c>
      <c r="AO14719" s="11">
        <v>15205.15</v>
      </c>
      <c r="AP14719" s="9">
        <v>3.0939513015116189</v>
      </c>
    </row>
    <row r="14720" spans="40:42" x14ac:dyDescent="0.3">
      <c r="AN14720">
        <v>14716</v>
      </c>
      <c r="AO14720" s="11">
        <v>15481.59</v>
      </c>
      <c r="AP14720" s="9">
        <v>3.0891228640360167</v>
      </c>
    </row>
    <row r="14721" spans="40:42" x14ac:dyDescent="0.3">
      <c r="AN14721">
        <v>14717</v>
      </c>
      <c r="AO14721" s="11">
        <v>32329.96</v>
      </c>
      <c r="AP14721" s="9">
        <v>3.7251468546255957</v>
      </c>
    </row>
    <row r="14722" spans="40:42" x14ac:dyDescent="0.3">
      <c r="AN14722">
        <v>14718</v>
      </c>
      <c r="AO14722" s="11">
        <v>22058.03</v>
      </c>
      <c r="AP14722" s="9">
        <v>3.4290164017498972</v>
      </c>
    </row>
    <row r="14723" spans="40:42" x14ac:dyDescent="0.3">
      <c r="AN14723">
        <v>14719</v>
      </c>
      <c r="AO14723" s="11">
        <v>34376.19</v>
      </c>
      <c r="AP14723" s="9">
        <v>3.0252549216953346</v>
      </c>
    </row>
    <row r="14724" spans="40:42" x14ac:dyDescent="0.3">
      <c r="AN14724">
        <v>14720</v>
      </c>
      <c r="AO14724" s="11">
        <v>17259.18</v>
      </c>
      <c r="AP14724" s="9">
        <v>3.4074398452543555</v>
      </c>
    </row>
    <row r="14725" spans="40:42" x14ac:dyDescent="0.3">
      <c r="AN14725">
        <v>14721</v>
      </c>
      <c r="AO14725" s="11">
        <v>23350.54</v>
      </c>
      <c r="AP14725" s="9">
        <v>2.9434487619503504</v>
      </c>
    </row>
    <row r="14726" spans="40:42" x14ac:dyDescent="0.3">
      <c r="AN14726">
        <v>14722</v>
      </c>
      <c r="AO14726" s="11">
        <v>24825.8</v>
      </c>
      <c r="AP14726" s="9">
        <v>4.055662427775089</v>
      </c>
    </row>
    <row r="14727" spans="40:42" x14ac:dyDescent="0.3">
      <c r="AN14727">
        <v>14723</v>
      </c>
      <c r="AO14727" s="11">
        <v>26839.37</v>
      </c>
      <c r="AP14727" s="9">
        <v>3.6121485927161312</v>
      </c>
    </row>
    <row r="14728" spans="40:42" x14ac:dyDescent="0.3">
      <c r="AN14728">
        <v>14724</v>
      </c>
      <c r="AO14728" s="11">
        <v>21824.95</v>
      </c>
      <c r="AP14728" s="9">
        <v>3.3522106536120209</v>
      </c>
    </row>
    <row r="14729" spans="40:42" x14ac:dyDescent="0.3">
      <c r="AN14729">
        <v>14725</v>
      </c>
      <c r="AO14729" s="11">
        <v>31293.91</v>
      </c>
      <c r="AP14729" s="9">
        <v>3.3085542616048698</v>
      </c>
    </row>
    <row r="14730" spans="40:42" x14ac:dyDescent="0.3">
      <c r="AN14730">
        <v>14726</v>
      </c>
      <c r="AO14730" s="11">
        <v>29423.67</v>
      </c>
      <c r="AP14730" s="9">
        <v>3.5119431606884817</v>
      </c>
    </row>
    <row r="14731" spans="40:42" x14ac:dyDescent="0.3">
      <c r="AN14731">
        <v>14727</v>
      </c>
      <c r="AO14731" s="11">
        <v>26561.26</v>
      </c>
      <c r="AP14731" s="9">
        <v>3.5516716821969667</v>
      </c>
    </row>
    <row r="14732" spans="40:42" x14ac:dyDescent="0.3">
      <c r="AN14732">
        <v>14728</v>
      </c>
      <c r="AO14732" s="11">
        <v>27311.32</v>
      </c>
      <c r="AP14732" s="9">
        <v>3.098031393559729</v>
      </c>
    </row>
    <row r="14733" spans="40:42" x14ac:dyDescent="0.3">
      <c r="AN14733">
        <v>14729</v>
      </c>
      <c r="AO14733" s="11">
        <v>28643.31</v>
      </c>
      <c r="AP14733" s="9">
        <v>3.7210722842311394</v>
      </c>
    </row>
    <row r="14734" spans="40:42" x14ac:dyDescent="0.3">
      <c r="AN14734">
        <v>14730</v>
      </c>
      <c r="AO14734" s="11">
        <v>27947.64</v>
      </c>
      <c r="AP14734" s="9">
        <v>3.2734719124438421</v>
      </c>
    </row>
    <row r="14735" spans="40:42" x14ac:dyDescent="0.3">
      <c r="AN14735">
        <v>14731</v>
      </c>
      <c r="AO14735" s="11">
        <v>28358.05</v>
      </c>
      <c r="AP14735" s="9">
        <v>3.3399584277512195</v>
      </c>
    </row>
    <row r="14736" spans="40:42" x14ac:dyDescent="0.3">
      <c r="AN14736">
        <v>14732</v>
      </c>
      <c r="AO14736" s="11">
        <v>25132.73</v>
      </c>
      <c r="AP14736" s="9">
        <v>2.6841912605859677</v>
      </c>
    </row>
    <row r="14737" spans="40:42" x14ac:dyDescent="0.3">
      <c r="AN14737">
        <v>14733</v>
      </c>
      <c r="AO14737" s="11">
        <v>16231.57</v>
      </c>
      <c r="AP14737" s="9">
        <v>2.9930418017747842</v>
      </c>
    </row>
    <row r="14738" spans="40:42" x14ac:dyDescent="0.3">
      <c r="AN14738">
        <v>14734</v>
      </c>
      <c r="AO14738" s="11">
        <v>22113.02</v>
      </c>
      <c r="AP14738" s="9">
        <v>3.576326326147329</v>
      </c>
    </row>
    <row r="14739" spans="40:42" x14ac:dyDescent="0.3">
      <c r="AN14739">
        <v>14735</v>
      </c>
      <c r="AO14739" s="11">
        <v>19991.78</v>
      </c>
      <c r="AP14739" s="9">
        <v>2.8969809790107468</v>
      </c>
    </row>
    <row r="14740" spans="40:42" x14ac:dyDescent="0.3">
      <c r="AN14740">
        <v>14736</v>
      </c>
      <c r="AO14740" s="11">
        <v>24813.7</v>
      </c>
      <c r="AP14740" s="9">
        <v>3.1342514449194354</v>
      </c>
    </row>
    <row r="14741" spans="40:42" x14ac:dyDescent="0.3">
      <c r="AN14741">
        <v>14737</v>
      </c>
      <c r="AO14741" s="11">
        <v>32787</v>
      </c>
      <c r="AP14741" s="9">
        <v>3.0893358122091774</v>
      </c>
    </row>
    <row r="14742" spans="40:42" x14ac:dyDescent="0.3">
      <c r="AN14742">
        <v>14738</v>
      </c>
      <c r="AO14742" s="11">
        <v>24498.17</v>
      </c>
      <c r="AP14742" s="9">
        <v>3.6929693198501665</v>
      </c>
    </row>
    <row r="14743" spans="40:42" x14ac:dyDescent="0.3">
      <c r="AN14743">
        <v>14739</v>
      </c>
      <c r="AO14743" s="11">
        <v>15870.51</v>
      </c>
      <c r="AP14743" s="9">
        <v>3.2229001629811558</v>
      </c>
    </row>
    <row r="14744" spans="40:42" x14ac:dyDescent="0.3">
      <c r="AN14744">
        <v>14740</v>
      </c>
      <c r="AO14744" s="11">
        <v>34087.879999999997</v>
      </c>
      <c r="AP14744" s="9">
        <v>3.5884812681758889</v>
      </c>
    </row>
    <row r="14745" spans="40:42" x14ac:dyDescent="0.3">
      <c r="AN14745">
        <v>14741</v>
      </c>
      <c r="AO14745" s="11">
        <v>32368.69</v>
      </c>
      <c r="AP14745" s="9">
        <v>3.9150673673818104</v>
      </c>
    </row>
    <row r="14746" spans="40:42" x14ac:dyDescent="0.3">
      <c r="AN14746">
        <v>14742</v>
      </c>
      <c r="AO14746" s="11">
        <v>18804.38</v>
      </c>
      <c r="AP14746" s="9">
        <v>3.1163465841176095</v>
      </c>
    </row>
    <row r="14747" spans="40:42" x14ac:dyDescent="0.3">
      <c r="AN14747">
        <v>14743</v>
      </c>
      <c r="AO14747" s="11">
        <v>27981.17</v>
      </c>
      <c r="AP14747" s="9">
        <v>3.2954864322368889</v>
      </c>
    </row>
    <row r="14748" spans="40:42" x14ac:dyDescent="0.3">
      <c r="AN14748">
        <v>14744</v>
      </c>
      <c r="AO14748" s="11">
        <v>35928.080000000002</v>
      </c>
      <c r="AP14748" s="9">
        <v>3.1973394148109677</v>
      </c>
    </row>
    <row r="14749" spans="40:42" x14ac:dyDescent="0.3">
      <c r="AN14749">
        <v>14745</v>
      </c>
      <c r="AO14749" s="11">
        <v>23049.26</v>
      </c>
      <c r="AP14749" s="9">
        <v>3.967088668743</v>
      </c>
    </row>
    <row r="14750" spans="40:42" x14ac:dyDescent="0.3">
      <c r="AN14750">
        <v>14746</v>
      </c>
      <c r="AO14750" s="11">
        <v>16242.46</v>
      </c>
      <c r="AP14750" s="9">
        <v>3.2356997708512623</v>
      </c>
    </row>
    <row r="14751" spans="40:42" x14ac:dyDescent="0.3">
      <c r="AN14751">
        <v>14747</v>
      </c>
      <c r="AO14751" s="11">
        <v>26901.18</v>
      </c>
      <c r="AP14751" s="9">
        <v>3.4257330938100399</v>
      </c>
    </row>
    <row r="14752" spans="40:42" x14ac:dyDescent="0.3">
      <c r="AN14752">
        <v>14748</v>
      </c>
      <c r="AO14752" s="11">
        <v>23522.49</v>
      </c>
      <c r="AP14752" s="9">
        <v>3.6261550549879082</v>
      </c>
    </row>
    <row r="14753" spans="40:42" x14ac:dyDescent="0.3">
      <c r="AN14753">
        <v>14749</v>
      </c>
      <c r="AO14753" s="11">
        <v>40950.81</v>
      </c>
      <c r="AP14753" s="9">
        <v>3.217077734453599</v>
      </c>
    </row>
    <row r="14754" spans="40:42" x14ac:dyDescent="0.3">
      <c r="AN14754">
        <v>14750</v>
      </c>
      <c r="AO14754" s="11">
        <v>40999.18</v>
      </c>
      <c r="AP14754" s="9">
        <v>3.8490631138586608</v>
      </c>
    </row>
    <row r="14755" spans="40:42" x14ac:dyDescent="0.3">
      <c r="AN14755">
        <v>14751</v>
      </c>
      <c r="AO14755" s="11">
        <v>27880.3</v>
      </c>
      <c r="AP14755" s="9">
        <v>3.5731313359005274</v>
      </c>
    </row>
    <row r="14756" spans="40:42" x14ac:dyDescent="0.3">
      <c r="AN14756">
        <v>14752</v>
      </c>
      <c r="AO14756" s="11">
        <v>26437.71</v>
      </c>
      <c r="AP14756" s="9">
        <v>3.9083670036701053</v>
      </c>
    </row>
    <row r="14757" spans="40:42" x14ac:dyDescent="0.3">
      <c r="AN14757">
        <v>14753</v>
      </c>
      <c r="AO14757" s="11">
        <v>23305.01</v>
      </c>
      <c r="AP14757" s="9">
        <v>2.7830538736316441</v>
      </c>
    </row>
    <row r="14758" spans="40:42" x14ac:dyDescent="0.3">
      <c r="AN14758">
        <v>14754</v>
      </c>
      <c r="AO14758" s="11">
        <v>23937.45</v>
      </c>
      <c r="AP14758" s="9">
        <v>3.1306020740016365</v>
      </c>
    </row>
    <row r="14759" spans="40:42" x14ac:dyDescent="0.3">
      <c r="AN14759">
        <v>14755</v>
      </c>
      <c r="AO14759" s="11">
        <v>28411.78</v>
      </c>
      <c r="AP14759" s="9">
        <v>3.7834093715925623</v>
      </c>
    </row>
    <row r="14760" spans="40:42" x14ac:dyDescent="0.3">
      <c r="AN14760">
        <v>14756</v>
      </c>
      <c r="AO14760" s="11">
        <v>22126.92</v>
      </c>
      <c r="AP14760" s="9">
        <v>3.5655208909652392</v>
      </c>
    </row>
    <row r="14761" spans="40:42" x14ac:dyDescent="0.3">
      <c r="AN14761">
        <v>14757</v>
      </c>
      <c r="AO14761" s="11">
        <v>35292.42</v>
      </c>
      <c r="AP14761" s="9">
        <v>3.6392215374455468</v>
      </c>
    </row>
    <row r="14762" spans="40:42" x14ac:dyDescent="0.3">
      <c r="AN14762">
        <v>14758</v>
      </c>
      <c r="AO14762" s="11">
        <v>25657.81</v>
      </c>
      <c r="AP14762" s="9">
        <v>2.9021934775972702</v>
      </c>
    </row>
    <row r="14763" spans="40:42" x14ac:dyDescent="0.3">
      <c r="AN14763">
        <v>14759</v>
      </c>
      <c r="AO14763" s="11">
        <v>21176.720000000001</v>
      </c>
      <c r="AP14763" s="9">
        <v>3.6148864803176863</v>
      </c>
    </row>
    <row r="14764" spans="40:42" x14ac:dyDescent="0.3">
      <c r="AN14764">
        <v>14760</v>
      </c>
      <c r="AO14764" s="11">
        <v>27158.42</v>
      </c>
      <c r="AP14764" s="9">
        <v>2.9341799535416877</v>
      </c>
    </row>
    <row r="14765" spans="40:42" x14ac:dyDescent="0.3">
      <c r="AN14765">
        <v>14761</v>
      </c>
      <c r="AO14765" s="11">
        <v>19952.57</v>
      </c>
      <c r="AP14765" s="9">
        <v>2.7704572808287611</v>
      </c>
    </row>
    <row r="14766" spans="40:42" x14ac:dyDescent="0.3">
      <c r="AN14766">
        <v>14762</v>
      </c>
      <c r="AO14766" s="11">
        <v>31277.97</v>
      </c>
      <c r="AP14766" s="9">
        <v>3.2517230768262819</v>
      </c>
    </row>
    <row r="14767" spans="40:42" x14ac:dyDescent="0.3">
      <c r="AN14767">
        <v>14763</v>
      </c>
      <c r="AO14767" s="11">
        <v>24762.94</v>
      </c>
      <c r="AP14767" s="9">
        <v>3.5281376216172515</v>
      </c>
    </row>
    <row r="14768" spans="40:42" x14ac:dyDescent="0.3">
      <c r="AN14768">
        <v>14764</v>
      </c>
      <c r="AO14768" s="11">
        <v>21138.16</v>
      </c>
      <c r="AP14768" s="9">
        <v>3.3190585115975333</v>
      </c>
    </row>
    <row r="14769" spans="40:42" x14ac:dyDescent="0.3">
      <c r="AN14769">
        <v>14765</v>
      </c>
      <c r="AO14769" s="11">
        <v>36882.800000000003</v>
      </c>
      <c r="AP14769" s="9">
        <v>3.4532456668777787</v>
      </c>
    </row>
    <row r="14770" spans="40:42" x14ac:dyDescent="0.3">
      <c r="AN14770">
        <v>14766</v>
      </c>
      <c r="AO14770" s="11">
        <v>21537.59</v>
      </c>
      <c r="AP14770" s="9">
        <v>3.2498207526957179</v>
      </c>
    </row>
    <row r="14771" spans="40:42" x14ac:dyDescent="0.3">
      <c r="AN14771">
        <v>14767</v>
      </c>
      <c r="AO14771" s="11">
        <v>31726.16</v>
      </c>
      <c r="AP14771" s="9">
        <v>4.1149959661577311</v>
      </c>
    </row>
    <row r="14772" spans="40:42" x14ac:dyDescent="0.3">
      <c r="AN14772">
        <v>14768</v>
      </c>
      <c r="AO14772" s="11">
        <v>26162.84</v>
      </c>
      <c r="AP14772" s="9">
        <v>3.3573125051928487</v>
      </c>
    </row>
    <row r="14773" spans="40:42" x14ac:dyDescent="0.3">
      <c r="AN14773">
        <v>14769</v>
      </c>
      <c r="AO14773" s="11">
        <v>28224.799999999999</v>
      </c>
      <c r="AP14773" s="9">
        <v>3.6927047802086665</v>
      </c>
    </row>
    <row r="14774" spans="40:42" x14ac:dyDescent="0.3">
      <c r="AN14774">
        <v>14770</v>
      </c>
      <c r="AO14774" s="11">
        <v>49326.35</v>
      </c>
      <c r="AP14774" s="9">
        <v>3.8314661194340354</v>
      </c>
    </row>
    <row r="14775" spans="40:42" x14ac:dyDescent="0.3">
      <c r="AN14775">
        <v>14771</v>
      </c>
      <c r="AO14775" s="11">
        <v>30987.62</v>
      </c>
      <c r="AP14775" s="9">
        <v>3.2822979498285361</v>
      </c>
    </row>
    <row r="14776" spans="40:42" x14ac:dyDescent="0.3">
      <c r="AN14776">
        <v>14772</v>
      </c>
      <c r="AO14776" s="11">
        <v>19997.189999999999</v>
      </c>
      <c r="AP14776" s="9">
        <v>3.3704115949612938</v>
      </c>
    </row>
    <row r="14777" spans="40:42" x14ac:dyDescent="0.3">
      <c r="AN14777">
        <v>14773</v>
      </c>
      <c r="AO14777" s="11">
        <v>29251.25</v>
      </c>
      <c r="AP14777" s="9">
        <v>3.8838870970692962</v>
      </c>
    </row>
    <row r="14778" spans="40:42" x14ac:dyDescent="0.3">
      <c r="AN14778">
        <v>14774</v>
      </c>
      <c r="AO14778" s="11">
        <v>32628.26</v>
      </c>
      <c r="AP14778" s="9">
        <v>3.4904090431831762</v>
      </c>
    </row>
    <row r="14779" spans="40:42" x14ac:dyDescent="0.3">
      <c r="AN14779">
        <v>14775</v>
      </c>
      <c r="AO14779" s="11">
        <v>32318.09</v>
      </c>
      <c r="AP14779" s="9">
        <v>3.5257888730370848</v>
      </c>
    </row>
    <row r="14780" spans="40:42" x14ac:dyDescent="0.3">
      <c r="AN14780">
        <v>14776</v>
      </c>
      <c r="AO14780" s="11">
        <v>16947.13</v>
      </c>
      <c r="AP14780" s="9">
        <v>2.8912148827130726</v>
      </c>
    </row>
    <row r="14781" spans="40:42" x14ac:dyDescent="0.3">
      <c r="AN14781">
        <v>14777</v>
      </c>
      <c r="AO14781" s="11">
        <v>23887.82</v>
      </c>
      <c r="AP14781" s="9">
        <v>3.1676664567044122</v>
      </c>
    </row>
    <row r="14782" spans="40:42" x14ac:dyDescent="0.3">
      <c r="AN14782">
        <v>14778</v>
      </c>
      <c r="AO14782" s="11">
        <v>44112.92</v>
      </c>
      <c r="AP14782" s="9">
        <v>3.9450777893755369</v>
      </c>
    </row>
    <row r="14783" spans="40:42" x14ac:dyDescent="0.3">
      <c r="AN14783">
        <v>14779</v>
      </c>
      <c r="AO14783" s="11">
        <v>32007.98</v>
      </c>
      <c r="AP14783" s="9">
        <v>3.3975728890161094</v>
      </c>
    </row>
    <row r="14784" spans="40:42" x14ac:dyDescent="0.3">
      <c r="AN14784">
        <v>14780</v>
      </c>
      <c r="AO14784" s="11">
        <v>26233.040000000001</v>
      </c>
      <c r="AP14784" s="9">
        <v>3.4944063534759806</v>
      </c>
    </row>
    <row r="14785" spans="40:42" x14ac:dyDescent="0.3">
      <c r="AN14785">
        <v>14781</v>
      </c>
      <c r="AO14785" s="11">
        <v>23597.86</v>
      </c>
      <c r="AP14785" s="9">
        <v>3.4111489756688149</v>
      </c>
    </row>
    <row r="14786" spans="40:42" x14ac:dyDescent="0.3">
      <c r="AN14786">
        <v>14782</v>
      </c>
      <c r="AO14786" s="11">
        <v>23138.22</v>
      </c>
      <c r="AP14786" s="9">
        <v>3.1644983003791101</v>
      </c>
    </row>
    <row r="14787" spans="40:42" x14ac:dyDescent="0.3">
      <c r="AN14787">
        <v>14783</v>
      </c>
      <c r="AO14787" s="11">
        <v>20145.919999999998</v>
      </c>
      <c r="AP14787" s="9">
        <v>2.6961860994226328</v>
      </c>
    </row>
    <row r="14788" spans="40:42" x14ac:dyDescent="0.3">
      <c r="AN14788">
        <v>14784</v>
      </c>
      <c r="AO14788" s="11">
        <v>20983.19</v>
      </c>
      <c r="AP14788" s="9">
        <v>4.0193595622564402</v>
      </c>
    </row>
    <row r="14789" spans="40:42" x14ac:dyDescent="0.3">
      <c r="AN14789">
        <v>14785</v>
      </c>
      <c r="AO14789" s="11">
        <v>26767.91</v>
      </c>
      <c r="AP14789" s="9">
        <v>3.1296833492779714</v>
      </c>
    </row>
    <row r="14790" spans="40:42" x14ac:dyDescent="0.3">
      <c r="AN14790">
        <v>14786</v>
      </c>
      <c r="AO14790" s="11">
        <v>27913.14</v>
      </c>
      <c r="AP14790" s="9">
        <v>2.9090360825990156</v>
      </c>
    </row>
    <row r="14791" spans="40:42" x14ac:dyDescent="0.3">
      <c r="AN14791">
        <v>14787</v>
      </c>
      <c r="AO14791" s="11">
        <v>27651.99</v>
      </c>
      <c r="AP14791" s="9">
        <v>3.1984406638440661</v>
      </c>
    </row>
    <row r="14792" spans="40:42" x14ac:dyDescent="0.3">
      <c r="AN14792">
        <v>14788</v>
      </c>
      <c r="AO14792" s="11">
        <v>29611.41</v>
      </c>
      <c r="AP14792" s="9">
        <v>3.4869992358615005</v>
      </c>
    </row>
    <row r="14793" spans="40:42" x14ac:dyDescent="0.3">
      <c r="AN14793">
        <v>14789</v>
      </c>
      <c r="AO14793" s="11">
        <v>33120.97</v>
      </c>
      <c r="AP14793" s="9">
        <v>3.323573063649174</v>
      </c>
    </row>
    <row r="14794" spans="40:42" x14ac:dyDescent="0.3">
      <c r="AN14794">
        <v>14790</v>
      </c>
      <c r="AO14794" s="11">
        <v>21065.03</v>
      </c>
      <c r="AP14794" s="9">
        <v>3.1593943748646205</v>
      </c>
    </row>
    <row r="14795" spans="40:42" x14ac:dyDescent="0.3">
      <c r="AN14795">
        <v>14791</v>
      </c>
      <c r="AO14795" s="11">
        <v>19899.900000000001</v>
      </c>
      <c r="AP14795" s="9">
        <v>3.3470874194075262</v>
      </c>
    </row>
    <row r="14796" spans="40:42" x14ac:dyDescent="0.3">
      <c r="AN14796">
        <v>14792</v>
      </c>
      <c r="AO14796" s="11">
        <v>25806.53</v>
      </c>
      <c r="AP14796" s="9">
        <v>3.3607740022247294</v>
      </c>
    </row>
    <row r="14797" spans="40:42" x14ac:dyDescent="0.3">
      <c r="AN14797">
        <v>14793</v>
      </c>
      <c r="AO14797" s="11">
        <v>37271.93</v>
      </c>
      <c r="AP14797" s="9">
        <v>3.9141138845110959</v>
      </c>
    </row>
    <row r="14798" spans="40:42" x14ac:dyDescent="0.3">
      <c r="AN14798">
        <v>14794</v>
      </c>
      <c r="AO14798" s="11">
        <v>37830.47</v>
      </c>
      <c r="AP14798" s="9">
        <v>3.8825136008537187</v>
      </c>
    </row>
    <row r="14799" spans="40:42" x14ac:dyDescent="0.3">
      <c r="AN14799">
        <v>14795</v>
      </c>
      <c r="AO14799" s="11">
        <v>13906.88</v>
      </c>
      <c r="AP14799" s="9">
        <v>2.7292927225833141</v>
      </c>
    </row>
    <row r="14800" spans="40:42" x14ac:dyDescent="0.3">
      <c r="AN14800">
        <v>14796</v>
      </c>
      <c r="AO14800" s="11">
        <v>27894.91</v>
      </c>
      <c r="AP14800" s="9">
        <v>2.9953332332893794</v>
      </c>
    </row>
    <row r="14801" spans="40:42" x14ac:dyDescent="0.3">
      <c r="AN14801">
        <v>14797</v>
      </c>
      <c r="AO14801" s="11">
        <v>20643.560000000001</v>
      </c>
      <c r="AP14801" s="9">
        <v>2.7536615397744848</v>
      </c>
    </row>
    <row r="14802" spans="40:42" x14ac:dyDescent="0.3">
      <c r="AN14802">
        <v>14798</v>
      </c>
      <c r="AO14802" s="11">
        <v>40222.26</v>
      </c>
      <c r="AP14802" s="9">
        <v>2.9527871583878804</v>
      </c>
    </row>
    <row r="14803" spans="40:42" x14ac:dyDescent="0.3">
      <c r="AN14803">
        <v>14799</v>
      </c>
      <c r="AO14803" s="11">
        <v>31015.38</v>
      </c>
      <c r="AP14803" s="9">
        <v>3.4989500673184946</v>
      </c>
    </row>
    <row r="14804" spans="40:42" x14ac:dyDescent="0.3">
      <c r="AN14804">
        <v>14800</v>
      </c>
      <c r="AO14804" s="11">
        <v>23916.92</v>
      </c>
      <c r="AP14804" s="9">
        <v>3.4920597293689015</v>
      </c>
    </row>
    <row r="14805" spans="40:42" x14ac:dyDescent="0.3">
      <c r="AN14805">
        <v>14801</v>
      </c>
      <c r="AO14805" s="11">
        <v>23620.41</v>
      </c>
      <c r="AP14805" s="9">
        <v>3.2289428908771995</v>
      </c>
    </row>
    <row r="14806" spans="40:42" x14ac:dyDescent="0.3">
      <c r="AN14806">
        <v>14802</v>
      </c>
      <c r="AO14806" s="11">
        <v>23974.16</v>
      </c>
      <c r="AP14806" s="9">
        <v>2.9103638882235643</v>
      </c>
    </row>
    <row r="14807" spans="40:42" x14ac:dyDescent="0.3">
      <c r="AN14807">
        <v>14803</v>
      </c>
      <c r="AO14807" s="11">
        <v>20300.849999999999</v>
      </c>
      <c r="AP14807" s="9">
        <v>2.8496378299688794</v>
      </c>
    </row>
    <row r="14808" spans="40:42" x14ac:dyDescent="0.3">
      <c r="AN14808">
        <v>14804</v>
      </c>
      <c r="AO14808" s="11">
        <v>30942.87</v>
      </c>
      <c r="AP14808" s="9">
        <v>3.5602293759150165</v>
      </c>
    </row>
    <row r="14809" spans="40:42" x14ac:dyDescent="0.3">
      <c r="AN14809">
        <v>14805</v>
      </c>
      <c r="AO14809" s="11">
        <v>17770.43</v>
      </c>
      <c r="AP14809" s="9">
        <v>3.3739206214351043</v>
      </c>
    </row>
    <row r="14810" spans="40:42" x14ac:dyDescent="0.3">
      <c r="AN14810">
        <v>14806</v>
      </c>
      <c r="AO14810" s="11">
        <v>23588.16</v>
      </c>
      <c r="AP14810" s="9">
        <v>3.0881865877400725</v>
      </c>
    </row>
    <row r="14811" spans="40:42" x14ac:dyDescent="0.3">
      <c r="AN14811">
        <v>14807</v>
      </c>
      <c r="AO14811" s="11">
        <v>29286</v>
      </c>
      <c r="AP14811" s="9">
        <v>2.9550915652079004</v>
      </c>
    </row>
    <row r="14812" spans="40:42" x14ac:dyDescent="0.3">
      <c r="AN14812">
        <v>14808</v>
      </c>
      <c r="AO14812" s="11">
        <v>28260.75</v>
      </c>
      <c r="AP14812" s="9">
        <v>3.2701487216502421</v>
      </c>
    </row>
    <row r="14813" spans="40:42" x14ac:dyDescent="0.3">
      <c r="AN14813">
        <v>14809</v>
      </c>
      <c r="AO14813" s="11">
        <v>21962.57</v>
      </c>
      <c r="AP14813" s="9">
        <v>3.3010517260774948</v>
      </c>
    </row>
    <row r="14814" spans="40:42" x14ac:dyDescent="0.3">
      <c r="AN14814">
        <v>14810</v>
      </c>
      <c r="AO14814" s="11">
        <v>16478.59</v>
      </c>
      <c r="AP14814" s="9">
        <v>4.1721644833146732</v>
      </c>
    </row>
    <row r="14815" spans="40:42" x14ac:dyDescent="0.3">
      <c r="AN14815">
        <v>14811</v>
      </c>
      <c r="AO14815" s="11">
        <v>21321.53</v>
      </c>
      <c r="AP14815" s="9">
        <v>2.7675018046873432</v>
      </c>
    </row>
    <row r="14816" spans="40:42" x14ac:dyDescent="0.3">
      <c r="AN14816">
        <v>14812</v>
      </c>
      <c r="AO14816" s="11">
        <v>38243.99</v>
      </c>
      <c r="AP14816" s="9">
        <v>4.1297839817873534</v>
      </c>
    </row>
    <row r="14817" spans="40:42" x14ac:dyDescent="0.3">
      <c r="AN14817">
        <v>14813</v>
      </c>
      <c r="AO14817" s="11">
        <v>23057.3</v>
      </c>
      <c r="AP14817" s="9">
        <v>3.5057696881304174</v>
      </c>
    </row>
    <row r="14818" spans="40:42" x14ac:dyDescent="0.3">
      <c r="AN14818">
        <v>14814</v>
      </c>
      <c r="AO14818" s="11">
        <v>25482.28</v>
      </c>
      <c r="AP14818" s="9">
        <v>3.1819928046293779</v>
      </c>
    </row>
    <row r="14819" spans="40:42" x14ac:dyDescent="0.3">
      <c r="AN14819">
        <v>14815</v>
      </c>
      <c r="AO14819" s="11">
        <v>20747.759999999998</v>
      </c>
      <c r="AP14819" s="9">
        <v>3.739850753735952</v>
      </c>
    </row>
    <row r="14820" spans="40:42" x14ac:dyDescent="0.3">
      <c r="AN14820">
        <v>14816</v>
      </c>
      <c r="AO14820" s="11">
        <v>38792.71</v>
      </c>
      <c r="AP14820" s="9">
        <v>3.312235966283728</v>
      </c>
    </row>
    <row r="14821" spans="40:42" x14ac:dyDescent="0.3">
      <c r="AN14821">
        <v>14817</v>
      </c>
      <c r="AO14821" s="11">
        <v>47343.24</v>
      </c>
      <c r="AP14821" s="9">
        <v>4.1366691200218266</v>
      </c>
    </row>
    <row r="14822" spans="40:42" x14ac:dyDescent="0.3">
      <c r="AN14822">
        <v>14818</v>
      </c>
      <c r="AO14822" s="11">
        <v>19866.22</v>
      </c>
      <c r="AP14822" s="9">
        <v>3.0679422149425473</v>
      </c>
    </row>
    <row r="14823" spans="40:42" x14ac:dyDescent="0.3">
      <c r="AN14823">
        <v>14819</v>
      </c>
      <c r="AO14823" s="11">
        <v>19609.810000000001</v>
      </c>
      <c r="AP14823" s="9">
        <v>3.1610221789704811</v>
      </c>
    </row>
    <row r="14824" spans="40:42" x14ac:dyDescent="0.3">
      <c r="AN14824">
        <v>14820</v>
      </c>
      <c r="AO14824" s="11">
        <v>31441.25</v>
      </c>
      <c r="AP14824" s="9">
        <v>3.9388738833558459</v>
      </c>
    </row>
    <row r="14825" spans="40:42" x14ac:dyDescent="0.3">
      <c r="AN14825">
        <v>14821</v>
      </c>
      <c r="AO14825" s="11">
        <v>42104.57</v>
      </c>
      <c r="AP14825" s="9">
        <v>2.9525614707109513</v>
      </c>
    </row>
    <row r="14826" spans="40:42" x14ac:dyDescent="0.3">
      <c r="AN14826">
        <v>14822</v>
      </c>
      <c r="AO14826" s="11">
        <v>29676.61</v>
      </c>
      <c r="AP14826" s="9">
        <v>4.3180493716753272</v>
      </c>
    </row>
    <row r="14827" spans="40:42" x14ac:dyDescent="0.3">
      <c r="AN14827">
        <v>14823</v>
      </c>
      <c r="AO14827" s="11">
        <v>21817.200000000001</v>
      </c>
      <c r="AP14827" s="9">
        <v>3.7337043695974015</v>
      </c>
    </row>
    <row r="14828" spans="40:42" x14ac:dyDescent="0.3">
      <c r="AN14828">
        <v>14824</v>
      </c>
      <c r="AO14828" s="11">
        <v>25296.12</v>
      </c>
      <c r="AP14828" s="9">
        <v>3.0112392911037555</v>
      </c>
    </row>
    <row r="14829" spans="40:42" x14ac:dyDescent="0.3">
      <c r="AN14829">
        <v>14825</v>
      </c>
      <c r="AO14829" s="11">
        <v>29389.71</v>
      </c>
      <c r="AP14829" s="9">
        <v>4.1862196181950289</v>
      </c>
    </row>
    <row r="14830" spans="40:42" x14ac:dyDescent="0.3">
      <c r="AN14830">
        <v>14826</v>
      </c>
      <c r="AO14830" s="11">
        <v>35555.800000000003</v>
      </c>
      <c r="AP14830" s="9">
        <v>3.3246692371851867</v>
      </c>
    </row>
    <row r="14831" spans="40:42" x14ac:dyDescent="0.3">
      <c r="AN14831">
        <v>14827</v>
      </c>
      <c r="AO14831" s="11">
        <v>26009.26</v>
      </c>
      <c r="AP14831" s="9">
        <v>3.2683069467444672</v>
      </c>
    </row>
    <row r="14832" spans="40:42" x14ac:dyDescent="0.3">
      <c r="AN14832">
        <v>14828</v>
      </c>
      <c r="AO14832" s="11">
        <v>26134.61</v>
      </c>
      <c r="AP14832" s="9">
        <v>3.6474779034017266</v>
      </c>
    </row>
    <row r="14833" spans="40:42" x14ac:dyDescent="0.3">
      <c r="AN14833">
        <v>14829</v>
      </c>
      <c r="AO14833" s="11">
        <v>31951.1</v>
      </c>
      <c r="AP14833" s="9">
        <v>4.0037930160973927</v>
      </c>
    </row>
    <row r="14834" spans="40:42" x14ac:dyDescent="0.3">
      <c r="AN14834">
        <v>14830</v>
      </c>
      <c r="AO14834" s="11">
        <v>23932.15</v>
      </c>
      <c r="AP14834" s="9">
        <v>3.1886104184847284</v>
      </c>
    </row>
    <row r="14835" spans="40:42" x14ac:dyDescent="0.3">
      <c r="AN14835">
        <v>14831</v>
      </c>
      <c r="AO14835" s="11">
        <v>30349.74</v>
      </c>
      <c r="AP14835" s="9">
        <v>3.5655425333570903</v>
      </c>
    </row>
    <row r="14836" spans="40:42" x14ac:dyDescent="0.3">
      <c r="AN14836">
        <v>14832</v>
      </c>
      <c r="AO14836" s="11">
        <v>27295.85</v>
      </c>
      <c r="AP14836" s="9">
        <v>3.1776879430844276</v>
      </c>
    </row>
    <row r="14837" spans="40:42" x14ac:dyDescent="0.3">
      <c r="AN14837">
        <v>14833</v>
      </c>
      <c r="AO14837" s="11">
        <v>36368.199999999997</v>
      </c>
      <c r="AP14837" s="9">
        <v>3.963881759720457</v>
      </c>
    </row>
    <row r="14838" spans="40:42" x14ac:dyDescent="0.3">
      <c r="AN14838">
        <v>14834</v>
      </c>
      <c r="AO14838" s="11">
        <v>35002.14</v>
      </c>
      <c r="AP14838" s="9">
        <v>3.6208344678392566</v>
      </c>
    </row>
    <row r="14839" spans="40:42" x14ac:dyDescent="0.3">
      <c r="AN14839">
        <v>14835</v>
      </c>
      <c r="AO14839" s="11">
        <v>23802.12</v>
      </c>
      <c r="AP14839" s="9">
        <v>3.3517535056376246</v>
      </c>
    </row>
    <row r="14840" spans="40:42" x14ac:dyDescent="0.3">
      <c r="AN14840">
        <v>14836</v>
      </c>
      <c r="AO14840" s="11">
        <v>27162.79</v>
      </c>
      <c r="AP14840" s="9">
        <v>3.2778044713843317</v>
      </c>
    </row>
    <row r="14841" spans="40:42" x14ac:dyDescent="0.3">
      <c r="AN14841">
        <v>14837</v>
      </c>
      <c r="AO14841" s="11">
        <v>17286.53</v>
      </c>
      <c r="AP14841" s="9">
        <v>3.0953908430279582</v>
      </c>
    </row>
    <row r="14842" spans="40:42" x14ac:dyDescent="0.3">
      <c r="AN14842">
        <v>14838</v>
      </c>
      <c r="AO14842" s="11">
        <v>22447.74</v>
      </c>
      <c r="AP14842" s="9">
        <v>2.9020873797323024</v>
      </c>
    </row>
    <row r="14843" spans="40:42" x14ac:dyDescent="0.3">
      <c r="AN14843">
        <v>14839</v>
      </c>
      <c r="AO14843" s="11">
        <v>24778.799999999999</v>
      </c>
      <c r="AP14843" s="9">
        <v>3.656992355607418</v>
      </c>
    </row>
    <row r="14844" spans="40:42" x14ac:dyDescent="0.3">
      <c r="AN14844">
        <v>14840</v>
      </c>
      <c r="AO14844" s="11">
        <v>24385.34</v>
      </c>
      <c r="AP14844" s="9">
        <v>2.8576220760750188</v>
      </c>
    </row>
    <row r="14845" spans="40:42" x14ac:dyDescent="0.3">
      <c r="AN14845">
        <v>14841</v>
      </c>
      <c r="AO14845" s="11">
        <v>27114.86</v>
      </c>
      <c r="AP14845" s="9">
        <v>3.9343734930412562</v>
      </c>
    </row>
    <row r="14846" spans="40:42" x14ac:dyDescent="0.3">
      <c r="AN14846">
        <v>14842</v>
      </c>
      <c r="AO14846" s="11">
        <v>31693.200000000001</v>
      </c>
      <c r="AP14846" s="9">
        <v>3.5348821358031337</v>
      </c>
    </row>
    <row r="14847" spans="40:42" x14ac:dyDescent="0.3">
      <c r="AN14847">
        <v>14843</v>
      </c>
      <c r="AO14847" s="11">
        <v>19198.02</v>
      </c>
      <c r="AP14847" s="9">
        <v>3.1627662320991172</v>
      </c>
    </row>
    <row r="14848" spans="40:42" x14ac:dyDescent="0.3">
      <c r="AN14848">
        <v>14844</v>
      </c>
      <c r="AO14848" s="11">
        <v>34901.58</v>
      </c>
      <c r="AP14848" s="9">
        <v>3.1617088790255026</v>
      </c>
    </row>
    <row r="14849" spans="40:42" x14ac:dyDescent="0.3">
      <c r="AN14849">
        <v>14845</v>
      </c>
      <c r="AO14849" s="11">
        <v>16832.580000000002</v>
      </c>
      <c r="AP14849" s="9">
        <v>3.5495290231207295</v>
      </c>
    </row>
    <row r="14850" spans="40:42" x14ac:dyDescent="0.3">
      <c r="AN14850">
        <v>14846</v>
      </c>
      <c r="AO14850" s="11">
        <v>22843.279999999999</v>
      </c>
      <c r="AP14850" s="9">
        <v>3.6146958871662789</v>
      </c>
    </row>
    <row r="14851" spans="40:42" x14ac:dyDescent="0.3">
      <c r="AN14851">
        <v>14847</v>
      </c>
      <c r="AO14851" s="11">
        <v>23609.59</v>
      </c>
      <c r="AP14851" s="9">
        <v>3.1937458070253988</v>
      </c>
    </row>
    <row r="14852" spans="40:42" x14ac:dyDescent="0.3">
      <c r="AN14852">
        <v>14848</v>
      </c>
      <c r="AO14852" s="11">
        <v>25766.95</v>
      </c>
      <c r="AP14852" s="9">
        <v>3.3936413769442817</v>
      </c>
    </row>
    <row r="14853" spans="40:42" x14ac:dyDescent="0.3">
      <c r="AN14853">
        <v>14849</v>
      </c>
      <c r="AO14853" s="11">
        <v>31094.65</v>
      </c>
      <c r="AP14853" s="9">
        <v>3.4359215219041603</v>
      </c>
    </row>
    <row r="14854" spans="40:42" x14ac:dyDescent="0.3">
      <c r="AN14854">
        <v>14850</v>
      </c>
      <c r="AO14854" s="11">
        <v>25934.46</v>
      </c>
      <c r="AP14854" s="9">
        <v>3.4541462858274015</v>
      </c>
    </row>
    <row r="14855" spans="40:42" x14ac:dyDescent="0.3">
      <c r="AN14855">
        <v>14851</v>
      </c>
      <c r="AO14855" s="11">
        <v>24485.65</v>
      </c>
      <c r="AP14855" s="9">
        <v>4.1000316272851611</v>
      </c>
    </row>
    <row r="14856" spans="40:42" x14ac:dyDescent="0.3">
      <c r="AN14856">
        <v>14852</v>
      </c>
      <c r="AO14856" s="11">
        <v>35759.5</v>
      </c>
      <c r="AP14856" s="9">
        <v>2.779507010655013</v>
      </c>
    </row>
    <row r="14857" spans="40:42" x14ac:dyDescent="0.3">
      <c r="AN14857">
        <v>14853</v>
      </c>
      <c r="AO14857" s="11">
        <v>18894.28</v>
      </c>
      <c r="AP14857" s="9">
        <v>3.3431700540982354</v>
      </c>
    </row>
    <row r="14858" spans="40:42" x14ac:dyDescent="0.3">
      <c r="AN14858">
        <v>14854</v>
      </c>
      <c r="AO14858" s="11">
        <v>27892.9</v>
      </c>
      <c r="AP14858" s="9">
        <v>3.300067230147103</v>
      </c>
    </row>
    <row r="14859" spans="40:42" x14ac:dyDescent="0.3">
      <c r="AN14859">
        <v>14855</v>
      </c>
      <c r="AO14859" s="11">
        <v>29113.07</v>
      </c>
      <c r="AP14859" s="9">
        <v>3.7781413911847617</v>
      </c>
    </row>
    <row r="14860" spans="40:42" x14ac:dyDescent="0.3">
      <c r="AN14860">
        <v>14856</v>
      </c>
      <c r="AO14860" s="11">
        <v>28509.27</v>
      </c>
      <c r="AP14860" s="9">
        <v>3.3773692384963012</v>
      </c>
    </row>
    <row r="14861" spans="40:42" x14ac:dyDescent="0.3">
      <c r="AN14861">
        <v>14857</v>
      </c>
      <c r="AO14861" s="11">
        <v>49000.44</v>
      </c>
      <c r="AP14861" s="9">
        <v>3.6825758449930621</v>
      </c>
    </row>
    <row r="14862" spans="40:42" x14ac:dyDescent="0.3">
      <c r="AN14862">
        <v>14858</v>
      </c>
      <c r="AO14862" s="11">
        <v>33284.839999999997</v>
      </c>
      <c r="AP14862" s="9">
        <v>3.2551576076517246</v>
      </c>
    </row>
    <row r="14863" spans="40:42" x14ac:dyDescent="0.3">
      <c r="AN14863">
        <v>14859</v>
      </c>
      <c r="AO14863" s="11">
        <v>27075.86</v>
      </c>
      <c r="AP14863" s="9">
        <v>3.2375194101208904</v>
      </c>
    </row>
    <row r="14864" spans="40:42" x14ac:dyDescent="0.3">
      <c r="AN14864">
        <v>14860</v>
      </c>
      <c r="AO14864" s="11">
        <v>17709.89</v>
      </c>
      <c r="AP14864" s="9">
        <v>3.2938087034721049</v>
      </c>
    </row>
    <row r="14865" spans="40:42" x14ac:dyDescent="0.3">
      <c r="AN14865">
        <v>14861</v>
      </c>
      <c r="AO14865" s="11">
        <v>22302.59</v>
      </c>
      <c r="AP14865" s="9">
        <v>3.5292127527903427</v>
      </c>
    </row>
    <row r="14866" spans="40:42" x14ac:dyDescent="0.3">
      <c r="AN14866">
        <v>14862</v>
      </c>
      <c r="AO14866" s="11">
        <v>20661.400000000001</v>
      </c>
      <c r="AP14866" s="9">
        <v>3.0770323743659254</v>
      </c>
    </row>
    <row r="14867" spans="40:42" x14ac:dyDescent="0.3">
      <c r="AN14867">
        <v>14863</v>
      </c>
      <c r="AO14867" s="11">
        <v>43530.43</v>
      </c>
      <c r="AP14867" s="9">
        <v>3.5993252440657972</v>
      </c>
    </row>
    <row r="14868" spans="40:42" x14ac:dyDescent="0.3">
      <c r="AN14868">
        <v>14864</v>
      </c>
      <c r="AO14868" s="11">
        <v>29112.62</v>
      </c>
      <c r="AP14868" s="9">
        <v>3.0078203015461105</v>
      </c>
    </row>
    <row r="14869" spans="40:42" x14ac:dyDescent="0.3">
      <c r="AN14869">
        <v>14865</v>
      </c>
      <c r="AO14869" s="11">
        <v>39425.32</v>
      </c>
      <c r="AP14869" s="9">
        <v>3.7025158552121975</v>
      </c>
    </row>
    <row r="14870" spans="40:42" x14ac:dyDescent="0.3">
      <c r="AN14870">
        <v>14866</v>
      </c>
      <c r="AO14870" s="11">
        <v>24835.919999999998</v>
      </c>
      <c r="AP14870" s="9">
        <v>3.1559637570892107</v>
      </c>
    </row>
    <row r="14871" spans="40:42" x14ac:dyDescent="0.3">
      <c r="AN14871">
        <v>14867</v>
      </c>
      <c r="AO14871" s="11">
        <v>32273.93</v>
      </c>
      <c r="AP14871" s="9">
        <v>3.5503345660044889</v>
      </c>
    </row>
    <row r="14872" spans="40:42" x14ac:dyDescent="0.3">
      <c r="AN14872">
        <v>14868</v>
      </c>
      <c r="AO14872" s="11">
        <v>27320.18</v>
      </c>
      <c r="AP14872" s="9">
        <v>3.2312142179454142</v>
      </c>
    </row>
    <row r="14873" spans="40:42" x14ac:dyDescent="0.3">
      <c r="AN14873">
        <v>14869</v>
      </c>
      <c r="AO14873" s="11">
        <v>22249</v>
      </c>
      <c r="AP14873" s="9">
        <v>3.179763034698647</v>
      </c>
    </row>
    <row r="14874" spans="40:42" x14ac:dyDescent="0.3">
      <c r="AN14874">
        <v>14870</v>
      </c>
      <c r="AO14874" s="11">
        <v>21110.14</v>
      </c>
      <c r="AP14874" s="9">
        <v>3.6137810106174832</v>
      </c>
    </row>
    <row r="14875" spans="40:42" x14ac:dyDescent="0.3">
      <c r="AN14875">
        <v>14871</v>
      </c>
      <c r="AO14875" s="11">
        <v>23640.23</v>
      </c>
      <c r="AP14875" s="9">
        <v>3.5262160527579094</v>
      </c>
    </row>
    <row r="14876" spans="40:42" x14ac:dyDescent="0.3">
      <c r="AN14876">
        <v>14872</v>
      </c>
      <c r="AO14876" s="11">
        <v>35796.379999999997</v>
      </c>
      <c r="AP14876" s="9">
        <v>3.3329305634166202</v>
      </c>
    </row>
    <row r="14877" spans="40:42" x14ac:dyDescent="0.3">
      <c r="AN14877">
        <v>14873</v>
      </c>
      <c r="AO14877" s="11">
        <v>35784.07</v>
      </c>
      <c r="AP14877" s="9">
        <v>4.0642992750019475</v>
      </c>
    </row>
    <row r="14878" spans="40:42" x14ac:dyDescent="0.3">
      <c r="AN14878">
        <v>14874</v>
      </c>
      <c r="AO14878" s="11">
        <v>21192.46</v>
      </c>
      <c r="AP14878" s="9">
        <v>4.2033737362713461</v>
      </c>
    </row>
    <row r="14879" spans="40:42" x14ac:dyDescent="0.3">
      <c r="AN14879">
        <v>14875</v>
      </c>
      <c r="AO14879" s="11">
        <v>40348.03</v>
      </c>
      <c r="AP14879" s="9">
        <v>3.7577519448636378</v>
      </c>
    </row>
    <row r="14880" spans="40:42" x14ac:dyDescent="0.3">
      <c r="AN14880">
        <v>14876</v>
      </c>
      <c r="AO14880" s="11">
        <v>30276.080000000002</v>
      </c>
      <c r="AP14880" s="9">
        <v>4.1882694726434355</v>
      </c>
    </row>
    <row r="14881" spans="40:42" x14ac:dyDescent="0.3">
      <c r="AN14881">
        <v>14877</v>
      </c>
      <c r="AO14881" s="11">
        <v>23216.78</v>
      </c>
      <c r="AP14881" s="9">
        <v>2.8749924790374575</v>
      </c>
    </row>
    <row r="14882" spans="40:42" x14ac:dyDescent="0.3">
      <c r="AN14882">
        <v>14878</v>
      </c>
      <c r="AO14882" s="11">
        <v>23343.16</v>
      </c>
      <c r="AP14882" s="9">
        <v>3.1388535446361865</v>
      </c>
    </row>
    <row r="14883" spans="40:42" x14ac:dyDescent="0.3">
      <c r="AN14883">
        <v>14879</v>
      </c>
      <c r="AO14883" s="11">
        <v>22739.99</v>
      </c>
      <c r="AP14883" s="9">
        <v>2.9830730395064791</v>
      </c>
    </row>
    <row r="14884" spans="40:42" x14ac:dyDescent="0.3">
      <c r="AN14884">
        <v>14880</v>
      </c>
      <c r="AO14884" s="11">
        <v>18598.09</v>
      </c>
      <c r="AP14884" s="9">
        <v>3.3374184008853076</v>
      </c>
    </row>
    <row r="14885" spans="40:42" x14ac:dyDescent="0.3">
      <c r="AN14885">
        <v>14881</v>
      </c>
      <c r="AO14885" s="11">
        <v>21868.25</v>
      </c>
      <c r="AP14885" s="9">
        <v>3.1640569093838882</v>
      </c>
    </row>
    <row r="14886" spans="40:42" x14ac:dyDescent="0.3">
      <c r="AN14886">
        <v>14882</v>
      </c>
      <c r="AO14886" s="11">
        <v>28619.59</v>
      </c>
      <c r="AP14886" s="9">
        <v>3.3093035027889948</v>
      </c>
    </row>
    <row r="14887" spans="40:42" x14ac:dyDescent="0.3">
      <c r="AN14887">
        <v>14883</v>
      </c>
      <c r="AO14887" s="11">
        <v>23405.06</v>
      </c>
      <c r="AP14887" s="9">
        <v>2.9884491559863973</v>
      </c>
    </row>
    <row r="14888" spans="40:42" x14ac:dyDescent="0.3">
      <c r="AN14888">
        <v>14884</v>
      </c>
      <c r="AO14888" s="11">
        <v>21542.55</v>
      </c>
      <c r="AP14888" s="9">
        <v>3.3731939427060214</v>
      </c>
    </row>
    <row r="14889" spans="40:42" x14ac:dyDescent="0.3">
      <c r="AN14889">
        <v>14885</v>
      </c>
      <c r="AO14889" s="11">
        <v>20746.39</v>
      </c>
      <c r="AP14889" s="9">
        <v>3.4297742120912513</v>
      </c>
    </row>
    <row r="14890" spans="40:42" x14ac:dyDescent="0.3">
      <c r="AN14890">
        <v>14886</v>
      </c>
      <c r="AO14890" s="11">
        <v>31114.15</v>
      </c>
      <c r="AP14890" s="9">
        <v>3.0007271116041889</v>
      </c>
    </row>
    <row r="14891" spans="40:42" x14ac:dyDescent="0.3">
      <c r="AN14891">
        <v>14887</v>
      </c>
      <c r="AO14891" s="11">
        <v>33173.03</v>
      </c>
      <c r="AP14891" s="9">
        <v>3.497728212795542</v>
      </c>
    </row>
    <row r="14892" spans="40:42" x14ac:dyDescent="0.3">
      <c r="AN14892">
        <v>14888</v>
      </c>
      <c r="AO14892" s="11">
        <v>26591.07</v>
      </c>
      <c r="AP14892" s="9">
        <v>3.4299369394485928</v>
      </c>
    </row>
    <row r="14893" spans="40:42" x14ac:dyDescent="0.3">
      <c r="AN14893">
        <v>14889</v>
      </c>
      <c r="AO14893" s="11">
        <v>23559.29</v>
      </c>
      <c r="AP14893" s="9">
        <v>3.3614398151683305</v>
      </c>
    </row>
    <row r="14894" spans="40:42" x14ac:dyDescent="0.3">
      <c r="AN14894">
        <v>14890</v>
      </c>
      <c r="AO14894" s="11">
        <v>18756.82</v>
      </c>
      <c r="AP14894" s="9">
        <v>3.6072032783266654</v>
      </c>
    </row>
    <row r="14895" spans="40:42" x14ac:dyDescent="0.3">
      <c r="AN14895">
        <v>14891</v>
      </c>
      <c r="AO14895" s="11">
        <v>18740.849999999999</v>
      </c>
      <c r="AP14895" s="9">
        <v>3.5443486829636837</v>
      </c>
    </row>
    <row r="14896" spans="40:42" x14ac:dyDescent="0.3">
      <c r="AN14896">
        <v>14892</v>
      </c>
      <c r="AO14896" s="11">
        <v>31665.95</v>
      </c>
      <c r="AP14896" s="9">
        <v>3.5099592342302555</v>
      </c>
    </row>
    <row r="14897" spans="40:42" x14ac:dyDescent="0.3">
      <c r="AN14897">
        <v>14893</v>
      </c>
      <c r="AO14897" s="11">
        <v>31578.84</v>
      </c>
      <c r="AP14897" s="9">
        <v>3.6452810151707582</v>
      </c>
    </row>
    <row r="14898" spans="40:42" x14ac:dyDescent="0.3">
      <c r="AN14898">
        <v>14894</v>
      </c>
      <c r="AO14898" s="11">
        <v>17535.21</v>
      </c>
      <c r="AP14898" s="9">
        <v>3.5002718330300917</v>
      </c>
    </row>
    <row r="14899" spans="40:42" x14ac:dyDescent="0.3">
      <c r="AN14899">
        <v>14895</v>
      </c>
      <c r="AO14899" s="11">
        <v>28706.2</v>
      </c>
      <c r="AP14899" s="9">
        <v>3.07077681815294</v>
      </c>
    </row>
    <row r="14900" spans="40:42" x14ac:dyDescent="0.3">
      <c r="AN14900">
        <v>14896</v>
      </c>
      <c r="AO14900" s="11">
        <v>31999.41</v>
      </c>
      <c r="AP14900" s="9">
        <v>3.2571435160004936</v>
      </c>
    </row>
    <row r="14901" spans="40:42" x14ac:dyDescent="0.3">
      <c r="AN14901">
        <v>14897</v>
      </c>
      <c r="AO14901" s="11">
        <v>27936.25</v>
      </c>
      <c r="AP14901" s="9">
        <v>3.3311223574488826</v>
      </c>
    </row>
    <row r="14902" spans="40:42" x14ac:dyDescent="0.3">
      <c r="AN14902">
        <v>14898</v>
      </c>
      <c r="AO14902" s="11">
        <v>23783.06</v>
      </c>
      <c r="AP14902" s="9">
        <v>3.4228607689754673</v>
      </c>
    </row>
    <row r="14903" spans="40:42" x14ac:dyDescent="0.3">
      <c r="AN14903">
        <v>14899</v>
      </c>
      <c r="AO14903" s="11">
        <v>22954.59</v>
      </c>
      <c r="AP14903" s="9">
        <v>2.845218783313733</v>
      </c>
    </row>
    <row r="14904" spans="40:42" x14ac:dyDescent="0.3">
      <c r="AN14904">
        <v>14900</v>
      </c>
      <c r="AO14904" s="11">
        <v>41511.230000000003</v>
      </c>
      <c r="AP14904" s="9">
        <v>3.4939358038986925</v>
      </c>
    </row>
    <row r="14905" spans="40:42" x14ac:dyDescent="0.3">
      <c r="AN14905">
        <v>14901</v>
      </c>
      <c r="AO14905" s="11">
        <v>27796.67</v>
      </c>
      <c r="AP14905" s="9">
        <v>3.1898596682932108</v>
      </c>
    </row>
    <row r="14906" spans="40:42" x14ac:dyDescent="0.3">
      <c r="AN14906">
        <v>14902</v>
      </c>
      <c r="AO14906" s="11">
        <v>22877.68</v>
      </c>
      <c r="AP14906" s="9">
        <v>3.0318290625031827</v>
      </c>
    </row>
    <row r="14907" spans="40:42" x14ac:dyDescent="0.3">
      <c r="AN14907">
        <v>14903</v>
      </c>
      <c r="AO14907" s="11">
        <v>23844.46</v>
      </c>
      <c r="AP14907" s="9">
        <v>4.189479675506238</v>
      </c>
    </row>
    <row r="14908" spans="40:42" x14ac:dyDescent="0.3">
      <c r="AN14908">
        <v>14904</v>
      </c>
      <c r="AO14908" s="11">
        <v>30678.32</v>
      </c>
      <c r="AP14908" s="9">
        <v>2.7129370255384</v>
      </c>
    </row>
    <row r="14909" spans="40:42" x14ac:dyDescent="0.3">
      <c r="AN14909">
        <v>14905</v>
      </c>
      <c r="AO14909" s="11">
        <v>42639.79</v>
      </c>
      <c r="AP14909" s="9">
        <v>3.6615095770609449</v>
      </c>
    </row>
    <row r="14910" spans="40:42" x14ac:dyDescent="0.3">
      <c r="AN14910">
        <v>14906</v>
      </c>
      <c r="AO14910" s="11">
        <v>33693.47</v>
      </c>
      <c r="AP14910" s="9">
        <v>3.4016557666821772</v>
      </c>
    </row>
    <row r="14911" spans="40:42" x14ac:dyDescent="0.3">
      <c r="AN14911">
        <v>14907</v>
      </c>
      <c r="AO14911" s="11">
        <v>21088.65</v>
      </c>
      <c r="AP14911" s="9">
        <v>2.9915156012844908</v>
      </c>
    </row>
    <row r="14912" spans="40:42" x14ac:dyDescent="0.3">
      <c r="AN14912">
        <v>14908</v>
      </c>
      <c r="AO14912" s="11">
        <v>27550.3</v>
      </c>
      <c r="AP14912" s="9">
        <v>4.299255331880806</v>
      </c>
    </row>
    <row r="14913" spans="40:42" x14ac:dyDescent="0.3">
      <c r="AN14913">
        <v>14909</v>
      </c>
      <c r="AO14913" s="11">
        <v>22216.76</v>
      </c>
      <c r="AP14913" s="9">
        <v>3.0881365030281618</v>
      </c>
    </row>
    <row r="14914" spans="40:42" x14ac:dyDescent="0.3">
      <c r="AN14914">
        <v>14910</v>
      </c>
      <c r="AO14914" s="11">
        <v>14470.04</v>
      </c>
      <c r="AP14914" s="9">
        <v>2.7771817634858689</v>
      </c>
    </row>
    <row r="14915" spans="40:42" x14ac:dyDescent="0.3">
      <c r="AN14915">
        <v>14911</v>
      </c>
      <c r="AO14915" s="11">
        <v>20829.009999999998</v>
      </c>
      <c r="AP14915" s="9">
        <v>2.9348257298785012</v>
      </c>
    </row>
    <row r="14916" spans="40:42" x14ac:dyDescent="0.3">
      <c r="AN14916">
        <v>14912</v>
      </c>
      <c r="AO14916" s="11">
        <v>32189.69</v>
      </c>
      <c r="AP14916" s="9">
        <v>3.287234452032509</v>
      </c>
    </row>
    <row r="14917" spans="40:42" x14ac:dyDescent="0.3">
      <c r="AN14917">
        <v>14913</v>
      </c>
      <c r="AO14917" s="11">
        <v>25418.240000000002</v>
      </c>
      <c r="AP14917" s="9">
        <v>3.0442743764487878</v>
      </c>
    </row>
    <row r="14918" spans="40:42" x14ac:dyDescent="0.3">
      <c r="AN14918">
        <v>14914</v>
      </c>
      <c r="AO14918" s="11">
        <v>20381.98</v>
      </c>
      <c r="AP14918" s="9">
        <v>3.2755943217274996</v>
      </c>
    </row>
    <row r="14919" spans="40:42" x14ac:dyDescent="0.3">
      <c r="AN14919">
        <v>14915</v>
      </c>
      <c r="AO14919" s="11">
        <v>30196.7</v>
      </c>
      <c r="AP14919" s="9">
        <v>2.8348771562431012</v>
      </c>
    </row>
    <row r="14920" spans="40:42" x14ac:dyDescent="0.3">
      <c r="AN14920">
        <v>14916</v>
      </c>
      <c r="AO14920" s="11">
        <v>36800.129999999997</v>
      </c>
      <c r="AP14920" s="9">
        <v>3.5288798840809203</v>
      </c>
    </row>
    <row r="14921" spans="40:42" x14ac:dyDescent="0.3">
      <c r="AN14921">
        <v>14917</v>
      </c>
      <c r="AO14921" s="11">
        <v>28811.94</v>
      </c>
      <c r="AP14921" s="9">
        <v>3.0257365300479901</v>
      </c>
    </row>
    <row r="14922" spans="40:42" x14ac:dyDescent="0.3">
      <c r="AN14922">
        <v>14918</v>
      </c>
      <c r="AO14922" s="11">
        <v>30132.84</v>
      </c>
      <c r="AP14922" s="9">
        <v>3.6155832155845156</v>
      </c>
    </row>
    <row r="14923" spans="40:42" x14ac:dyDescent="0.3">
      <c r="AN14923">
        <v>14919</v>
      </c>
      <c r="AO14923" s="11">
        <v>19202.37</v>
      </c>
      <c r="AP14923" s="9">
        <v>3.1950076889168781</v>
      </c>
    </row>
    <row r="14924" spans="40:42" x14ac:dyDescent="0.3">
      <c r="AN14924">
        <v>14920</v>
      </c>
      <c r="AO14924" s="11">
        <v>40527.81</v>
      </c>
      <c r="AP14924" s="9">
        <v>3.7797744335388144</v>
      </c>
    </row>
    <row r="14925" spans="40:42" x14ac:dyDescent="0.3">
      <c r="AN14925">
        <v>14921</v>
      </c>
      <c r="AO14925" s="11">
        <v>28852.1</v>
      </c>
      <c r="AP14925" s="9">
        <v>3.8128086934290617</v>
      </c>
    </row>
    <row r="14926" spans="40:42" x14ac:dyDescent="0.3">
      <c r="AN14926">
        <v>14922</v>
      </c>
      <c r="AO14926" s="11">
        <v>27871.360000000001</v>
      </c>
      <c r="AP14926" s="9">
        <v>3.8895938669378212</v>
      </c>
    </row>
    <row r="14927" spans="40:42" x14ac:dyDescent="0.3">
      <c r="AN14927">
        <v>14923</v>
      </c>
      <c r="AO14927" s="11">
        <v>31507.85</v>
      </c>
      <c r="AP14927" s="9">
        <v>3.4549197133797511</v>
      </c>
    </row>
    <row r="14928" spans="40:42" x14ac:dyDescent="0.3">
      <c r="AN14928">
        <v>14924</v>
      </c>
      <c r="AO14928" s="11">
        <v>18571.169999999998</v>
      </c>
      <c r="AP14928" s="9">
        <v>2.9805304084541704</v>
      </c>
    </row>
    <row r="14929" spans="40:42" x14ac:dyDescent="0.3">
      <c r="AN14929">
        <v>14925</v>
      </c>
      <c r="AO14929" s="11">
        <v>29896.78</v>
      </c>
      <c r="AP14929" s="9">
        <v>3.8818089382084588</v>
      </c>
    </row>
    <row r="14930" spans="40:42" x14ac:dyDescent="0.3">
      <c r="AN14930">
        <v>14926</v>
      </c>
      <c r="AO14930" s="11">
        <v>26987.39</v>
      </c>
      <c r="AP14930" s="9">
        <v>3.1971779111283132</v>
      </c>
    </row>
    <row r="14931" spans="40:42" x14ac:dyDescent="0.3">
      <c r="AN14931">
        <v>14927</v>
      </c>
      <c r="AO14931" s="11">
        <v>27147.64</v>
      </c>
      <c r="AP14931" s="9">
        <v>3.9309580297248337</v>
      </c>
    </row>
    <row r="14932" spans="40:42" x14ac:dyDescent="0.3">
      <c r="AN14932">
        <v>14928</v>
      </c>
      <c r="AO14932" s="11">
        <v>29437.37</v>
      </c>
      <c r="AP14932" s="9">
        <v>3.0449668666275573</v>
      </c>
    </row>
    <row r="14933" spans="40:42" x14ac:dyDescent="0.3">
      <c r="AN14933">
        <v>14929</v>
      </c>
      <c r="AO14933" s="11">
        <v>36284.07</v>
      </c>
      <c r="AP14933" s="9">
        <v>4.1266104971260775</v>
      </c>
    </row>
    <row r="14934" spans="40:42" x14ac:dyDescent="0.3">
      <c r="AN14934">
        <v>14930</v>
      </c>
      <c r="AO14934" s="11">
        <v>26954.81</v>
      </c>
      <c r="AP14934" s="9">
        <v>3.3963114822084397</v>
      </c>
    </row>
    <row r="14935" spans="40:42" x14ac:dyDescent="0.3">
      <c r="AN14935">
        <v>14931</v>
      </c>
      <c r="AO14935" s="11">
        <v>27843.91</v>
      </c>
      <c r="AP14935" s="9">
        <v>3.6726315992987928</v>
      </c>
    </row>
    <row r="14936" spans="40:42" x14ac:dyDescent="0.3">
      <c r="AN14936">
        <v>14932</v>
      </c>
      <c r="AO14936" s="11">
        <v>26374.880000000001</v>
      </c>
      <c r="AP14936" s="9">
        <v>3.3197767519325034</v>
      </c>
    </row>
    <row r="14937" spans="40:42" x14ac:dyDescent="0.3">
      <c r="AN14937">
        <v>14933</v>
      </c>
      <c r="AO14937" s="11">
        <v>21339.62</v>
      </c>
      <c r="AP14937" s="9">
        <v>3.6276845541056937</v>
      </c>
    </row>
    <row r="14938" spans="40:42" x14ac:dyDescent="0.3">
      <c r="AN14938">
        <v>14934</v>
      </c>
      <c r="AO14938" s="11">
        <v>31204.639999999999</v>
      </c>
      <c r="AP14938" s="9">
        <v>3.742706606490942</v>
      </c>
    </row>
    <row r="14939" spans="40:42" x14ac:dyDescent="0.3">
      <c r="AN14939">
        <v>14935</v>
      </c>
      <c r="AO14939" s="11">
        <v>28388.78</v>
      </c>
      <c r="AP14939" s="9">
        <v>3.5488298524606252</v>
      </c>
    </row>
    <row r="14940" spans="40:42" x14ac:dyDescent="0.3">
      <c r="AN14940">
        <v>14936</v>
      </c>
      <c r="AO14940" s="11">
        <v>18165.43</v>
      </c>
      <c r="AP14940" s="9">
        <v>2.8047041077650805</v>
      </c>
    </row>
    <row r="14941" spans="40:42" x14ac:dyDescent="0.3">
      <c r="AN14941">
        <v>14937</v>
      </c>
      <c r="AO14941" s="11">
        <v>29255.1</v>
      </c>
      <c r="AP14941" s="9">
        <v>3.5590125010032403</v>
      </c>
    </row>
    <row r="14942" spans="40:42" x14ac:dyDescent="0.3">
      <c r="AN14942">
        <v>14938</v>
      </c>
      <c r="AO14942" s="11">
        <v>22061.95</v>
      </c>
      <c r="AP14942" s="9">
        <v>3.3298783986064087</v>
      </c>
    </row>
    <row r="14943" spans="40:42" x14ac:dyDescent="0.3">
      <c r="AN14943">
        <v>14939</v>
      </c>
      <c r="AO14943" s="11">
        <v>32593.58</v>
      </c>
      <c r="AP14943" s="9">
        <v>3.4111176315017602</v>
      </c>
    </row>
    <row r="14944" spans="40:42" x14ac:dyDescent="0.3">
      <c r="AN14944">
        <v>14940</v>
      </c>
      <c r="AO14944" s="11">
        <v>36035.57</v>
      </c>
      <c r="AP14944" s="9">
        <v>3.6078955446408592</v>
      </c>
    </row>
    <row r="14945" spans="40:42" x14ac:dyDescent="0.3">
      <c r="AN14945">
        <v>14941</v>
      </c>
      <c r="AO14945" s="11">
        <v>34463.040000000001</v>
      </c>
      <c r="AP14945" s="9">
        <v>3.5790309858118405</v>
      </c>
    </row>
    <row r="14946" spans="40:42" x14ac:dyDescent="0.3">
      <c r="AN14946">
        <v>14942</v>
      </c>
      <c r="AO14946" s="11">
        <v>39495.760000000002</v>
      </c>
      <c r="AP14946" s="9">
        <v>4.2403657299011819</v>
      </c>
    </row>
    <row r="14947" spans="40:42" x14ac:dyDescent="0.3">
      <c r="AN14947">
        <v>14943</v>
      </c>
      <c r="AO14947" s="11">
        <v>40849.339999999997</v>
      </c>
      <c r="AP14947" s="9">
        <v>3.9942699573636142</v>
      </c>
    </row>
    <row r="14948" spans="40:42" x14ac:dyDescent="0.3">
      <c r="AN14948">
        <v>14944</v>
      </c>
      <c r="AO14948" s="11">
        <v>27977.23</v>
      </c>
      <c r="AP14948" s="9">
        <v>3.0141181629295324</v>
      </c>
    </row>
    <row r="14949" spans="40:42" x14ac:dyDescent="0.3">
      <c r="AN14949">
        <v>14945</v>
      </c>
      <c r="AO14949" s="11">
        <v>22482.52</v>
      </c>
      <c r="AP14949" s="9">
        <v>3.4953032716962404</v>
      </c>
    </row>
    <row r="14950" spans="40:42" x14ac:dyDescent="0.3">
      <c r="AN14950">
        <v>14946</v>
      </c>
      <c r="AO14950" s="11">
        <v>24985.79</v>
      </c>
      <c r="AP14950" s="9">
        <v>3.0941657548178827</v>
      </c>
    </row>
    <row r="14951" spans="40:42" x14ac:dyDescent="0.3">
      <c r="AN14951">
        <v>14947</v>
      </c>
      <c r="AO14951" s="11">
        <v>20150.57</v>
      </c>
      <c r="AP14951" s="9">
        <v>2.8921122346687502</v>
      </c>
    </row>
    <row r="14952" spans="40:42" x14ac:dyDescent="0.3">
      <c r="AN14952">
        <v>14948</v>
      </c>
      <c r="AO14952" s="11">
        <v>37667.660000000003</v>
      </c>
      <c r="AP14952" s="9">
        <v>3.0679473493780662</v>
      </c>
    </row>
    <row r="14953" spans="40:42" x14ac:dyDescent="0.3">
      <c r="AN14953">
        <v>14949</v>
      </c>
      <c r="AO14953" s="11">
        <v>19756.87</v>
      </c>
      <c r="AP14953" s="9">
        <v>3.3311597495398719</v>
      </c>
    </row>
    <row r="14954" spans="40:42" x14ac:dyDescent="0.3">
      <c r="AN14954">
        <v>14950</v>
      </c>
      <c r="AO14954" s="11">
        <v>27249.25</v>
      </c>
      <c r="AP14954" s="9">
        <v>3.4262891935685169</v>
      </c>
    </row>
    <row r="14955" spans="40:42" x14ac:dyDescent="0.3">
      <c r="AN14955">
        <v>14951</v>
      </c>
      <c r="AO14955" s="11">
        <v>49378.8</v>
      </c>
      <c r="AP14955" s="9">
        <v>4.659486159982551</v>
      </c>
    </row>
    <row r="14956" spans="40:42" x14ac:dyDescent="0.3">
      <c r="AN14956">
        <v>14952</v>
      </c>
      <c r="AO14956" s="11">
        <v>37627.1</v>
      </c>
      <c r="AP14956" s="9">
        <v>3.6058876956775077</v>
      </c>
    </row>
    <row r="14957" spans="40:42" x14ac:dyDescent="0.3">
      <c r="AN14957">
        <v>14953</v>
      </c>
      <c r="AO14957" s="11">
        <v>42512.56</v>
      </c>
      <c r="AP14957" s="9">
        <v>3.872418483658564</v>
      </c>
    </row>
    <row r="14958" spans="40:42" x14ac:dyDescent="0.3">
      <c r="AN14958">
        <v>14954</v>
      </c>
      <c r="AO14958" s="11">
        <v>23357.26</v>
      </c>
      <c r="AP14958" s="9">
        <v>3.3845596629921557</v>
      </c>
    </row>
    <row r="14959" spans="40:42" x14ac:dyDescent="0.3">
      <c r="AN14959">
        <v>14955</v>
      </c>
      <c r="AO14959" s="11">
        <v>23459.61</v>
      </c>
      <c r="AP14959" s="9">
        <v>3.5591514135880393</v>
      </c>
    </row>
    <row r="14960" spans="40:42" x14ac:dyDescent="0.3">
      <c r="AN14960">
        <v>14956</v>
      </c>
      <c r="AO14960" s="11">
        <v>28562.82</v>
      </c>
      <c r="AP14960" s="9">
        <v>3.9451451534902153</v>
      </c>
    </row>
    <row r="14961" spans="40:42" x14ac:dyDescent="0.3">
      <c r="AN14961">
        <v>14957</v>
      </c>
      <c r="AO14961" s="11">
        <v>27653.75</v>
      </c>
      <c r="AP14961" s="9">
        <v>3.7663249527551632</v>
      </c>
    </row>
    <row r="14962" spans="40:42" x14ac:dyDescent="0.3">
      <c r="AN14962">
        <v>14958</v>
      </c>
      <c r="AO14962" s="11">
        <v>20746.009999999998</v>
      </c>
      <c r="AP14962" s="9">
        <v>3.4805472729439315</v>
      </c>
    </row>
    <row r="14963" spans="40:42" x14ac:dyDescent="0.3">
      <c r="AN14963">
        <v>14959</v>
      </c>
      <c r="AO14963" s="11">
        <v>28384.75</v>
      </c>
      <c r="AP14963" s="9">
        <v>2.9126113420746704</v>
      </c>
    </row>
    <row r="14964" spans="40:42" x14ac:dyDescent="0.3">
      <c r="AN14964">
        <v>14960</v>
      </c>
      <c r="AO14964" s="11">
        <v>20357.5</v>
      </c>
      <c r="AP14964" s="9">
        <v>2.5822531390045316</v>
      </c>
    </row>
    <row r="14965" spans="40:42" x14ac:dyDescent="0.3">
      <c r="AN14965">
        <v>14961</v>
      </c>
      <c r="AO14965" s="11">
        <v>27877.360000000001</v>
      </c>
      <c r="AP14965" s="9">
        <v>2.9878889869055683</v>
      </c>
    </row>
    <row r="14966" spans="40:42" x14ac:dyDescent="0.3">
      <c r="AN14966">
        <v>14962</v>
      </c>
      <c r="AO14966" s="11">
        <v>29528.27</v>
      </c>
      <c r="AP14966" s="9">
        <v>3.5818667842929872</v>
      </c>
    </row>
    <row r="14967" spans="40:42" x14ac:dyDescent="0.3">
      <c r="AN14967">
        <v>14963</v>
      </c>
      <c r="AO14967" s="11">
        <v>18692.490000000002</v>
      </c>
      <c r="AP14967" s="9">
        <v>2.2777301108393773</v>
      </c>
    </row>
    <row r="14968" spans="40:42" x14ac:dyDescent="0.3">
      <c r="AN14968">
        <v>14964</v>
      </c>
      <c r="AO14968" s="11">
        <v>16718.64</v>
      </c>
      <c r="AP14968" s="9">
        <v>3.1043493990936062</v>
      </c>
    </row>
    <row r="14969" spans="40:42" x14ac:dyDescent="0.3">
      <c r="AN14969">
        <v>14965</v>
      </c>
      <c r="AO14969" s="11">
        <v>28023.45</v>
      </c>
      <c r="AP14969" s="9">
        <v>3.067592330952269</v>
      </c>
    </row>
    <row r="14970" spans="40:42" x14ac:dyDescent="0.3">
      <c r="AN14970">
        <v>14966</v>
      </c>
      <c r="AO14970" s="11">
        <v>22113.599999999999</v>
      </c>
      <c r="AP14970" s="9">
        <v>3.0633707058480524</v>
      </c>
    </row>
    <row r="14971" spans="40:42" x14ac:dyDescent="0.3">
      <c r="AN14971">
        <v>14967</v>
      </c>
      <c r="AO14971" s="11">
        <v>21264.09</v>
      </c>
      <c r="AP14971" s="9">
        <v>3.508350853759</v>
      </c>
    </row>
    <row r="14972" spans="40:42" x14ac:dyDescent="0.3">
      <c r="AN14972">
        <v>14968</v>
      </c>
      <c r="AO14972" s="11">
        <v>22980.5</v>
      </c>
      <c r="AP14972" s="9">
        <v>3.9642143897421165</v>
      </c>
    </row>
    <row r="14973" spans="40:42" x14ac:dyDescent="0.3">
      <c r="AN14973">
        <v>14969</v>
      </c>
      <c r="AO14973" s="11">
        <v>37155.79</v>
      </c>
      <c r="AP14973" s="9">
        <v>3.0534549575981975</v>
      </c>
    </row>
    <row r="14974" spans="40:42" x14ac:dyDescent="0.3">
      <c r="AN14974">
        <v>14970</v>
      </c>
      <c r="AO14974" s="11">
        <v>36413.69</v>
      </c>
      <c r="AP14974" s="9">
        <v>3.6237536679606248</v>
      </c>
    </row>
    <row r="14975" spans="40:42" x14ac:dyDescent="0.3">
      <c r="AN14975">
        <v>14971</v>
      </c>
      <c r="AO14975" s="11">
        <v>16665.169999999998</v>
      </c>
      <c r="AP14975" s="9">
        <v>3.2241323070183872</v>
      </c>
    </row>
    <row r="14976" spans="40:42" x14ac:dyDescent="0.3">
      <c r="AN14976">
        <v>14972</v>
      </c>
      <c r="AO14976" s="11">
        <v>22928.89</v>
      </c>
      <c r="AP14976" s="9">
        <v>2.8050766684059765</v>
      </c>
    </row>
    <row r="14977" spans="40:42" x14ac:dyDescent="0.3">
      <c r="AN14977">
        <v>14973</v>
      </c>
      <c r="AO14977" s="11">
        <v>12648.26</v>
      </c>
      <c r="AP14977" s="9">
        <v>3.3133693258812182</v>
      </c>
    </row>
    <row r="14978" spans="40:42" x14ac:dyDescent="0.3">
      <c r="AN14978">
        <v>14974</v>
      </c>
      <c r="AO14978" s="11">
        <v>33592.36</v>
      </c>
      <c r="AP14978" s="9">
        <v>3.8409875689199247</v>
      </c>
    </row>
    <row r="14979" spans="40:42" x14ac:dyDescent="0.3">
      <c r="AN14979">
        <v>14975</v>
      </c>
      <c r="AO14979" s="11">
        <v>21186.44</v>
      </c>
      <c r="AP14979" s="9">
        <v>3.3269829345034645</v>
      </c>
    </row>
    <row r="14980" spans="40:42" x14ac:dyDescent="0.3">
      <c r="AN14980">
        <v>14976</v>
      </c>
      <c r="AO14980" s="11">
        <v>51778.77</v>
      </c>
      <c r="AP14980" s="9">
        <v>4.3096799621023365</v>
      </c>
    </row>
    <row r="14981" spans="40:42" x14ac:dyDescent="0.3">
      <c r="AN14981">
        <v>14977</v>
      </c>
      <c r="AO14981" s="11">
        <v>24889.59</v>
      </c>
      <c r="AP14981" s="9">
        <v>3.2304290488572023</v>
      </c>
    </row>
    <row r="14982" spans="40:42" x14ac:dyDescent="0.3">
      <c r="AN14982">
        <v>14978</v>
      </c>
      <c r="AO14982" s="11">
        <v>31446.06</v>
      </c>
      <c r="AP14982" s="9">
        <v>3.4092529967631884</v>
      </c>
    </row>
    <row r="14983" spans="40:42" x14ac:dyDescent="0.3">
      <c r="AN14983">
        <v>14979</v>
      </c>
      <c r="AO14983" s="11">
        <v>28292.959999999999</v>
      </c>
      <c r="AP14983" s="9">
        <v>3.1293098040288236</v>
      </c>
    </row>
    <row r="14984" spans="40:42" x14ac:dyDescent="0.3">
      <c r="AN14984">
        <v>14980</v>
      </c>
      <c r="AO14984" s="11">
        <v>40093.79</v>
      </c>
      <c r="AP14984" s="9">
        <v>3.0032309579853624</v>
      </c>
    </row>
    <row r="14985" spans="40:42" x14ac:dyDescent="0.3">
      <c r="AN14985">
        <v>14981</v>
      </c>
      <c r="AO14985" s="11">
        <v>21746.58</v>
      </c>
      <c r="AP14985" s="9">
        <v>3.2755011276850965</v>
      </c>
    </row>
    <row r="14986" spans="40:42" x14ac:dyDescent="0.3">
      <c r="AN14986">
        <v>14982</v>
      </c>
      <c r="AO14986" s="11">
        <v>20504.849999999999</v>
      </c>
      <c r="AP14986" s="9">
        <v>3.1120270893874897</v>
      </c>
    </row>
    <row r="14987" spans="40:42" x14ac:dyDescent="0.3">
      <c r="AN14987">
        <v>14983</v>
      </c>
      <c r="AO14987" s="11">
        <v>35070.14</v>
      </c>
      <c r="AP14987" s="9">
        <v>3.2805886414081993</v>
      </c>
    </row>
    <row r="14988" spans="40:42" x14ac:dyDescent="0.3">
      <c r="AN14988">
        <v>14984</v>
      </c>
      <c r="AO14988" s="11">
        <v>34436.22</v>
      </c>
      <c r="AP14988" s="9">
        <v>4.4278343304145036</v>
      </c>
    </row>
    <row r="14989" spans="40:42" x14ac:dyDescent="0.3">
      <c r="AN14989">
        <v>14985</v>
      </c>
      <c r="AO14989" s="11">
        <v>30438.94</v>
      </c>
      <c r="AP14989" s="9">
        <v>3.0028369302742774</v>
      </c>
    </row>
    <row r="14990" spans="40:42" x14ac:dyDescent="0.3">
      <c r="AN14990">
        <v>14986</v>
      </c>
      <c r="AO14990" s="11">
        <v>30324.35</v>
      </c>
      <c r="AP14990" s="9">
        <v>3.7018608026906041</v>
      </c>
    </row>
    <row r="14991" spans="40:42" x14ac:dyDescent="0.3">
      <c r="AN14991">
        <v>14987</v>
      </c>
      <c r="AO14991" s="11">
        <v>41104.21</v>
      </c>
      <c r="AP14991" s="9">
        <v>4.3921176655138421</v>
      </c>
    </row>
    <row r="14992" spans="40:42" x14ac:dyDescent="0.3">
      <c r="AN14992">
        <v>14988</v>
      </c>
      <c r="AO14992" s="11">
        <v>26754.35</v>
      </c>
      <c r="AP14992" s="9">
        <v>3.320953118376158</v>
      </c>
    </row>
    <row r="14993" spans="40:42" x14ac:dyDescent="0.3">
      <c r="AN14993">
        <v>14989</v>
      </c>
      <c r="AO14993" s="11">
        <v>46913.51</v>
      </c>
      <c r="AP14993" s="9">
        <v>4.4718430996069554</v>
      </c>
    </row>
    <row r="14994" spans="40:42" x14ac:dyDescent="0.3">
      <c r="AN14994">
        <v>14990</v>
      </c>
      <c r="AO14994" s="11">
        <v>28839.56</v>
      </c>
      <c r="AP14994" s="9">
        <v>3.5219685338316586</v>
      </c>
    </row>
    <row r="14995" spans="40:42" x14ac:dyDescent="0.3">
      <c r="AN14995">
        <v>14991</v>
      </c>
      <c r="AO14995" s="11">
        <v>26032.65</v>
      </c>
      <c r="AP14995" s="9">
        <v>3.6690596438409644</v>
      </c>
    </row>
    <row r="14996" spans="40:42" x14ac:dyDescent="0.3">
      <c r="AN14996">
        <v>14992</v>
      </c>
      <c r="AO14996" s="11">
        <v>23015.24</v>
      </c>
      <c r="AP14996" s="9">
        <v>2.9375084401856277</v>
      </c>
    </row>
    <row r="14997" spans="40:42" x14ac:dyDescent="0.3">
      <c r="AN14997">
        <v>14993</v>
      </c>
      <c r="AO14997" s="11">
        <v>16920.36</v>
      </c>
      <c r="AP14997" s="9">
        <v>3.1178869660828354</v>
      </c>
    </row>
    <row r="14998" spans="40:42" x14ac:dyDescent="0.3">
      <c r="AN14998">
        <v>14994</v>
      </c>
      <c r="AO14998" s="11">
        <v>22008.31</v>
      </c>
      <c r="AP14998" s="9">
        <v>3.1942360931966656</v>
      </c>
    </row>
    <row r="14999" spans="40:42" x14ac:dyDescent="0.3">
      <c r="AN14999">
        <v>14995</v>
      </c>
      <c r="AO14999" s="11">
        <v>38128.99</v>
      </c>
      <c r="AP14999" s="9">
        <v>3.3593958606136578</v>
      </c>
    </row>
    <row r="15000" spans="40:42" x14ac:dyDescent="0.3">
      <c r="AN15000">
        <v>14996</v>
      </c>
      <c r="AO15000" s="11">
        <v>32147.56</v>
      </c>
      <c r="AP15000" s="9">
        <v>3.9935233062990489</v>
      </c>
    </row>
    <row r="15001" spans="40:42" x14ac:dyDescent="0.3">
      <c r="AN15001">
        <v>14997</v>
      </c>
      <c r="AO15001" s="11">
        <v>23789.08</v>
      </c>
      <c r="AP15001" s="9">
        <v>3.997185970626008</v>
      </c>
    </row>
    <row r="15002" spans="40:42" x14ac:dyDescent="0.3">
      <c r="AN15002">
        <v>14998</v>
      </c>
      <c r="AO15002" s="11">
        <v>24244.9</v>
      </c>
      <c r="AP15002" s="9">
        <v>3.1482956544631802</v>
      </c>
    </row>
    <row r="15003" spans="40:42" x14ac:dyDescent="0.3">
      <c r="AN15003">
        <v>14999</v>
      </c>
      <c r="AO15003" s="11">
        <v>22821.35</v>
      </c>
      <c r="AP15003" s="9">
        <v>3.4312081176680613</v>
      </c>
    </row>
    <row r="15004" spans="40:42" x14ac:dyDescent="0.3">
      <c r="AN15004">
        <v>15000</v>
      </c>
      <c r="AO15004" s="11">
        <v>24164.74</v>
      </c>
      <c r="AP15004" s="9">
        <v>3.2388717442562291</v>
      </c>
    </row>
    <row r="15005" spans="40:42" x14ac:dyDescent="0.3">
      <c r="AN15005">
        <v>15001</v>
      </c>
      <c r="AO15005" s="11">
        <v>36799.910000000003</v>
      </c>
      <c r="AP15005" s="9">
        <v>3.8872600221830682</v>
      </c>
    </row>
    <row r="15006" spans="40:42" x14ac:dyDescent="0.3">
      <c r="AN15006">
        <v>15002</v>
      </c>
      <c r="AO15006" s="11">
        <v>29312.9</v>
      </c>
      <c r="AP15006" s="9">
        <v>3.3895874884070949</v>
      </c>
    </row>
    <row r="15007" spans="40:42" x14ac:dyDescent="0.3">
      <c r="AN15007">
        <v>15003</v>
      </c>
      <c r="AO15007" s="11">
        <v>26741.08</v>
      </c>
      <c r="AP15007" s="9">
        <v>3.3093035329449099</v>
      </c>
    </row>
    <row r="15008" spans="40:42" x14ac:dyDescent="0.3">
      <c r="AN15008">
        <v>15004</v>
      </c>
      <c r="AO15008" s="11">
        <v>36924.019999999997</v>
      </c>
      <c r="AP15008" s="9">
        <v>3.1393203697643832</v>
      </c>
    </row>
    <row r="15009" spans="40:42" x14ac:dyDescent="0.3">
      <c r="AN15009">
        <v>15005</v>
      </c>
      <c r="AO15009" s="11">
        <v>22785.37</v>
      </c>
      <c r="AP15009" s="9">
        <v>3.3416968715209885</v>
      </c>
    </row>
    <row r="15010" spans="40:42" x14ac:dyDescent="0.3">
      <c r="AN15010">
        <v>15006</v>
      </c>
      <c r="AO15010" s="11">
        <v>27966.14</v>
      </c>
      <c r="AP15010" s="9">
        <v>3.5171984123951607</v>
      </c>
    </row>
    <row r="15011" spans="40:42" x14ac:dyDescent="0.3">
      <c r="AN15011">
        <v>15007</v>
      </c>
      <c r="AO15011" s="11">
        <v>22701.34</v>
      </c>
      <c r="AP15011" s="9">
        <v>4.0378975176112837</v>
      </c>
    </row>
    <row r="15012" spans="40:42" x14ac:dyDescent="0.3">
      <c r="AN15012">
        <v>15008</v>
      </c>
      <c r="AO15012" s="11">
        <v>23691.61</v>
      </c>
      <c r="AP15012" s="9">
        <v>3.0992759553818923</v>
      </c>
    </row>
    <row r="15013" spans="40:42" x14ac:dyDescent="0.3">
      <c r="AN15013">
        <v>15009</v>
      </c>
      <c r="AO15013" s="11">
        <v>25003.119999999999</v>
      </c>
      <c r="AP15013" s="9">
        <v>3.0187197740744547</v>
      </c>
    </row>
    <row r="15014" spans="40:42" x14ac:dyDescent="0.3">
      <c r="AN15014">
        <v>15010</v>
      </c>
      <c r="AO15014" s="11">
        <v>24592.82</v>
      </c>
      <c r="AP15014" s="9">
        <v>3.3961569892691803</v>
      </c>
    </row>
    <row r="15015" spans="40:42" x14ac:dyDescent="0.3">
      <c r="AN15015">
        <v>15011</v>
      </c>
      <c r="AO15015" s="11">
        <v>26784.3</v>
      </c>
      <c r="AP15015" s="9">
        <v>3.2946329443092495</v>
      </c>
    </row>
    <row r="15016" spans="40:42" x14ac:dyDescent="0.3">
      <c r="AN15016">
        <v>15012</v>
      </c>
      <c r="AO15016" s="11">
        <v>23386.42</v>
      </c>
      <c r="AP15016" s="9">
        <v>3.9275209658813903</v>
      </c>
    </row>
    <row r="15017" spans="40:42" x14ac:dyDescent="0.3">
      <c r="AN15017">
        <v>15013</v>
      </c>
      <c r="AO15017" s="11">
        <v>26673.05</v>
      </c>
      <c r="AP15017" s="9">
        <v>3.7688858529375429</v>
      </c>
    </row>
    <row r="15018" spans="40:42" x14ac:dyDescent="0.3">
      <c r="AN15018">
        <v>15014</v>
      </c>
      <c r="AO15018" s="11">
        <v>36824.949999999997</v>
      </c>
      <c r="AP15018" s="9">
        <v>3.569582425949279</v>
      </c>
    </row>
    <row r="15019" spans="40:42" x14ac:dyDescent="0.3">
      <c r="AN15019">
        <v>15015</v>
      </c>
      <c r="AO15019" s="11">
        <v>25017.54</v>
      </c>
      <c r="AP15019" s="9">
        <v>3.3293299592787062</v>
      </c>
    </row>
    <row r="15020" spans="40:42" x14ac:dyDescent="0.3">
      <c r="AN15020">
        <v>15016</v>
      </c>
      <c r="AO15020" s="11">
        <v>31434.15</v>
      </c>
      <c r="AP15020" s="9">
        <v>3.6463085653791092</v>
      </c>
    </row>
    <row r="15021" spans="40:42" x14ac:dyDescent="0.3">
      <c r="AN15021">
        <v>15017</v>
      </c>
      <c r="AO15021" s="11">
        <v>32435.48</v>
      </c>
      <c r="AP15021" s="9">
        <v>2.7179784975532288</v>
      </c>
    </row>
    <row r="15022" spans="40:42" x14ac:dyDescent="0.3">
      <c r="AN15022">
        <v>15018</v>
      </c>
      <c r="AO15022" s="11">
        <v>21856.07</v>
      </c>
      <c r="AP15022" s="9">
        <v>2.6890638242407494</v>
      </c>
    </row>
    <row r="15023" spans="40:42" x14ac:dyDescent="0.3">
      <c r="AN15023">
        <v>15019</v>
      </c>
      <c r="AO15023" s="11">
        <v>17679.95</v>
      </c>
      <c r="AP15023" s="9">
        <v>2.9166509523021378</v>
      </c>
    </row>
    <row r="15024" spans="40:42" x14ac:dyDescent="0.3">
      <c r="AN15024">
        <v>15020</v>
      </c>
      <c r="AO15024" s="11">
        <v>27909.91</v>
      </c>
      <c r="AP15024" s="9">
        <v>3.4612264422930532</v>
      </c>
    </row>
    <row r="15025" spans="40:42" x14ac:dyDescent="0.3">
      <c r="AN15025">
        <v>15021</v>
      </c>
      <c r="AO15025" s="11">
        <v>23129.24</v>
      </c>
      <c r="AP15025" s="9">
        <v>3.4651106108848375</v>
      </c>
    </row>
    <row r="15026" spans="40:42" x14ac:dyDescent="0.3">
      <c r="AN15026">
        <v>15022</v>
      </c>
      <c r="AO15026" s="11">
        <v>41428.550000000003</v>
      </c>
      <c r="AP15026" s="9">
        <v>4.2087624340496363</v>
      </c>
    </row>
    <row r="15027" spans="40:42" x14ac:dyDescent="0.3">
      <c r="AN15027">
        <v>15023</v>
      </c>
      <c r="AO15027" s="11">
        <v>35307.22</v>
      </c>
      <c r="AP15027" s="9">
        <v>3.8864592351132097</v>
      </c>
    </row>
    <row r="15028" spans="40:42" x14ac:dyDescent="0.3">
      <c r="AN15028">
        <v>15024</v>
      </c>
      <c r="AO15028" s="11">
        <v>26742.43</v>
      </c>
      <c r="AP15028" s="9">
        <v>3.4149644880087888</v>
      </c>
    </row>
    <row r="15029" spans="40:42" x14ac:dyDescent="0.3">
      <c r="AN15029">
        <v>15025</v>
      </c>
      <c r="AO15029" s="11">
        <v>20737.5</v>
      </c>
      <c r="AP15029" s="9">
        <v>3.3212257870797739</v>
      </c>
    </row>
    <row r="15030" spans="40:42" x14ac:dyDescent="0.3">
      <c r="AN15030">
        <v>15026</v>
      </c>
      <c r="AO15030" s="11">
        <v>22760.98</v>
      </c>
      <c r="AP15030" s="9">
        <v>2.8018929495138698</v>
      </c>
    </row>
    <row r="15031" spans="40:42" x14ac:dyDescent="0.3">
      <c r="AN15031">
        <v>15027</v>
      </c>
      <c r="AO15031" s="11">
        <v>20932.669999999998</v>
      </c>
      <c r="AP15031" s="9">
        <v>3.5008300230045486</v>
      </c>
    </row>
    <row r="15032" spans="40:42" x14ac:dyDescent="0.3">
      <c r="AN15032">
        <v>15028</v>
      </c>
      <c r="AO15032" s="11">
        <v>39955.089999999997</v>
      </c>
      <c r="AP15032" s="9">
        <v>3.3235338289462293</v>
      </c>
    </row>
    <row r="15033" spans="40:42" x14ac:dyDescent="0.3">
      <c r="AN15033">
        <v>15029</v>
      </c>
      <c r="AO15033" s="11">
        <v>33700.14</v>
      </c>
      <c r="AP15033" s="9">
        <v>3.5937580653429655</v>
      </c>
    </row>
    <row r="15034" spans="40:42" x14ac:dyDescent="0.3">
      <c r="AN15034">
        <v>15030</v>
      </c>
      <c r="AO15034" s="11">
        <v>21568.66</v>
      </c>
      <c r="AP15034" s="9">
        <v>3.0713796606131867</v>
      </c>
    </row>
    <row r="15035" spans="40:42" x14ac:dyDescent="0.3">
      <c r="AN15035">
        <v>15031</v>
      </c>
      <c r="AO15035" s="11">
        <v>22240.97</v>
      </c>
      <c r="AP15035" s="9">
        <v>2.8601385303084812</v>
      </c>
    </row>
    <row r="15036" spans="40:42" x14ac:dyDescent="0.3">
      <c r="AN15036">
        <v>15032</v>
      </c>
      <c r="AO15036" s="11">
        <v>12945.35</v>
      </c>
      <c r="AP15036" s="9">
        <v>3.1252068589773581</v>
      </c>
    </row>
    <row r="15037" spans="40:42" x14ac:dyDescent="0.3">
      <c r="AN15037">
        <v>15033</v>
      </c>
      <c r="AO15037" s="11">
        <v>18069.509999999998</v>
      </c>
      <c r="AP15037" s="9">
        <v>2.9729953091055985</v>
      </c>
    </row>
    <row r="15038" spans="40:42" x14ac:dyDescent="0.3">
      <c r="AN15038">
        <v>15034</v>
      </c>
      <c r="AO15038" s="11">
        <v>47408.41</v>
      </c>
      <c r="AP15038" s="9">
        <v>3.5848963710268253</v>
      </c>
    </row>
    <row r="15039" spans="40:42" x14ac:dyDescent="0.3">
      <c r="AN15039">
        <v>15035</v>
      </c>
      <c r="AO15039" s="11">
        <v>22101.919999999998</v>
      </c>
      <c r="AP15039" s="9">
        <v>3.2591425638961868</v>
      </c>
    </row>
    <row r="15040" spans="40:42" x14ac:dyDescent="0.3">
      <c r="AN15040">
        <v>15036</v>
      </c>
      <c r="AO15040" s="11">
        <v>41716.83</v>
      </c>
      <c r="AP15040" s="9">
        <v>3.5570380799444354</v>
      </c>
    </row>
    <row r="15041" spans="40:42" x14ac:dyDescent="0.3">
      <c r="AN15041">
        <v>15037</v>
      </c>
      <c r="AO15041" s="11">
        <v>41489.83</v>
      </c>
      <c r="AP15041" s="9">
        <v>3.5232351990014155</v>
      </c>
    </row>
    <row r="15042" spans="40:42" x14ac:dyDescent="0.3">
      <c r="AN15042">
        <v>15038</v>
      </c>
      <c r="AO15042" s="11">
        <v>25440</v>
      </c>
      <c r="AP15042" s="9">
        <v>3.9426128059821157</v>
      </c>
    </row>
    <row r="15043" spans="40:42" x14ac:dyDescent="0.3">
      <c r="AN15043">
        <v>15039</v>
      </c>
      <c r="AO15043" s="11">
        <v>35969.96</v>
      </c>
      <c r="AP15043" s="9">
        <v>3.3667986355130259</v>
      </c>
    </row>
    <row r="15044" spans="40:42" x14ac:dyDescent="0.3">
      <c r="AN15044">
        <v>15040</v>
      </c>
      <c r="AO15044" s="11">
        <v>27107.15</v>
      </c>
      <c r="AP15044" s="9">
        <v>2.897312239104354</v>
      </c>
    </row>
    <row r="15045" spans="40:42" x14ac:dyDescent="0.3">
      <c r="AN15045">
        <v>15041</v>
      </c>
      <c r="AO15045" s="11">
        <v>28400.080000000002</v>
      </c>
      <c r="AP15045" s="9">
        <v>3.1288772418566846</v>
      </c>
    </row>
    <row r="15046" spans="40:42" x14ac:dyDescent="0.3">
      <c r="AN15046">
        <v>15042</v>
      </c>
      <c r="AO15046" s="11">
        <v>20737.27</v>
      </c>
      <c r="AP15046" s="9">
        <v>3.0566211429378263</v>
      </c>
    </row>
    <row r="15047" spans="40:42" x14ac:dyDescent="0.3">
      <c r="AN15047">
        <v>15043</v>
      </c>
      <c r="AO15047" s="11">
        <v>21508.97</v>
      </c>
      <c r="AP15047" s="9">
        <v>2.7725901587972595</v>
      </c>
    </row>
    <row r="15048" spans="40:42" x14ac:dyDescent="0.3">
      <c r="AN15048">
        <v>15044</v>
      </c>
      <c r="AO15048" s="11">
        <v>24956.29</v>
      </c>
      <c r="AP15048" s="9">
        <v>3.2614193597042225</v>
      </c>
    </row>
    <row r="15049" spans="40:42" x14ac:dyDescent="0.3">
      <c r="AN15049">
        <v>15045</v>
      </c>
      <c r="AO15049" s="11">
        <v>24300.19</v>
      </c>
      <c r="AP15049" s="9">
        <v>3.2700794822211412</v>
      </c>
    </row>
    <row r="15050" spans="40:42" x14ac:dyDescent="0.3">
      <c r="AN15050">
        <v>15046</v>
      </c>
      <c r="AO15050" s="11">
        <v>28660.82</v>
      </c>
      <c r="AP15050" s="9">
        <v>4.1237282742707269</v>
      </c>
    </row>
    <row r="15051" spans="40:42" x14ac:dyDescent="0.3">
      <c r="AN15051">
        <v>15047</v>
      </c>
      <c r="AO15051" s="11">
        <v>24804.37</v>
      </c>
      <c r="AP15051" s="9">
        <v>2.807313407133603</v>
      </c>
    </row>
    <row r="15052" spans="40:42" x14ac:dyDescent="0.3">
      <c r="AN15052">
        <v>15048</v>
      </c>
      <c r="AO15052" s="11">
        <v>24789.4</v>
      </c>
      <c r="AP15052" s="9">
        <v>3.0088997061710581</v>
      </c>
    </row>
    <row r="15053" spans="40:42" x14ac:dyDescent="0.3">
      <c r="AN15053">
        <v>15049</v>
      </c>
      <c r="AO15053" s="11">
        <v>25811.66</v>
      </c>
      <c r="AP15053" s="9">
        <v>3.332820892740759</v>
      </c>
    </row>
    <row r="15054" spans="40:42" x14ac:dyDescent="0.3">
      <c r="AN15054">
        <v>15050</v>
      </c>
      <c r="AO15054" s="11">
        <v>27847.68</v>
      </c>
      <c r="AP15054" s="9">
        <v>2.8165264433504529</v>
      </c>
    </row>
    <row r="15055" spans="40:42" x14ac:dyDescent="0.3">
      <c r="AN15055">
        <v>15051</v>
      </c>
      <c r="AO15055" s="11">
        <v>26555.21</v>
      </c>
      <c r="AP15055" s="9">
        <v>3.4800345902084118</v>
      </c>
    </row>
    <row r="15056" spans="40:42" x14ac:dyDescent="0.3">
      <c r="AN15056">
        <v>15052</v>
      </c>
      <c r="AO15056" s="11">
        <v>23218.74</v>
      </c>
      <c r="AP15056" s="9">
        <v>4.189430965405605</v>
      </c>
    </row>
    <row r="15057" spans="40:42" x14ac:dyDescent="0.3">
      <c r="AN15057">
        <v>15053</v>
      </c>
      <c r="AO15057" s="11">
        <v>30296.84</v>
      </c>
      <c r="AP15057" s="9">
        <v>4.129744507414145</v>
      </c>
    </row>
    <row r="15058" spans="40:42" x14ac:dyDescent="0.3">
      <c r="AN15058">
        <v>15054</v>
      </c>
      <c r="AO15058" s="11">
        <v>34280.51</v>
      </c>
      <c r="AP15058" s="9">
        <v>3.7985917013687773</v>
      </c>
    </row>
    <row r="15059" spans="40:42" x14ac:dyDescent="0.3">
      <c r="AN15059">
        <v>15055</v>
      </c>
      <c r="AO15059" s="11">
        <v>22606.59</v>
      </c>
      <c r="AP15059" s="9">
        <v>2.8900624650920186</v>
      </c>
    </row>
    <row r="15060" spans="40:42" x14ac:dyDescent="0.3">
      <c r="AN15060">
        <v>15056</v>
      </c>
      <c r="AO15060" s="11">
        <v>14020.65</v>
      </c>
      <c r="AP15060" s="9">
        <v>2.8532369912904261</v>
      </c>
    </row>
    <row r="15061" spans="40:42" x14ac:dyDescent="0.3">
      <c r="AN15061">
        <v>15057</v>
      </c>
      <c r="AO15061" s="11">
        <v>22878.95</v>
      </c>
      <c r="AP15061" s="9">
        <v>3.1032371410861432</v>
      </c>
    </row>
    <row r="15062" spans="40:42" x14ac:dyDescent="0.3">
      <c r="AN15062">
        <v>15058</v>
      </c>
      <c r="AO15062" s="11">
        <v>24392.9</v>
      </c>
      <c r="AP15062" s="9">
        <v>3.8423370114128472</v>
      </c>
    </row>
    <row r="15063" spans="40:42" x14ac:dyDescent="0.3">
      <c r="AN15063">
        <v>15059</v>
      </c>
      <c r="AO15063" s="11">
        <v>30917.33</v>
      </c>
      <c r="AP15063" s="9">
        <v>3.3759111714919277</v>
      </c>
    </row>
    <row r="15064" spans="40:42" x14ac:dyDescent="0.3">
      <c r="AN15064">
        <v>15060</v>
      </c>
      <c r="AO15064" s="11">
        <v>42742.3</v>
      </c>
      <c r="AP15064" s="9">
        <v>3.7116309451800973</v>
      </c>
    </row>
    <row r="15065" spans="40:42" x14ac:dyDescent="0.3">
      <c r="AN15065">
        <v>15061</v>
      </c>
      <c r="AO15065" s="11">
        <v>17290.439999999999</v>
      </c>
      <c r="AP15065" s="9">
        <v>3.0953307070546336</v>
      </c>
    </row>
    <row r="15066" spans="40:42" x14ac:dyDescent="0.3">
      <c r="AN15066">
        <v>15062</v>
      </c>
      <c r="AO15066" s="11">
        <v>17815.490000000002</v>
      </c>
      <c r="AP15066" s="9">
        <v>3.5139398059434854</v>
      </c>
    </row>
    <row r="15067" spans="40:42" x14ac:dyDescent="0.3">
      <c r="AN15067">
        <v>15063</v>
      </c>
      <c r="AO15067" s="11">
        <v>19538.57</v>
      </c>
      <c r="AP15067" s="9">
        <v>3.0985801710047181</v>
      </c>
    </row>
    <row r="15068" spans="40:42" x14ac:dyDescent="0.3">
      <c r="AN15068">
        <v>15064</v>
      </c>
      <c r="AO15068" s="11">
        <v>19718.310000000001</v>
      </c>
      <c r="AP15068" s="9">
        <v>3.0998777789757526</v>
      </c>
    </row>
    <row r="15069" spans="40:42" x14ac:dyDescent="0.3">
      <c r="AN15069">
        <v>15065</v>
      </c>
      <c r="AO15069" s="11">
        <v>36157.89</v>
      </c>
      <c r="AP15069" s="9">
        <v>3.1579787463496074</v>
      </c>
    </row>
    <row r="15070" spans="40:42" x14ac:dyDescent="0.3">
      <c r="AN15070">
        <v>15066</v>
      </c>
      <c r="AO15070" s="11">
        <v>21285.42</v>
      </c>
      <c r="AP15070" s="9">
        <v>3.9217754843495456</v>
      </c>
    </row>
    <row r="15071" spans="40:42" x14ac:dyDescent="0.3">
      <c r="AN15071">
        <v>15067</v>
      </c>
      <c r="AO15071" s="11">
        <v>41760.68</v>
      </c>
      <c r="AP15071" s="9">
        <v>3.7199876105730185</v>
      </c>
    </row>
    <row r="15072" spans="40:42" x14ac:dyDescent="0.3">
      <c r="AN15072">
        <v>15068</v>
      </c>
      <c r="AO15072" s="11">
        <v>26062.39</v>
      </c>
      <c r="AP15072" s="9">
        <v>2.7414399216883814</v>
      </c>
    </row>
    <row r="15073" spans="40:42" x14ac:dyDescent="0.3">
      <c r="AN15073">
        <v>15069</v>
      </c>
      <c r="AO15073" s="11">
        <v>29306.2</v>
      </c>
      <c r="AP15073" s="9">
        <v>3.827407793266643</v>
      </c>
    </row>
    <row r="15074" spans="40:42" x14ac:dyDescent="0.3">
      <c r="AN15074">
        <v>15070</v>
      </c>
      <c r="AO15074" s="11">
        <v>31306.3</v>
      </c>
      <c r="AP15074" s="9">
        <v>3.2101876438109374</v>
      </c>
    </row>
    <row r="15075" spans="40:42" x14ac:dyDescent="0.3">
      <c r="AN15075">
        <v>15071</v>
      </c>
      <c r="AO15075" s="11">
        <v>21938.23</v>
      </c>
      <c r="AP15075" s="9">
        <v>3.3641818163969939</v>
      </c>
    </row>
    <row r="15076" spans="40:42" x14ac:dyDescent="0.3">
      <c r="AN15076">
        <v>15072</v>
      </c>
      <c r="AO15076" s="11">
        <v>28475.63</v>
      </c>
      <c r="AP15076" s="9">
        <v>3.0844726509217488</v>
      </c>
    </row>
    <row r="15077" spans="40:42" x14ac:dyDescent="0.3">
      <c r="AN15077">
        <v>15073</v>
      </c>
      <c r="AO15077" s="11">
        <v>30099.54</v>
      </c>
      <c r="AP15077" s="9">
        <v>4.1089964365849712</v>
      </c>
    </row>
    <row r="15078" spans="40:42" x14ac:dyDescent="0.3">
      <c r="AN15078">
        <v>15074</v>
      </c>
      <c r="AO15078" s="11">
        <v>23698.880000000001</v>
      </c>
      <c r="AP15078" s="9">
        <v>3.3405820261259449</v>
      </c>
    </row>
    <row r="15079" spans="40:42" x14ac:dyDescent="0.3">
      <c r="AN15079">
        <v>15075</v>
      </c>
      <c r="AO15079" s="11">
        <v>37089.11</v>
      </c>
      <c r="AP15079" s="9">
        <v>3.2127905081093315</v>
      </c>
    </row>
    <row r="15080" spans="40:42" x14ac:dyDescent="0.3">
      <c r="AN15080">
        <v>15076</v>
      </c>
      <c r="AO15080" s="11">
        <v>23359.07</v>
      </c>
      <c r="AP15080" s="9">
        <v>3.2601436596149114</v>
      </c>
    </row>
    <row r="15081" spans="40:42" x14ac:dyDescent="0.3">
      <c r="AN15081">
        <v>15077</v>
      </c>
      <c r="AO15081" s="11">
        <v>18560.3</v>
      </c>
      <c r="AP15081" s="9">
        <v>2.9143392676410214</v>
      </c>
    </row>
    <row r="15082" spans="40:42" x14ac:dyDescent="0.3">
      <c r="AN15082">
        <v>15078</v>
      </c>
      <c r="AO15082" s="11">
        <v>25181.599999999999</v>
      </c>
      <c r="AP15082" s="9">
        <v>3.1131728070784104</v>
      </c>
    </row>
    <row r="15083" spans="40:42" x14ac:dyDescent="0.3">
      <c r="AN15083">
        <v>15079</v>
      </c>
      <c r="AO15083" s="11">
        <v>18835.46</v>
      </c>
      <c r="AP15083" s="9">
        <v>3.2008518806102466</v>
      </c>
    </row>
    <row r="15084" spans="40:42" x14ac:dyDescent="0.3">
      <c r="AN15084">
        <v>15080</v>
      </c>
      <c r="AO15084" s="11">
        <v>23389.67</v>
      </c>
      <c r="AP15084" s="9">
        <v>3.4834579200056242</v>
      </c>
    </row>
    <row r="15085" spans="40:42" x14ac:dyDescent="0.3">
      <c r="AN15085">
        <v>15081</v>
      </c>
      <c r="AO15085" s="11">
        <v>27702.04</v>
      </c>
      <c r="AP15085" s="9">
        <v>3.1317140569394177</v>
      </c>
    </row>
    <row r="15086" spans="40:42" x14ac:dyDescent="0.3">
      <c r="AN15086">
        <v>15082</v>
      </c>
      <c r="AO15086" s="11">
        <v>34731.54</v>
      </c>
      <c r="AP15086" s="9">
        <v>3.4147813987374076</v>
      </c>
    </row>
    <row r="15087" spans="40:42" x14ac:dyDescent="0.3">
      <c r="AN15087">
        <v>15083</v>
      </c>
      <c r="AO15087" s="11">
        <v>34793.65</v>
      </c>
      <c r="AP15087" s="9">
        <v>3.6400729270061638</v>
      </c>
    </row>
    <row r="15088" spans="40:42" x14ac:dyDescent="0.3">
      <c r="AN15088">
        <v>15084</v>
      </c>
      <c r="AO15088" s="11">
        <v>41661.64</v>
      </c>
      <c r="AP15088" s="9">
        <v>3.7572997041701495</v>
      </c>
    </row>
    <row r="15089" spans="40:42" x14ac:dyDescent="0.3">
      <c r="AN15089">
        <v>15085</v>
      </c>
      <c r="AO15089" s="11">
        <v>47903.27</v>
      </c>
      <c r="AP15089" s="9">
        <v>4.2210933508263384</v>
      </c>
    </row>
    <row r="15090" spans="40:42" x14ac:dyDescent="0.3">
      <c r="AN15090">
        <v>15086</v>
      </c>
      <c r="AO15090" s="11">
        <v>38595.99</v>
      </c>
      <c r="AP15090" s="9">
        <v>3.1532659293359653</v>
      </c>
    </row>
    <row r="15091" spans="40:42" x14ac:dyDescent="0.3">
      <c r="AN15091">
        <v>15087</v>
      </c>
      <c r="AO15091" s="11">
        <v>37492.82</v>
      </c>
      <c r="AP15091" s="9">
        <v>4.0919533608108791</v>
      </c>
    </row>
    <row r="15092" spans="40:42" x14ac:dyDescent="0.3">
      <c r="AN15092">
        <v>15088</v>
      </c>
      <c r="AO15092" s="11">
        <v>28458.84</v>
      </c>
      <c r="AP15092" s="9">
        <v>3.6279316391314267</v>
      </c>
    </row>
    <row r="15093" spans="40:42" x14ac:dyDescent="0.3">
      <c r="AN15093">
        <v>15089</v>
      </c>
      <c r="AO15093" s="11">
        <v>26234.85</v>
      </c>
      <c r="AP15093" s="9">
        <v>3.0406555242967261</v>
      </c>
    </row>
    <row r="15094" spans="40:42" x14ac:dyDescent="0.3">
      <c r="AN15094">
        <v>15090</v>
      </c>
      <c r="AO15094" s="11">
        <v>26816.400000000001</v>
      </c>
      <c r="AP15094" s="9">
        <v>4.8772905168381868</v>
      </c>
    </row>
    <row r="15095" spans="40:42" x14ac:dyDescent="0.3">
      <c r="AN15095">
        <v>15091</v>
      </c>
      <c r="AO15095" s="11">
        <v>19437.34</v>
      </c>
      <c r="AP15095" s="9">
        <v>3.2091088117195055</v>
      </c>
    </row>
    <row r="15096" spans="40:42" x14ac:dyDescent="0.3">
      <c r="AN15096">
        <v>15092</v>
      </c>
      <c r="AO15096" s="11">
        <v>25529.62</v>
      </c>
      <c r="AP15096" s="9">
        <v>3.6412113062382061</v>
      </c>
    </row>
    <row r="15097" spans="40:42" x14ac:dyDescent="0.3">
      <c r="AN15097">
        <v>15093</v>
      </c>
      <c r="AO15097" s="11">
        <v>30193.77</v>
      </c>
      <c r="AP15097" s="9">
        <v>3.6865118889199269</v>
      </c>
    </row>
    <row r="15098" spans="40:42" x14ac:dyDescent="0.3">
      <c r="AN15098">
        <v>15094</v>
      </c>
      <c r="AO15098" s="11">
        <v>25515.48</v>
      </c>
      <c r="AP15098" s="9">
        <v>2.9975588521437184</v>
      </c>
    </row>
    <row r="15099" spans="40:42" x14ac:dyDescent="0.3">
      <c r="AN15099">
        <v>15095</v>
      </c>
      <c r="AO15099" s="11">
        <v>28063.9</v>
      </c>
      <c r="AP15099" s="9">
        <v>3.064477745928925</v>
      </c>
    </row>
    <row r="15100" spans="40:42" x14ac:dyDescent="0.3">
      <c r="AN15100">
        <v>15096</v>
      </c>
      <c r="AO15100" s="11">
        <v>19778.87</v>
      </c>
      <c r="AP15100" s="9">
        <v>2.7853420774114674</v>
      </c>
    </row>
    <row r="15101" spans="40:42" x14ac:dyDescent="0.3">
      <c r="AN15101">
        <v>15097</v>
      </c>
      <c r="AO15101" s="11">
        <v>22719.57</v>
      </c>
      <c r="AP15101" s="9">
        <v>3.4670796405663373</v>
      </c>
    </row>
    <row r="15102" spans="40:42" x14ac:dyDescent="0.3">
      <c r="AN15102">
        <v>15098</v>
      </c>
      <c r="AO15102" s="11">
        <v>42460.44</v>
      </c>
      <c r="AP15102" s="9">
        <v>3.9462087990703125</v>
      </c>
    </row>
    <row r="15103" spans="40:42" x14ac:dyDescent="0.3">
      <c r="AN15103">
        <v>15099</v>
      </c>
      <c r="AO15103" s="11">
        <v>35214.69</v>
      </c>
      <c r="AP15103" s="9">
        <v>3.5876797699618566</v>
      </c>
    </row>
    <row r="15104" spans="40:42" x14ac:dyDescent="0.3">
      <c r="AN15104">
        <v>15100</v>
      </c>
      <c r="AO15104" s="11">
        <v>20784.509999999998</v>
      </c>
      <c r="AP15104" s="9">
        <v>2.7531708608052607</v>
      </c>
    </row>
    <row r="15105" spans="40:42" x14ac:dyDescent="0.3">
      <c r="AN15105">
        <v>15101</v>
      </c>
      <c r="AO15105" s="11">
        <v>19392.46</v>
      </c>
      <c r="AP15105" s="9">
        <v>3.0486012418768369</v>
      </c>
    </row>
    <row r="15106" spans="40:42" x14ac:dyDescent="0.3">
      <c r="AN15106">
        <v>15102</v>
      </c>
      <c r="AO15106" s="11">
        <v>23539</v>
      </c>
      <c r="AP15106" s="9">
        <v>3.3180179738367084</v>
      </c>
    </row>
    <row r="15107" spans="40:42" x14ac:dyDescent="0.3">
      <c r="AN15107">
        <v>15103</v>
      </c>
      <c r="AO15107" s="11">
        <v>18858.41</v>
      </c>
      <c r="AP15107" s="9">
        <v>3.622692262322365</v>
      </c>
    </row>
    <row r="15108" spans="40:42" x14ac:dyDescent="0.3">
      <c r="AN15108">
        <v>15104</v>
      </c>
      <c r="AO15108" s="11">
        <v>24170.6</v>
      </c>
      <c r="AP15108" s="9">
        <v>2.7503943474598249</v>
      </c>
    </row>
    <row r="15109" spans="40:42" x14ac:dyDescent="0.3">
      <c r="AN15109">
        <v>15105</v>
      </c>
      <c r="AO15109" s="11">
        <v>30636.58</v>
      </c>
      <c r="AP15109" s="9">
        <v>3.2396982595442272</v>
      </c>
    </row>
    <row r="15110" spans="40:42" x14ac:dyDescent="0.3">
      <c r="AN15110">
        <v>15106</v>
      </c>
      <c r="AO15110" s="11">
        <v>25029.759999999998</v>
      </c>
      <c r="AP15110" s="9">
        <v>3.5910890054565843</v>
      </c>
    </row>
    <row r="15111" spans="40:42" x14ac:dyDescent="0.3">
      <c r="AN15111">
        <v>15107</v>
      </c>
      <c r="AO15111" s="11">
        <v>24577.35</v>
      </c>
      <c r="AP15111" s="9">
        <v>3.2704291523815257</v>
      </c>
    </row>
    <row r="15112" spans="40:42" x14ac:dyDescent="0.3">
      <c r="AN15112">
        <v>15108</v>
      </c>
      <c r="AO15112" s="11">
        <v>18649.189999999999</v>
      </c>
      <c r="AP15112" s="9">
        <v>3.2504405524449695</v>
      </c>
    </row>
    <row r="15113" spans="40:42" x14ac:dyDescent="0.3">
      <c r="AN15113">
        <v>15109</v>
      </c>
      <c r="AO15113" s="11">
        <v>20824.080000000002</v>
      </c>
      <c r="AP15113" s="9">
        <v>3.4010148502507738</v>
      </c>
    </row>
    <row r="15114" spans="40:42" x14ac:dyDescent="0.3">
      <c r="AN15114">
        <v>15110</v>
      </c>
      <c r="AO15114" s="11">
        <v>22182.89</v>
      </c>
      <c r="AP15114" s="9">
        <v>2.8766628196487209</v>
      </c>
    </row>
    <row r="15115" spans="40:42" x14ac:dyDescent="0.3">
      <c r="AN15115">
        <v>15111</v>
      </c>
      <c r="AO15115" s="11">
        <v>17561.82</v>
      </c>
      <c r="AP15115" s="9">
        <v>3.0887979226620499</v>
      </c>
    </row>
    <row r="15116" spans="40:42" x14ac:dyDescent="0.3">
      <c r="AN15116">
        <v>15112</v>
      </c>
      <c r="AO15116" s="11">
        <v>18622.189999999999</v>
      </c>
      <c r="AP15116" s="9">
        <v>3.0127172507341879</v>
      </c>
    </row>
    <row r="15117" spans="40:42" x14ac:dyDescent="0.3">
      <c r="AN15117">
        <v>15113</v>
      </c>
      <c r="AO15117" s="11">
        <v>38312.17</v>
      </c>
      <c r="AP15117" s="9">
        <v>3.6513762589938143</v>
      </c>
    </row>
    <row r="15118" spans="40:42" x14ac:dyDescent="0.3">
      <c r="AN15118">
        <v>15114</v>
      </c>
      <c r="AO15118" s="11">
        <v>16687.97</v>
      </c>
      <c r="AP15118" s="9">
        <v>3.4379604730499049</v>
      </c>
    </row>
    <row r="15119" spans="40:42" x14ac:dyDescent="0.3">
      <c r="AN15119">
        <v>15115</v>
      </c>
      <c r="AO15119" s="11">
        <v>26128.33</v>
      </c>
      <c r="AP15119" s="9">
        <v>3.2677782710678276</v>
      </c>
    </row>
    <row r="15120" spans="40:42" x14ac:dyDescent="0.3">
      <c r="AN15120">
        <v>15116</v>
      </c>
      <c r="AO15120" s="11">
        <v>44300.53</v>
      </c>
      <c r="AP15120" s="9">
        <v>3.6485998044742809</v>
      </c>
    </row>
    <row r="15121" spans="40:42" x14ac:dyDescent="0.3">
      <c r="AN15121">
        <v>15117</v>
      </c>
      <c r="AO15121" s="11">
        <v>41348.67</v>
      </c>
      <c r="AP15121" s="9">
        <v>3.0025540291836559</v>
      </c>
    </row>
    <row r="15122" spans="40:42" x14ac:dyDescent="0.3">
      <c r="AN15122">
        <v>15118</v>
      </c>
      <c r="AO15122" s="11">
        <v>18532.61</v>
      </c>
      <c r="AP15122" s="9">
        <v>2.966854563335128</v>
      </c>
    </row>
    <row r="15123" spans="40:42" x14ac:dyDescent="0.3">
      <c r="AN15123">
        <v>15119</v>
      </c>
      <c r="AO15123" s="11">
        <v>22780.65</v>
      </c>
      <c r="AP15123" s="9">
        <v>3.3341365558930058</v>
      </c>
    </row>
    <row r="15124" spans="40:42" x14ac:dyDescent="0.3">
      <c r="AN15124">
        <v>15120</v>
      </c>
      <c r="AO15124" s="11">
        <v>26406.3</v>
      </c>
      <c r="AP15124" s="9">
        <v>3.3126907662580831</v>
      </c>
    </row>
    <row r="15125" spans="40:42" x14ac:dyDescent="0.3">
      <c r="AN15125">
        <v>15121</v>
      </c>
      <c r="AO15125" s="11">
        <v>21294.5</v>
      </c>
      <c r="AP15125" s="9">
        <v>3.4427387450263858</v>
      </c>
    </row>
    <row r="15126" spans="40:42" x14ac:dyDescent="0.3">
      <c r="AN15126">
        <v>15122</v>
      </c>
      <c r="AO15126" s="11">
        <v>21238.67</v>
      </c>
      <c r="AP15126" s="9">
        <v>3.3916224403459729</v>
      </c>
    </row>
    <row r="15127" spans="40:42" x14ac:dyDescent="0.3">
      <c r="AN15127">
        <v>15123</v>
      </c>
      <c r="AO15127" s="11">
        <v>24654.27</v>
      </c>
      <c r="AP15127" s="9">
        <v>3.3378452462680297</v>
      </c>
    </row>
    <row r="15128" spans="40:42" x14ac:dyDescent="0.3">
      <c r="AN15128">
        <v>15124</v>
      </c>
      <c r="AO15128" s="11">
        <v>18054.349999999999</v>
      </c>
      <c r="AP15128" s="9">
        <v>3.3197692021760101</v>
      </c>
    </row>
    <row r="15129" spans="40:42" x14ac:dyDescent="0.3">
      <c r="AN15129">
        <v>15125</v>
      </c>
      <c r="AO15129" s="11">
        <v>21044.81</v>
      </c>
      <c r="AP15129" s="9">
        <v>3.2931904274314707</v>
      </c>
    </row>
    <row r="15130" spans="40:42" x14ac:dyDescent="0.3">
      <c r="AN15130">
        <v>15126</v>
      </c>
      <c r="AO15130" s="11">
        <v>25504.87</v>
      </c>
      <c r="AP15130" s="9">
        <v>2.9188758682990343</v>
      </c>
    </row>
    <row r="15131" spans="40:42" x14ac:dyDescent="0.3">
      <c r="AN15131">
        <v>15127</v>
      </c>
      <c r="AO15131" s="11">
        <v>22958.42</v>
      </c>
      <c r="AP15131" s="9">
        <v>3.2061423116460248</v>
      </c>
    </row>
    <row r="15132" spans="40:42" x14ac:dyDescent="0.3">
      <c r="AN15132">
        <v>15128</v>
      </c>
      <c r="AO15132" s="11">
        <v>23800.94</v>
      </c>
      <c r="AP15132" s="9">
        <v>3.414465974797277</v>
      </c>
    </row>
    <row r="15133" spans="40:42" x14ac:dyDescent="0.3">
      <c r="AN15133">
        <v>15129</v>
      </c>
      <c r="AO15133" s="11">
        <v>49117.43</v>
      </c>
      <c r="AP15133" s="9">
        <v>3.6628916682841286</v>
      </c>
    </row>
    <row r="15134" spans="40:42" x14ac:dyDescent="0.3">
      <c r="AN15134">
        <v>15130</v>
      </c>
      <c r="AO15134" s="11">
        <v>23492.03</v>
      </c>
      <c r="AP15134" s="9">
        <v>2.8444647617215946</v>
      </c>
    </row>
    <row r="15135" spans="40:42" x14ac:dyDescent="0.3">
      <c r="AN15135">
        <v>15131</v>
      </c>
      <c r="AO15135" s="11">
        <v>21335.05</v>
      </c>
      <c r="AP15135" s="9">
        <v>3.5355826840365538</v>
      </c>
    </row>
    <row r="15136" spans="40:42" x14ac:dyDescent="0.3">
      <c r="AN15136">
        <v>15132</v>
      </c>
      <c r="AO15136" s="11">
        <v>17827.650000000001</v>
      </c>
      <c r="AP15136" s="9">
        <v>3.7029870665832312</v>
      </c>
    </row>
    <row r="15137" spans="40:42" x14ac:dyDescent="0.3">
      <c r="AN15137">
        <v>15133</v>
      </c>
      <c r="AO15137" s="11">
        <v>41773.67</v>
      </c>
      <c r="AP15137" s="9">
        <v>3.6343398736149397</v>
      </c>
    </row>
    <row r="15138" spans="40:42" x14ac:dyDescent="0.3">
      <c r="AN15138">
        <v>15134</v>
      </c>
      <c r="AO15138" s="11">
        <v>25834.97</v>
      </c>
      <c r="AP15138" s="9">
        <v>2.7030557375936999</v>
      </c>
    </row>
    <row r="15139" spans="40:42" x14ac:dyDescent="0.3">
      <c r="AN15139">
        <v>15135</v>
      </c>
      <c r="AO15139" s="11">
        <v>35048.720000000001</v>
      </c>
      <c r="AP15139" s="9">
        <v>3.7233028248595779</v>
      </c>
    </row>
    <row r="15140" spans="40:42" x14ac:dyDescent="0.3">
      <c r="AN15140">
        <v>15136</v>
      </c>
      <c r="AO15140" s="11">
        <v>22466.07</v>
      </c>
      <c r="AP15140" s="9">
        <v>4.0589142195136549</v>
      </c>
    </row>
    <row r="15141" spans="40:42" x14ac:dyDescent="0.3">
      <c r="AN15141">
        <v>15137</v>
      </c>
      <c r="AO15141" s="11">
        <v>19862.189999999999</v>
      </c>
      <c r="AP15141" s="9">
        <v>3.2972436591716217</v>
      </c>
    </row>
    <row r="15142" spans="40:42" x14ac:dyDescent="0.3">
      <c r="AN15142">
        <v>15138</v>
      </c>
      <c r="AO15142" s="11">
        <v>32065.63</v>
      </c>
      <c r="AP15142" s="9">
        <v>3.3544088074208807</v>
      </c>
    </row>
    <row r="15143" spans="40:42" x14ac:dyDescent="0.3">
      <c r="AN15143">
        <v>15139</v>
      </c>
      <c r="AO15143" s="11">
        <v>38644.019999999997</v>
      </c>
      <c r="AP15143" s="9">
        <v>3.5901023910024352</v>
      </c>
    </row>
    <row r="15144" spans="40:42" x14ac:dyDescent="0.3">
      <c r="AN15144">
        <v>15140</v>
      </c>
      <c r="AO15144" s="11">
        <v>23843.08</v>
      </c>
      <c r="AP15144" s="9">
        <v>3.0151564122118799</v>
      </c>
    </row>
    <row r="15145" spans="40:42" x14ac:dyDescent="0.3">
      <c r="AN15145">
        <v>15141</v>
      </c>
      <c r="AO15145" s="11">
        <v>33393.019999999997</v>
      </c>
      <c r="AP15145" s="9">
        <v>3.8597542119303903</v>
      </c>
    </row>
    <row r="15146" spans="40:42" x14ac:dyDescent="0.3">
      <c r="AN15146">
        <v>15142</v>
      </c>
      <c r="AO15146" s="11">
        <v>45481.26</v>
      </c>
      <c r="AP15146" s="9">
        <v>4.7334836373337659</v>
      </c>
    </row>
    <row r="15147" spans="40:42" x14ac:dyDescent="0.3">
      <c r="AN15147">
        <v>15143</v>
      </c>
      <c r="AO15147" s="11">
        <v>20950.080000000002</v>
      </c>
      <c r="AP15147" s="9">
        <v>3.5921270286179188</v>
      </c>
    </row>
    <row r="15148" spans="40:42" x14ac:dyDescent="0.3">
      <c r="AN15148">
        <v>15144</v>
      </c>
      <c r="AO15148" s="11">
        <v>23734.27</v>
      </c>
      <c r="AP15148" s="9">
        <v>2.4043198121326665</v>
      </c>
    </row>
    <row r="15149" spans="40:42" x14ac:dyDescent="0.3">
      <c r="AN15149">
        <v>15145</v>
      </c>
      <c r="AO15149" s="11">
        <v>20226.82</v>
      </c>
      <c r="AP15149" s="9">
        <v>3.1250234837302626</v>
      </c>
    </row>
    <row r="15150" spans="40:42" x14ac:dyDescent="0.3">
      <c r="AN15150">
        <v>15146</v>
      </c>
      <c r="AO15150" s="11">
        <v>28860.59</v>
      </c>
      <c r="AP15150" s="9">
        <v>3.4223160495482721</v>
      </c>
    </row>
    <row r="15151" spans="40:42" x14ac:dyDescent="0.3">
      <c r="AN15151">
        <v>15147</v>
      </c>
      <c r="AO15151" s="11">
        <v>29865.72</v>
      </c>
      <c r="AP15151" s="9">
        <v>3.6259701702134026</v>
      </c>
    </row>
    <row r="15152" spans="40:42" x14ac:dyDescent="0.3">
      <c r="AN15152">
        <v>15148</v>
      </c>
      <c r="AO15152" s="11">
        <v>33240.19</v>
      </c>
      <c r="AP15152" s="9">
        <v>3.3424513028757779</v>
      </c>
    </row>
    <row r="15153" spans="40:42" x14ac:dyDescent="0.3">
      <c r="AN15153">
        <v>15149</v>
      </c>
      <c r="AO15153" s="11">
        <v>26950.080000000002</v>
      </c>
      <c r="AP15153" s="9">
        <v>3.6859970119218404</v>
      </c>
    </row>
    <row r="15154" spans="40:42" x14ac:dyDescent="0.3">
      <c r="AN15154">
        <v>15150</v>
      </c>
      <c r="AO15154" s="11">
        <v>24251.67</v>
      </c>
      <c r="AP15154" s="9">
        <v>3.2441813826133061</v>
      </c>
    </row>
    <row r="15155" spans="40:42" x14ac:dyDescent="0.3">
      <c r="AN15155">
        <v>15151</v>
      </c>
      <c r="AO15155" s="11">
        <v>16044.18</v>
      </c>
      <c r="AP15155" s="9">
        <v>2.815075154088412</v>
      </c>
    </row>
    <row r="15156" spans="40:42" x14ac:dyDescent="0.3">
      <c r="AN15156">
        <v>15152</v>
      </c>
      <c r="AO15156" s="11">
        <v>26618.77</v>
      </c>
      <c r="AP15156" s="9">
        <v>3.7183962250523259</v>
      </c>
    </row>
    <row r="15157" spans="40:42" x14ac:dyDescent="0.3">
      <c r="AN15157">
        <v>15153</v>
      </c>
      <c r="AO15157" s="11">
        <v>33219.519999999997</v>
      </c>
      <c r="AP15157" s="9">
        <v>3.2553264863541558</v>
      </c>
    </row>
    <row r="15158" spans="40:42" x14ac:dyDescent="0.3">
      <c r="AN15158">
        <v>15154</v>
      </c>
      <c r="AO15158" s="11">
        <v>31607.88</v>
      </c>
      <c r="AP15158" s="9">
        <v>2.8070497418343856</v>
      </c>
    </row>
    <row r="15159" spans="40:42" x14ac:dyDescent="0.3">
      <c r="AN15159">
        <v>15155</v>
      </c>
      <c r="AO15159" s="11">
        <v>32850.519999999997</v>
      </c>
      <c r="AP15159" s="9">
        <v>3.5833110597983504</v>
      </c>
    </row>
    <row r="15160" spans="40:42" x14ac:dyDescent="0.3">
      <c r="AN15160">
        <v>15156</v>
      </c>
      <c r="AO15160" s="11">
        <v>19592.87</v>
      </c>
      <c r="AP15160" s="9">
        <v>2.9118925700955511</v>
      </c>
    </row>
    <row r="15161" spans="40:42" x14ac:dyDescent="0.3">
      <c r="AN15161">
        <v>15157</v>
      </c>
      <c r="AO15161" s="11">
        <v>17314.080000000002</v>
      </c>
      <c r="AP15161" s="9">
        <v>2.6848095940847858</v>
      </c>
    </row>
    <row r="15162" spans="40:42" x14ac:dyDescent="0.3">
      <c r="AN15162">
        <v>15158</v>
      </c>
      <c r="AO15162" s="11">
        <v>23505.32</v>
      </c>
      <c r="AP15162" s="9">
        <v>3.1736768074360087</v>
      </c>
    </row>
    <row r="15163" spans="40:42" x14ac:dyDescent="0.3">
      <c r="AN15163">
        <v>15159</v>
      </c>
      <c r="AO15163" s="11">
        <v>34556.660000000003</v>
      </c>
      <c r="AP15163" s="9">
        <v>3.7069131629589913</v>
      </c>
    </row>
    <row r="15164" spans="40:42" x14ac:dyDescent="0.3">
      <c r="AN15164">
        <v>15160</v>
      </c>
      <c r="AO15164" s="11">
        <v>32155.1</v>
      </c>
      <c r="AP15164" s="9">
        <v>3.9555520411880449</v>
      </c>
    </row>
    <row r="15165" spans="40:42" x14ac:dyDescent="0.3">
      <c r="AN15165">
        <v>15161</v>
      </c>
      <c r="AO15165" s="11">
        <v>26091.26</v>
      </c>
      <c r="AP15165" s="9">
        <v>3.5248503057425582</v>
      </c>
    </row>
    <row r="15166" spans="40:42" x14ac:dyDescent="0.3">
      <c r="AN15166">
        <v>15162</v>
      </c>
      <c r="AO15166" s="11">
        <v>18116.66</v>
      </c>
      <c r="AP15166" s="9">
        <v>3.6531582701711218</v>
      </c>
    </row>
    <row r="15167" spans="40:42" x14ac:dyDescent="0.3">
      <c r="AN15167">
        <v>15163</v>
      </c>
      <c r="AO15167" s="11">
        <v>19830.099999999999</v>
      </c>
      <c r="AP15167" s="9">
        <v>3.21706641894998</v>
      </c>
    </row>
    <row r="15168" spans="40:42" x14ac:dyDescent="0.3">
      <c r="AN15168">
        <v>15164</v>
      </c>
      <c r="AO15168" s="11">
        <v>24445.86</v>
      </c>
      <c r="AP15168" s="9">
        <v>3.3076613777393646</v>
      </c>
    </row>
    <row r="15169" spans="40:42" x14ac:dyDescent="0.3">
      <c r="AN15169">
        <v>15165</v>
      </c>
      <c r="AO15169" s="11">
        <v>16583.68</v>
      </c>
      <c r="AP15169" s="9">
        <v>2.9351031810748363</v>
      </c>
    </row>
    <row r="15170" spans="40:42" x14ac:dyDescent="0.3">
      <c r="AN15170">
        <v>15166</v>
      </c>
      <c r="AO15170" s="11">
        <v>20864.18</v>
      </c>
      <c r="AP15170" s="9">
        <v>3.0636889904069675</v>
      </c>
    </row>
    <row r="15171" spans="40:42" x14ac:dyDescent="0.3">
      <c r="AN15171">
        <v>15167</v>
      </c>
      <c r="AO15171" s="11">
        <v>38401.199999999997</v>
      </c>
      <c r="AP15171" s="9">
        <v>3.8994861050619489</v>
      </c>
    </row>
    <row r="15172" spans="40:42" x14ac:dyDescent="0.3">
      <c r="AN15172">
        <v>15168</v>
      </c>
      <c r="AO15172" s="11">
        <v>20365.509999999998</v>
      </c>
      <c r="AP15172" s="9">
        <v>2.888332232063068</v>
      </c>
    </row>
    <row r="15173" spans="40:42" x14ac:dyDescent="0.3">
      <c r="AN15173">
        <v>15169</v>
      </c>
      <c r="AO15173" s="11">
        <v>13285.84</v>
      </c>
      <c r="AP15173" s="9">
        <v>3.1679872424229805</v>
      </c>
    </row>
    <row r="15174" spans="40:42" x14ac:dyDescent="0.3">
      <c r="AN15174">
        <v>15170</v>
      </c>
      <c r="AO15174" s="11">
        <v>29565.86</v>
      </c>
      <c r="AP15174" s="9">
        <v>2.9886664008711312</v>
      </c>
    </row>
    <row r="15175" spans="40:42" x14ac:dyDescent="0.3">
      <c r="AN15175">
        <v>15171</v>
      </c>
      <c r="AO15175" s="11">
        <v>15966.77</v>
      </c>
      <c r="AP15175" s="9">
        <v>3.1526638198932244</v>
      </c>
    </row>
    <row r="15176" spans="40:42" x14ac:dyDescent="0.3">
      <c r="AN15176">
        <v>15172</v>
      </c>
      <c r="AO15176" s="11">
        <v>22707.35</v>
      </c>
      <c r="AP15176" s="9">
        <v>3.4497736325760489</v>
      </c>
    </row>
    <row r="15177" spans="40:42" x14ac:dyDescent="0.3">
      <c r="AN15177">
        <v>15173</v>
      </c>
      <c r="AO15177" s="11">
        <v>20167.009999999998</v>
      </c>
      <c r="AP15177" s="9">
        <v>3.3654396147618861</v>
      </c>
    </row>
    <row r="15178" spans="40:42" x14ac:dyDescent="0.3">
      <c r="AN15178">
        <v>15174</v>
      </c>
      <c r="AO15178" s="11">
        <v>33161.440000000002</v>
      </c>
      <c r="AP15178" s="9">
        <v>4.2808438298334952</v>
      </c>
    </row>
    <row r="15179" spans="40:42" x14ac:dyDescent="0.3">
      <c r="AN15179">
        <v>15175</v>
      </c>
      <c r="AO15179" s="11">
        <v>33393.17</v>
      </c>
      <c r="AP15179" s="9">
        <v>4.2801790103161244</v>
      </c>
    </row>
    <row r="15180" spans="40:42" x14ac:dyDescent="0.3">
      <c r="AN15180">
        <v>15176</v>
      </c>
      <c r="AO15180" s="11">
        <v>17893.75</v>
      </c>
      <c r="AP15180" s="9">
        <v>2.9809519456976301</v>
      </c>
    </row>
    <row r="15181" spans="40:42" x14ac:dyDescent="0.3">
      <c r="AN15181">
        <v>15177</v>
      </c>
      <c r="AO15181" s="11">
        <v>30981.77</v>
      </c>
      <c r="AP15181" s="9">
        <v>3.3812312432251406</v>
      </c>
    </row>
    <row r="15182" spans="40:42" x14ac:dyDescent="0.3">
      <c r="AN15182">
        <v>15178</v>
      </c>
      <c r="AO15182" s="11">
        <v>27081.13</v>
      </c>
      <c r="AP15182" s="9">
        <v>3.9646069724851198</v>
      </c>
    </row>
    <row r="15183" spans="40:42" x14ac:dyDescent="0.3">
      <c r="AN15183">
        <v>15179</v>
      </c>
      <c r="AO15183" s="11">
        <v>27543.25</v>
      </c>
      <c r="AP15183" s="9">
        <v>3.5211635734615423</v>
      </c>
    </row>
    <row r="15184" spans="40:42" x14ac:dyDescent="0.3">
      <c r="AN15184">
        <v>15180</v>
      </c>
      <c r="AO15184" s="11">
        <v>27468.76</v>
      </c>
      <c r="AP15184" s="9">
        <v>3.1732031210993101</v>
      </c>
    </row>
    <row r="15185" spans="40:42" x14ac:dyDescent="0.3">
      <c r="AN15185">
        <v>15181</v>
      </c>
      <c r="AO15185" s="11">
        <v>27804.05</v>
      </c>
      <c r="AP15185" s="9">
        <v>3.5592779261108998</v>
      </c>
    </row>
    <row r="15186" spans="40:42" x14ac:dyDescent="0.3">
      <c r="AN15186">
        <v>15182</v>
      </c>
      <c r="AO15186" s="11">
        <v>28187.25</v>
      </c>
      <c r="AP15186" s="9">
        <v>3.423499473331117</v>
      </c>
    </row>
    <row r="15187" spans="40:42" x14ac:dyDescent="0.3">
      <c r="AN15187">
        <v>15183</v>
      </c>
      <c r="AO15187" s="11">
        <v>36492.35</v>
      </c>
      <c r="AP15187" s="9">
        <v>3.9184167662962399</v>
      </c>
    </row>
    <row r="15188" spans="40:42" x14ac:dyDescent="0.3">
      <c r="AN15188">
        <v>15184</v>
      </c>
      <c r="AO15188" s="11">
        <v>12252.28</v>
      </c>
      <c r="AP15188" s="9">
        <v>2.8759160308642038</v>
      </c>
    </row>
    <row r="15189" spans="40:42" x14ac:dyDescent="0.3">
      <c r="AN15189">
        <v>15185</v>
      </c>
      <c r="AO15189" s="11">
        <v>31195.01</v>
      </c>
      <c r="AP15189" s="9">
        <v>3.5507588672329047</v>
      </c>
    </row>
    <row r="15190" spans="40:42" x14ac:dyDescent="0.3">
      <c r="AN15190">
        <v>15186</v>
      </c>
      <c r="AO15190" s="11">
        <v>28939.279999999999</v>
      </c>
      <c r="AP15190" s="9">
        <v>3.9351925994553731</v>
      </c>
    </row>
    <row r="15191" spans="40:42" x14ac:dyDescent="0.3">
      <c r="AN15191">
        <v>15187</v>
      </c>
      <c r="AO15191" s="11">
        <v>34813.24</v>
      </c>
      <c r="AP15191" s="9">
        <v>3.5815834598238001</v>
      </c>
    </row>
    <row r="15192" spans="40:42" x14ac:dyDescent="0.3">
      <c r="AN15192">
        <v>15188</v>
      </c>
      <c r="AO15192" s="11">
        <v>22656.99</v>
      </c>
      <c r="AP15192" s="9">
        <v>3.0475114078439378</v>
      </c>
    </row>
    <row r="15193" spans="40:42" x14ac:dyDescent="0.3">
      <c r="AN15193">
        <v>15189</v>
      </c>
      <c r="AO15193" s="11">
        <v>30452.81</v>
      </c>
      <c r="AP15193" s="9">
        <v>3.0936006804159089</v>
      </c>
    </row>
    <row r="15194" spans="40:42" x14ac:dyDescent="0.3">
      <c r="AN15194">
        <v>15190</v>
      </c>
      <c r="AO15194" s="11">
        <v>21324.51</v>
      </c>
      <c r="AP15194" s="9">
        <v>3.406921340977489</v>
      </c>
    </row>
    <row r="15195" spans="40:42" x14ac:dyDescent="0.3">
      <c r="AN15195">
        <v>15191</v>
      </c>
      <c r="AO15195" s="11">
        <v>25091.03</v>
      </c>
      <c r="AP15195" s="9">
        <v>3.6310468923014039</v>
      </c>
    </row>
    <row r="15196" spans="40:42" x14ac:dyDescent="0.3">
      <c r="AN15196">
        <v>15192</v>
      </c>
      <c r="AO15196" s="11">
        <v>50709.33</v>
      </c>
      <c r="AP15196" s="9">
        <v>4.1884563497657519</v>
      </c>
    </row>
    <row r="15197" spans="40:42" x14ac:dyDescent="0.3">
      <c r="AN15197">
        <v>15193</v>
      </c>
      <c r="AO15197" s="11">
        <v>15089.63</v>
      </c>
      <c r="AP15197" s="9">
        <v>2.8915930509549765</v>
      </c>
    </row>
    <row r="15198" spans="40:42" x14ac:dyDescent="0.3">
      <c r="AN15198">
        <v>15194</v>
      </c>
      <c r="AO15198" s="11">
        <v>24381.39</v>
      </c>
      <c r="AP15198" s="9">
        <v>3.5258047874486018</v>
      </c>
    </row>
    <row r="15199" spans="40:42" x14ac:dyDescent="0.3">
      <c r="AN15199">
        <v>15195</v>
      </c>
      <c r="AO15199" s="11">
        <v>48963.09</v>
      </c>
      <c r="AP15199" s="9">
        <v>4.1041475994130616</v>
      </c>
    </row>
    <row r="15200" spans="40:42" x14ac:dyDescent="0.3">
      <c r="AN15200">
        <v>15196</v>
      </c>
      <c r="AO15200" s="11">
        <v>28545.279999999999</v>
      </c>
      <c r="AP15200" s="9">
        <v>3.6462658019888914</v>
      </c>
    </row>
    <row r="15201" spans="40:42" x14ac:dyDescent="0.3">
      <c r="AN15201">
        <v>15197</v>
      </c>
      <c r="AO15201" s="11">
        <v>21884.15</v>
      </c>
      <c r="AP15201" s="9">
        <v>3.4087864085687865</v>
      </c>
    </row>
    <row r="15202" spans="40:42" x14ac:dyDescent="0.3">
      <c r="AN15202">
        <v>15198</v>
      </c>
      <c r="AO15202" s="11">
        <v>34691.85</v>
      </c>
      <c r="AP15202" s="9">
        <v>3.5802176002979635</v>
      </c>
    </row>
    <row r="15203" spans="40:42" x14ac:dyDescent="0.3">
      <c r="AN15203">
        <v>15199</v>
      </c>
      <c r="AO15203" s="11">
        <v>22382.02</v>
      </c>
      <c r="AP15203" s="9">
        <v>4.0768483601849326</v>
      </c>
    </row>
    <row r="15204" spans="40:42" x14ac:dyDescent="0.3">
      <c r="AN15204">
        <v>15200</v>
      </c>
      <c r="AO15204" s="11">
        <v>24557.58</v>
      </c>
      <c r="AP15204" s="9">
        <v>2.7333114277777177</v>
      </c>
    </row>
    <row r="15205" spans="40:42" x14ac:dyDescent="0.3">
      <c r="AN15205">
        <v>15201</v>
      </c>
      <c r="AO15205" s="11">
        <v>17334.09</v>
      </c>
      <c r="AP15205" s="9">
        <v>3.7054406157597253</v>
      </c>
    </row>
    <row r="15206" spans="40:42" x14ac:dyDescent="0.3">
      <c r="AN15206">
        <v>15202</v>
      </c>
      <c r="AO15206" s="11">
        <v>22001.54</v>
      </c>
      <c r="AP15206" s="9">
        <v>3.2196729338564518</v>
      </c>
    </row>
    <row r="15207" spans="40:42" x14ac:dyDescent="0.3">
      <c r="AN15207">
        <v>15203</v>
      </c>
      <c r="AO15207" s="11">
        <v>25080.71</v>
      </c>
      <c r="AP15207" s="9">
        <v>3.1518385568275691</v>
      </c>
    </row>
    <row r="15208" spans="40:42" x14ac:dyDescent="0.3">
      <c r="AN15208">
        <v>15204</v>
      </c>
      <c r="AO15208" s="11">
        <v>22685.119999999999</v>
      </c>
      <c r="AP15208" s="9">
        <v>3.1265958317523825</v>
      </c>
    </row>
    <row r="15209" spans="40:42" x14ac:dyDescent="0.3">
      <c r="AN15209">
        <v>15205</v>
      </c>
      <c r="AO15209" s="11">
        <v>28712.81</v>
      </c>
      <c r="AP15209" s="9">
        <v>3.2149954588158409</v>
      </c>
    </row>
    <row r="15210" spans="40:42" x14ac:dyDescent="0.3">
      <c r="AN15210">
        <v>15206</v>
      </c>
      <c r="AO15210" s="11">
        <v>21869.9</v>
      </c>
      <c r="AP15210" s="9">
        <v>2.7749978868101497</v>
      </c>
    </row>
    <row r="15211" spans="40:42" x14ac:dyDescent="0.3">
      <c r="AN15211">
        <v>15207</v>
      </c>
      <c r="AO15211" s="11">
        <v>48086.66</v>
      </c>
      <c r="AP15211" s="9">
        <v>4.4196729003596156</v>
      </c>
    </row>
    <row r="15212" spans="40:42" x14ac:dyDescent="0.3">
      <c r="AN15212">
        <v>15208</v>
      </c>
      <c r="AO15212" s="11">
        <v>22483.09</v>
      </c>
      <c r="AP15212" s="9">
        <v>3.4563435053089417</v>
      </c>
    </row>
    <row r="15213" spans="40:42" x14ac:dyDescent="0.3">
      <c r="AN15213">
        <v>15209</v>
      </c>
      <c r="AO15213" s="11">
        <v>24420.98</v>
      </c>
      <c r="AP15213" s="9">
        <v>3.1216258364460514</v>
      </c>
    </row>
    <row r="15214" spans="40:42" x14ac:dyDescent="0.3">
      <c r="AN15214">
        <v>15210</v>
      </c>
      <c r="AO15214" s="11">
        <v>22631.200000000001</v>
      </c>
      <c r="AP15214" s="9">
        <v>2.7186474141309165</v>
      </c>
    </row>
    <row r="15215" spans="40:42" x14ac:dyDescent="0.3">
      <c r="AN15215">
        <v>15211</v>
      </c>
      <c r="AO15215" s="11">
        <v>26336.37</v>
      </c>
      <c r="AP15215" s="9">
        <v>4.2417135172745217</v>
      </c>
    </row>
    <row r="15216" spans="40:42" x14ac:dyDescent="0.3">
      <c r="AN15216">
        <v>15212</v>
      </c>
      <c r="AO15216" s="11">
        <v>18439.28</v>
      </c>
      <c r="AP15216" s="9">
        <v>3.2247332479704296</v>
      </c>
    </row>
    <row r="15217" spans="40:42" x14ac:dyDescent="0.3">
      <c r="AN15217">
        <v>15213</v>
      </c>
      <c r="AO15217" s="11">
        <v>20353.09</v>
      </c>
      <c r="AP15217" s="9">
        <v>2.6808261972135781</v>
      </c>
    </row>
    <row r="15218" spans="40:42" x14ac:dyDescent="0.3">
      <c r="AN15218">
        <v>15214</v>
      </c>
      <c r="AO15218" s="11">
        <v>20202.43</v>
      </c>
      <c r="AP15218" s="9">
        <v>3.0213623685948114</v>
      </c>
    </row>
    <row r="15219" spans="40:42" x14ac:dyDescent="0.3">
      <c r="AN15219">
        <v>15215</v>
      </c>
      <c r="AO15219" s="11">
        <v>22145.97</v>
      </c>
      <c r="AP15219" s="9">
        <v>3.0508181238146688</v>
      </c>
    </row>
    <row r="15220" spans="40:42" x14ac:dyDescent="0.3">
      <c r="AN15220">
        <v>15216</v>
      </c>
      <c r="AO15220" s="11">
        <v>16386.84</v>
      </c>
      <c r="AP15220" s="9">
        <v>3.3481294229011707</v>
      </c>
    </row>
    <row r="15221" spans="40:42" x14ac:dyDescent="0.3">
      <c r="AN15221">
        <v>15217</v>
      </c>
      <c r="AO15221" s="11">
        <v>32265.88</v>
      </c>
      <c r="AP15221" s="9">
        <v>3.3320785813793274</v>
      </c>
    </row>
    <row r="15222" spans="40:42" x14ac:dyDescent="0.3">
      <c r="AN15222">
        <v>15218</v>
      </c>
      <c r="AO15222" s="11">
        <v>28467.83</v>
      </c>
      <c r="AP15222" s="9">
        <v>3.3635260259580524</v>
      </c>
    </row>
    <row r="15223" spans="40:42" x14ac:dyDescent="0.3">
      <c r="AN15223">
        <v>15219</v>
      </c>
      <c r="AO15223" s="11">
        <v>34383.43</v>
      </c>
      <c r="AP15223" s="9">
        <v>3.6112706419090967</v>
      </c>
    </row>
    <row r="15224" spans="40:42" x14ac:dyDescent="0.3">
      <c r="AN15224">
        <v>15220</v>
      </c>
      <c r="AO15224" s="11">
        <v>31338.06</v>
      </c>
      <c r="AP15224" s="9">
        <v>4.2136060087603129</v>
      </c>
    </row>
    <row r="15225" spans="40:42" x14ac:dyDescent="0.3">
      <c r="AN15225">
        <v>15221</v>
      </c>
      <c r="AO15225" s="11">
        <v>29141.67</v>
      </c>
      <c r="AP15225" s="9">
        <v>2.7731863352670825</v>
      </c>
    </row>
    <row r="15226" spans="40:42" x14ac:dyDescent="0.3">
      <c r="AN15226">
        <v>15222</v>
      </c>
      <c r="AO15226" s="11">
        <v>28646.94</v>
      </c>
      <c r="AP15226" s="9">
        <v>3.7641683878838799</v>
      </c>
    </row>
    <row r="15227" spans="40:42" x14ac:dyDescent="0.3">
      <c r="AN15227">
        <v>15223</v>
      </c>
      <c r="AO15227" s="11">
        <v>28846.7</v>
      </c>
      <c r="AP15227" s="9">
        <v>3.4552112740628664</v>
      </c>
    </row>
    <row r="15228" spans="40:42" x14ac:dyDescent="0.3">
      <c r="AN15228">
        <v>15224</v>
      </c>
      <c r="AO15228" s="11">
        <v>34385.699999999997</v>
      </c>
      <c r="AP15228" s="9">
        <v>4.2224408116461607</v>
      </c>
    </row>
    <row r="15229" spans="40:42" x14ac:dyDescent="0.3">
      <c r="AN15229">
        <v>15225</v>
      </c>
      <c r="AO15229" s="11">
        <v>34204.29</v>
      </c>
      <c r="AP15229" s="9">
        <v>3.7492755612011961</v>
      </c>
    </row>
    <row r="15230" spans="40:42" x14ac:dyDescent="0.3">
      <c r="AN15230">
        <v>15226</v>
      </c>
      <c r="AO15230" s="11">
        <v>32110.42</v>
      </c>
      <c r="AP15230" s="9">
        <v>4.0560352779474549</v>
      </c>
    </row>
    <row r="15231" spans="40:42" x14ac:dyDescent="0.3">
      <c r="AN15231">
        <v>15227</v>
      </c>
      <c r="AO15231" s="11">
        <v>18633.759999999998</v>
      </c>
      <c r="AP15231" s="9">
        <v>2.6263177303886742</v>
      </c>
    </row>
    <row r="15232" spans="40:42" x14ac:dyDescent="0.3">
      <c r="AN15232">
        <v>15228</v>
      </c>
      <c r="AO15232" s="11">
        <v>19792.990000000002</v>
      </c>
      <c r="AP15232" s="9">
        <v>4.066412929753807</v>
      </c>
    </row>
    <row r="15233" spans="40:42" x14ac:dyDescent="0.3">
      <c r="AN15233">
        <v>15229</v>
      </c>
      <c r="AO15233" s="11">
        <v>22841.77</v>
      </c>
      <c r="AP15233" s="9">
        <v>2.9036567749647282</v>
      </c>
    </row>
    <row r="15234" spans="40:42" x14ac:dyDescent="0.3">
      <c r="AN15234">
        <v>15230</v>
      </c>
      <c r="AO15234" s="11">
        <v>45345.78</v>
      </c>
      <c r="AP15234" s="9">
        <v>4.138713154674476</v>
      </c>
    </row>
    <row r="15235" spans="40:42" x14ac:dyDescent="0.3">
      <c r="AN15235">
        <v>15231</v>
      </c>
      <c r="AO15235" s="11">
        <v>20812.259999999998</v>
      </c>
      <c r="AP15235" s="9">
        <v>3.2507617704404641</v>
      </c>
    </row>
    <row r="15236" spans="40:42" x14ac:dyDescent="0.3">
      <c r="AN15236">
        <v>15232</v>
      </c>
      <c r="AO15236" s="11">
        <v>31488.65</v>
      </c>
      <c r="AP15236" s="9">
        <v>3.635781943485874</v>
      </c>
    </row>
    <row r="15237" spans="40:42" x14ac:dyDescent="0.3">
      <c r="AN15237">
        <v>15233</v>
      </c>
      <c r="AO15237" s="11">
        <v>23302.81</v>
      </c>
      <c r="AP15237" s="9">
        <v>3.1965709819751549</v>
      </c>
    </row>
    <row r="15238" spans="40:42" x14ac:dyDescent="0.3">
      <c r="AN15238">
        <v>15234</v>
      </c>
      <c r="AO15238" s="11">
        <v>21779.4</v>
      </c>
      <c r="AP15238" s="9">
        <v>3.1037594092679646</v>
      </c>
    </row>
    <row r="15239" spans="40:42" x14ac:dyDescent="0.3">
      <c r="AN15239">
        <v>15235</v>
      </c>
      <c r="AO15239" s="11">
        <v>26550.1</v>
      </c>
      <c r="AP15239" s="9">
        <v>2.8378746385262095</v>
      </c>
    </row>
    <row r="15240" spans="40:42" x14ac:dyDescent="0.3">
      <c r="AN15240">
        <v>15236</v>
      </c>
      <c r="AO15240" s="11">
        <v>30968.13</v>
      </c>
      <c r="AP15240" s="9">
        <v>3.7955992592459635</v>
      </c>
    </row>
    <row r="15241" spans="40:42" x14ac:dyDescent="0.3">
      <c r="AN15241">
        <v>15237</v>
      </c>
      <c r="AO15241" s="11">
        <v>26312.51</v>
      </c>
      <c r="AP15241" s="9">
        <v>3.2215930145378571</v>
      </c>
    </row>
    <row r="15242" spans="40:42" x14ac:dyDescent="0.3">
      <c r="AN15242">
        <v>15238</v>
      </c>
      <c r="AO15242" s="11">
        <v>28253.97</v>
      </c>
      <c r="AP15242" s="9">
        <v>3.1496585235713583</v>
      </c>
    </row>
    <row r="15243" spans="40:42" x14ac:dyDescent="0.3">
      <c r="AN15243">
        <v>15239</v>
      </c>
      <c r="AO15243" s="11">
        <v>27541.09</v>
      </c>
      <c r="AP15243" s="9">
        <v>3.5311377581940389</v>
      </c>
    </row>
    <row r="15244" spans="40:42" x14ac:dyDescent="0.3">
      <c r="AN15244">
        <v>15240</v>
      </c>
      <c r="AO15244" s="11">
        <v>20049.75</v>
      </c>
      <c r="AP15244" s="9">
        <v>3.2976216069966422</v>
      </c>
    </row>
    <row r="15245" spans="40:42" x14ac:dyDescent="0.3">
      <c r="AN15245">
        <v>15241</v>
      </c>
      <c r="AO15245" s="11">
        <v>23570.95</v>
      </c>
      <c r="AP15245" s="9">
        <v>3.6227204363988292</v>
      </c>
    </row>
    <row r="15246" spans="40:42" x14ac:dyDescent="0.3">
      <c r="AN15246">
        <v>15242</v>
      </c>
      <c r="AO15246" s="11">
        <v>19328.34</v>
      </c>
      <c r="AP15246" s="9">
        <v>2.6996675212432515</v>
      </c>
    </row>
    <row r="15247" spans="40:42" x14ac:dyDescent="0.3">
      <c r="AN15247">
        <v>15243</v>
      </c>
      <c r="AO15247" s="11">
        <v>21893.65</v>
      </c>
      <c r="AP15247" s="9">
        <v>2.8033895782376446</v>
      </c>
    </row>
    <row r="15248" spans="40:42" x14ac:dyDescent="0.3">
      <c r="AN15248">
        <v>15244</v>
      </c>
      <c r="AO15248" s="11">
        <v>21014.36</v>
      </c>
      <c r="AP15248" s="9">
        <v>3.2735926929626493</v>
      </c>
    </row>
    <row r="15249" spans="40:42" x14ac:dyDescent="0.3">
      <c r="AN15249">
        <v>15245</v>
      </c>
      <c r="AO15249" s="11">
        <v>20680.29</v>
      </c>
      <c r="AP15249" s="9">
        <v>3.1533724541923238</v>
      </c>
    </row>
    <row r="15250" spans="40:42" x14ac:dyDescent="0.3">
      <c r="AN15250">
        <v>15246</v>
      </c>
      <c r="AO15250" s="11">
        <v>30092.42</v>
      </c>
      <c r="AP15250" s="9">
        <v>3.4742216857765431</v>
      </c>
    </row>
    <row r="15251" spans="40:42" x14ac:dyDescent="0.3">
      <c r="AN15251">
        <v>15247</v>
      </c>
      <c r="AO15251" s="11">
        <v>39156.949999999997</v>
      </c>
      <c r="AP15251" s="9">
        <v>4.0395963751462869</v>
      </c>
    </row>
    <row r="15252" spans="40:42" x14ac:dyDescent="0.3">
      <c r="AN15252">
        <v>15248</v>
      </c>
      <c r="AO15252" s="11">
        <v>28150.639999999999</v>
      </c>
      <c r="AP15252" s="9">
        <v>3.6816465085759496</v>
      </c>
    </row>
    <row r="15253" spans="40:42" x14ac:dyDescent="0.3">
      <c r="AN15253">
        <v>15249</v>
      </c>
      <c r="AO15253" s="11">
        <v>27269.15</v>
      </c>
      <c r="AP15253" s="9">
        <v>3.1070904710078291</v>
      </c>
    </row>
    <row r="15254" spans="40:42" x14ac:dyDescent="0.3">
      <c r="AN15254">
        <v>15250</v>
      </c>
      <c r="AO15254" s="11">
        <v>16426.900000000001</v>
      </c>
      <c r="AP15254" s="9">
        <v>2.9993304955195272</v>
      </c>
    </row>
    <row r="15255" spans="40:42" x14ac:dyDescent="0.3">
      <c r="AN15255">
        <v>15251</v>
      </c>
      <c r="AO15255" s="11">
        <v>26559.07</v>
      </c>
      <c r="AP15255" s="9">
        <v>3.148680867790322</v>
      </c>
    </row>
    <row r="15256" spans="40:42" x14ac:dyDescent="0.3">
      <c r="AN15256">
        <v>15252</v>
      </c>
      <c r="AO15256" s="11">
        <v>29717.84</v>
      </c>
      <c r="AP15256" s="9">
        <v>3.5905167354253149</v>
      </c>
    </row>
    <row r="15257" spans="40:42" x14ac:dyDescent="0.3">
      <c r="AN15257">
        <v>15253</v>
      </c>
      <c r="AO15257" s="11">
        <v>22623.33</v>
      </c>
      <c r="AP15257" s="9">
        <v>3.8602611467071566</v>
      </c>
    </row>
    <row r="15258" spans="40:42" x14ac:dyDescent="0.3">
      <c r="AN15258">
        <v>15254</v>
      </c>
      <c r="AO15258" s="11">
        <v>29022.7</v>
      </c>
      <c r="AP15258" s="9">
        <v>3.3314868211084674</v>
      </c>
    </row>
    <row r="15259" spans="40:42" x14ac:dyDescent="0.3">
      <c r="AN15259">
        <v>15255</v>
      </c>
      <c r="AO15259" s="11">
        <v>33817.86</v>
      </c>
      <c r="AP15259" s="9">
        <v>4.0198263067687003</v>
      </c>
    </row>
    <row r="15260" spans="40:42" x14ac:dyDescent="0.3">
      <c r="AN15260">
        <v>15256</v>
      </c>
      <c r="AO15260" s="11">
        <v>29174.91</v>
      </c>
      <c r="AP15260" s="9">
        <v>2.9395637101357894</v>
      </c>
    </row>
    <row r="15261" spans="40:42" x14ac:dyDescent="0.3">
      <c r="AN15261">
        <v>15257</v>
      </c>
      <c r="AO15261" s="11">
        <v>17971.36</v>
      </c>
      <c r="AP15261" s="9">
        <v>2.9785991551871778</v>
      </c>
    </row>
    <row r="15262" spans="40:42" x14ac:dyDescent="0.3">
      <c r="AN15262">
        <v>15258</v>
      </c>
      <c r="AO15262" s="11">
        <v>24176.639999999999</v>
      </c>
      <c r="AP15262" s="9">
        <v>3.1990126564245092</v>
      </c>
    </row>
    <row r="15263" spans="40:42" x14ac:dyDescent="0.3">
      <c r="AN15263">
        <v>15259</v>
      </c>
      <c r="AO15263" s="11">
        <v>14615.01</v>
      </c>
      <c r="AP15263" s="9">
        <v>3.1800512702826733</v>
      </c>
    </row>
    <row r="15264" spans="40:42" x14ac:dyDescent="0.3">
      <c r="AN15264">
        <v>15260</v>
      </c>
      <c r="AO15264" s="11">
        <v>23632.58</v>
      </c>
      <c r="AP15264" s="9">
        <v>2.9138476358231276</v>
      </c>
    </row>
    <row r="15265" spans="40:42" x14ac:dyDescent="0.3">
      <c r="AN15265">
        <v>15261</v>
      </c>
      <c r="AO15265" s="11">
        <v>29699.71</v>
      </c>
      <c r="AP15265" s="9">
        <v>3.1177652075912756</v>
      </c>
    </row>
    <row r="15266" spans="40:42" x14ac:dyDescent="0.3">
      <c r="AN15266">
        <v>15262</v>
      </c>
      <c r="AO15266" s="11">
        <v>18134.16</v>
      </c>
      <c r="AP15266" s="9">
        <v>3.0908534657814952</v>
      </c>
    </row>
    <row r="15267" spans="40:42" x14ac:dyDescent="0.3">
      <c r="AN15267">
        <v>15263</v>
      </c>
      <c r="AO15267" s="11">
        <v>38924.31</v>
      </c>
      <c r="AP15267" s="9">
        <v>3.5734427500657713</v>
      </c>
    </row>
    <row r="15268" spans="40:42" x14ac:dyDescent="0.3">
      <c r="AN15268">
        <v>15264</v>
      </c>
      <c r="AO15268" s="11">
        <v>29759.200000000001</v>
      </c>
      <c r="AP15268" s="9">
        <v>4.3971500954392777</v>
      </c>
    </row>
    <row r="15269" spans="40:42" x14ac:dyDescent="0.3">
      <c r="AN15269">
        <v>15265</v>
      </c>
      <c r="AO15269" s="11">
        <v>21943.8</v>
      </c>
      <c r="AP15269" s="9">
        <v>3.3134579599536034</v>
      </c>
    </row>
    <row r="15270" spans="40:42" x14ac:dyDescent="0.3">
      <c r="AN15270">
        <v>15266</v>
      </c>
      <c r="AO15270" s="11">
        <v>24088.45</v>
      </c>
      <c r="AP15270" s="9">
        <v>2.9479014553006371</v>
      </c>
    </row>
    <row r="15271" spans="40:42" x14ac:dyDescent="0.3">
      <c r="AN15271">
        <v>15267</v>
      </c>
      <c r="AO15271" s="11">
        <v>28336.7</v>
      </c>
      <c r="AP15271" s="9">
        <v>3.240286582593435</v>
      </c>
    </row>
    <row r="15272" spans="40:42" x14ac:dyDescent="0.3">
      <c r="AN15272">
        <v>15268</v>
      </c>
      <c r="AO15272" s="11">
        <v>30746.34</v>
      </c>
      <c r="AP15272" s="9">
        <v>3.508121466516954</v>
      </c>
    </row>
    <row r="15273" spans="40:42" x14ac:dyDescent="0.3">
      <c r="AN15273">
        <v>15269</v>
      </c>
      <c r="AO15273" s="11">
        <v>29215.66</v>
      </c>
      <c r="AP15273" s="9">
        <v>3.2334029353607541</v>
      </c>
    </row>
    <row r="15274" spans="40:42" x14ac:dyDescent="0.3">
      <c r="AN15274">
        <v>15270</v>
      </c>
      <c r="AO15274" s="11">
        <v>19589.62</v>
      </c>
      <c r="AP15274" s="9">
        <v>2.8920452877371803</v>
      </c>
    </row>
    <row r="15275" spans="40:42" x14ac:dyDescent="0.3">
      <c r="AN15275">
        <v>15271</v>
      </c>
      <c r="AO15275" s="11">
        <v>21865.49</v>
      </c>
      <c r="AP15275" s="9">
        <v>3.1964502190152628</v>
      </c>
    </row>
    <row r="15276" spans="40:42" x14ac:dyDescent="0.3">
      <c r="AN15276">
        <v>15272</v>
      </c>
      <c r="AO15276" s="11">
        <v>28999.78</v>
      </c>
      <c r="AP15276" s="9">
        <v>3.7633757154177276</v>
      </c>
    </row>
    <row r="15277" spans="40:42" x14ac:dyDescent="0.3">
      <c r="AN15277">
        <v>15273</v>
      </c>
      <c r="AO15277" s="11">
        <v>33533.96</v>
      </c>
      <c r="AP15277" s="9">
        <v>3.6327543879614308</v>
      </c>
    </row>
    <row r="15278" spans="40:42" x14ac:dyDescent="0.3">
      <c r="AN15278">
        <v>15274</v>
      </c>
      <c r="AO15278" s="11">
        <v>33151.03</v>
      </c>
      <c r="AP15278" s="9">
        <v>3.5765362730677253</v>
      </c>
    </row>
    <row r="15279" spans="40:42" x14ac:dyDescent="0.3">
      <c r="AN15279">
        <v>15275</v>
      </c>
      <c r="AO15279" s="11">
        <v>36090.14</v>
      </c>
      <c r="AP15279" s="9">
        <v>3.3831865964695997</v>
      </c>
    </row>
    <row r="15280" spans="40:42" x14ac:dyDescent="0.3">
      <c r="AN15280">
        <v>15276</v>
      </c>
      <c r="AO15280" s="11">
        <v>20760.400000000001</v>
      </c>
      <c r="AP15280" s="9">
        <v>2.9483602617356039</v>
      </c>
    </row>
    <row r="15281" spans="40:42" x14ac:dyDescent="0.3">
      <c r="AN15281">
        <v>15277</v>
      </c>
      <c r="AO15281" s="11">
        <v>37323.71</v>
      </c>
      <c r="AP15281" s="9">
        <v>3.5994726297200796</v>
      </c>
    </row>
    <row r="15282" spans="40:42" x14ac:dyDescent="0.3">
      <c r="AN15282">
        <v>15278</v>
      </c>
      <c r="AO15282" s="11">
        <v>32060.15</v>
      </c>
      <c r="AP15282" s="9">
        <v>3.1499807276800587</v>
      </c>
    </row>
    <row r="15283" spans="40:42" x14ac:dyDescent="0.3">
      <c r="AN15283">
        <v>15279</v>
      </c>
      <c r="AO15283" s="11">
        <v>33376.31</v>
      </c>
      <c r="AP15283" s="9">
        <v>3.7961392663860312</v>
      </c>
    </row>
    <row r="15284" spans="40:42" x14ac:dyDescent="0.3">
      <c r="AN15284">
        <v>15280</v>
      </c>
      <c r="AO15284" s="11">
        <v>40883.160000000003</v>
      </c>
      <c r="AP15284" s="9">
        <v>3.547334957785496</v>
      </c>
    </row>
    <row r="15285" spans="40:42" x14ac:dyDescent="0.3">
      <c r="AN15285">
        <v>15281</v>
      </c>
      <c r="AO15285" s="11">
        <v>14732.08</v>
      </c>
      <c r="AP15285" s="9">
        <v>2.8461235405490437</v>
      </c>
    </row>
    <row r="15286" spans="40:42" x14ac:dyDescent="0.3">
      <c r="AN15286">
        <v>15282</v>
      </c>
      <c r="AO15286" s="11">
        <v>23044.43</v>
      </c>
      <c r="AP15286" s="9">
        <v>3.3040484724044163</v>
      </c>
    </row>
    <row r="15287" spans="40:42" x14ac:dyDescent="0.3">
      <c r="AN15287">
        <v>15283</v>
      </c>
      <c r="AO15287" s="11">
        <v>23682.11</v>
      </c>
      <c r="AP15287" s="9">
        <v>3.3152423229911454</v>
      </c>
    </row>
    <row r="15288" spans="40:42" x14ac:dyDescent="0.3">
      <c r="AN15288">
        <v>15284</v>
      </c>
      <c r="AO15288" s="11">
        <v>31170.69</v>
      </c>
      <c r="AP15288" s="9">
        <v>3.1945129790679445</v>
      </c>
    </row>
    <row r="15289" spans="40:42" x14ac:dyDescent="0.3">
      <c r="AN15289">
        <v>15285</v>
      </c>
      <c r="AO15289" s="11">
        <v>26064.959999999999</v>
      </c>
      <c r="AP15289" s="9">
        <v>3.6104371699765574</v>
      </c>
    </row>
    <row r="15290" spans="40:42" x14ac:dyDescent="0.3">
      <c r="AN15290">
        <v>15286</v>
      </c>
      <c r="AO15290" s="11">
        <v>29045.55</v>
      </c>
      <c r="AP15290" s="9">
        <v>3.1811407996959216</v>
      </c>
    </row>
    <row r="15291" spans="40:42" x14ac:dyDescent="0.3">
      <c r="AN15291">
        <v>15287</v>
      </c>
      <c r="AO15291" s="11">
        <v>27296.76</v>
      </c>
      <c r="AP15291" s="9">
        <v>3.9611039164413393</v>
      </c>
    </row>
    <row r="15292" spans="40:42" x14ac:dyDescent="0.3">
      <c r="AN15292">
        <v>15288</v>
      </c>
      <c r="AO15292" s="11">
        <v>26020.400000000001</v>
      </c>
      <c r="AP15292" s="9">
        <v>3.610854774946751</v>
      </c>
    </row>
    <row r="15293" spans="40:42" x14ac:dyDescent="0.3">
      <c r="AN15293">
        <v>15289</v>
      </c>
      <c r="AO15293" s="11">
        <v>27667.53</v>
      </c>
      <c r="AP15293" s="9">
        <v>3.834852695319368</v>
      </c>
    </row>
    <row r="15294" spans="40:42" x14ac:dyDescent="0.3">
      <c r="AN15294">
        <v>15290</v>
      </c>
      <c r="AO15294" s="11">
        <v>23131.88</v>
      </c>
      <c r="AP15294" s="9">
        <v>3.1221616677079522</v>
      </c>
    </row>
    <row r="15295" spans="40:42" x14ac:dyDescent="0.3">
      <c r="AN15295">
        <v>15291</v>
      </c>
      <c r="AO15295" s="11">
        <v>24514.5</v>
      </c>
      <c r="AP15295" s="9">
        <v>2.9857381205330769</v>
      </c>
    </row>
    <row r="15296" spans="40:42" x14ac:dyDescent="0.3">
      <c r="AN15296">
        <v>15292</v>
      </c>
      <c r="AO15296" s="11">
        <v>36185.79</v>
      </c>
      <c r="AP15296" s="9">
        <v>3.9691542884893685</v>
      </c>
    </row>
    <row r="15297" spans="40:42" x14ac:dyDescent="0.3">
      <c r="AN15297">
        <v>15293</v>
      </c>
      <c r="AO15297" s="11">
        <v>20208.71</v>
      </c>
      <c r="AP15297" s="9">
        <v>3.2919999203699879</v>
      </c>
    </row>
    <row r="15298" spans="40:42" x14ac:dyDescent="0.3">
      <c r="AN15298">
        <v>15294</v>
      </c>
      <c r="AO15298" s="11">
        <v>15245.9</v>
      </c>
      <c r="AP15298" s="9">
        <v>3.1450750464016779</v>
      </c>
    </row>
    <row r="15299" spans="40:42" x14ac:dyDescent="0.3">
      <c r="AN15299">
        <v>15295</v>
      </c>
      <c r="AO15299" s="11">
        <v>26151.919999999998</v>
      </c>
      <c r="AP15299" s="9">
        <v>2.8268749848164076</v>
      </c>
    </row>
    <row r="15300" spans="40:42" x14ac:dyDescent="0.3">
      <c r="AN15300">
        <v>15296</v>
      </c>
      <c r="AO15300" s="11">
        <v>39320.089999999997</v>
      </c>
      <c r="AP15300" s="9">
        <v>3.7000401933831859</v>
      </c>
    </row>
    <row r="15301" spans="40:42" x14ac:dyDescent="0.3">
      <c r="AN15301">
        <v>15297</v>
      </c>
      <c r="AO15301" s="11">
        <v>18419.349999999999</v>
      </c>
      <c r="AP15301" s="9">
        <v>3.6082903277713894</v>
      </c>
    </row>
    <row r="15302" spans="40:42" x14ac:dyDescent="0.3">
      <c r="AN15302">
        <v>15298</v>
      </c>
      <c r="AO15302" s="11">
        <v>35267.57</v>
      </c>
      <c r="AP15302" s="9">
        <v>3.872603046497423</v>
      </c>
    </row>
    <row r="15303" spans="40:42" x14ac:dyDescent="0.3">
      <c r="AN15303">
        <v>15299</v>
      </c>
      <c r="AO15303" s="11">
        <v>26222.95</v>
      </c>
      <c r="AP15303" s="9">
        <v>3.4185530111291014</v>
      </c>
    </row>
    <row r="15304" spans="40:42" x14ac:dyDescent="0.3">
      <c r="AN15304">
        <v>15300</v>
      </c>
      <c r="AO15304" s="11">
        <v>20451.82</v>
      </c>
      <c r="AP15304" s="9">
        <v>3.3910121399814073</v>
      </c>
    </row>
    <row r="15305" spans="40:42" x14ac:dyDescent="0.3">
      <c r="AN15305">
        <v>15301</v>
      </c>
      <c r="AO15305" s="11">
        <v>28408.01</v>
      </c>
      <c r="AP15305" s="9">
        <v>3.4986288273344317</v>
      </c>
    </row>
    <row r="15306" spans="40:42" x14ac:dyDescent="0.3">
      <c r="AN15306">
        <v>15302</v>
      </c>
      <c r="AO15306" s="11">
        <v>16483.89</v>
      </c>
      <c r="AP15306" s="9">
        <v>2.8558208762815842</v>
      </c>
    </row>
    <row r="15307" spans="40:42" x14ac:dyDescent="0.3">
      <c r="AN15307">
        <v>15303</v>
      </c>
      <c r="AO15307" s="11">
        <v>24498.83</v>
      </c>
      <c r="AP15307" s="9">
        <v>3.978824066056128</v>
      </c>
    </row>
    <row r="15308" spans="40:42" x14ac:dyDescent="0.3">
      <c r="AN15308">
        <v>15304</v>
      </c>
      <c r="AO15308" s="11">
        <v>21844.15</v>
      </c>
      <c r="AP15308" s="9">
        <v>3.4017016369294262</v>
      </c>
    </row>
    <row r="15309" spans="40:42" x14ac:dyDescent="0.3">
      <c r="AN15309">
        <v>15305</v>
      </c>
      <c r="AO15309" s="11">
        <v>19143.599999999999</v>
      </c>
      <c r="AP15309" s="9">
        <v>3.0121863072445905</v>
      </c>
    </row>
    <row r="15310" spans="40:42" x14ac:dyDescent="0.3">
      <c r="AN15310">
        <v>15306</v>
      </c>
      <c r="AO15310" s="11">
        <v>25088.49</v>
      </c>
      <c r="AP15310" s="9">
        <v>3.7275743331908133</v>
      </c>
    </row>
    <row r="15311" spans="40:42" x14ac:dyDescent="0.3">
      <c r="AN15311">
        <v>15307</v>
      </c>
      <c r="AO15311" s="11">
        <v>36750.519999999997</v>
      </c>
      <c r="AP15311" s="9">
        <v>3.2476444290039113</v>
      </c>
    </row>
    <row r="15312" spans="40:42" x14ac:dyDescent="0.3">
      <c r="AN15312">
        <v>15308</v>
      </c>
      <c r="AO15312" s="11">
        <v>28033.21</v>
      </c>
      <c r="AP15312" s="9">
        <v>3.4896883005961938</v>
      </c>
    </row>
    <row r="15313" spans="40:42" x14ac:dyDescent="0.3">
      <c r="AN15313">
        <v>15309</v>
      </c>
      <c r="AO15313" s="11">
        <v>28507.93</v>
      </c>
      <c r="AP15313" s="9">
        <v>4.332074160282537</v>
      </c>
    </row>
    <row r="15314" spans="40:42" x14ac:dyDescent="0.3">
      <c r="AN15314">
        <v>15310</v>
      </c>
      <c r="AO15314" s="11">
        <v>28315.9</v>
      </c>
      <c r="AP15314" s="9">
        <v>3.05681554016827</v>
      </c>
    </row>
    <row r="15315" spans="40:42" x14ac:dyDescent="0.3">
      <c r="AN15315">
        <v>15311</v>
      </c>
      <c r="AO15315" s="11">
        <v>26193.32</v>
      </c>
      <c r="AP15315" s="9">
        <v>3.482901395437656</v>
      </c>
    </row>
    <row r="15316" spans="40:42" x14ac:dyDescent="0.3">
      <c r="AN15316">
        <v>15312</v>
      </c>
      <c r="AO15316" s="11">
        <v>38952.519999999997</v>
      </c>
      <c r="AP15316" s="9">
        <v>4.0762584376276569</v>
      </c>
    </row>
    <row r="15317" spans="40:42" x14ac:dyDescent="0.3">
      <c r="AN15317">
        <v>15313</v>
      </c>
      <c r="AO15317" s="11">
        <v>30965.72</v>
      </c>
      <c r="AP15317" s="9">
        <v>2.9723143809349652</v>
      </c>
    </row>
    <row r="15318" spans="40:42" x14ac:dyDescent="0.3">
      <c r="AN15318">
        <v>15314</v>
      </c>
      <c r="AO15318" s="11">
        <v>27304.42</v>
      </c>
      <c r="AP15318" s="9">
        <v>3.0747980548642908</v>
      </c>
    </row>
    <row r="15319" spans="40:42" x14ac:dyDescent="0.3">
      <c r="AN15319">
        <v>15315</v>
      </c>
      <c r="AO15319" s="11">
        <v>26099.55</v>
      </c>
      <c r="AP15319" s="9">
        <v>3.6622776072816028</v>
      </c>
    </row>
    <row r="15320" spans="40:42" x14ac:dyDescent="0.3">
      <c r="AN15320">
        <v>15316</v>
      </c>
      <c r="AO15320" s="11">
        <v>55483.07</v>
      </c>
      <c r="AP15320" s="9">
        <v>3.8918714112248742</v>
      </c>
    </row>
    <row r="15321" spans="40:42" x14ac:dyDescent="0.3">
      <c r="AN15321">
        <v>15317</v>
      </c>
      <c r="AO15321" s="11">
        <v>19399.45</v>
      </c>
      <c r="AP15321" s="9">
        <v>2.9853712503803296</v>
      </c>
    </row>
    <row r="15322" spans="40:42" x14ac:dyDescent="0.3">
      <c r="AN15322">
        <v>15318</v>
      </c>
      <c r="AO15322" s="11">
        <v>31385.31</v>
      </c>
      <c r="AP15322" s="9">
        <v>3.6178739323304208</v>
      </c>
    </row>
    <row r="15323" spans="40:42" x14ac:dyDescent="0.3">
      <c r="AN15323">
        <v>15319</v>
      </c>
      <c r="AO15323" s="11">
        <v>33844.11</v>
      </c>
      <c r="AP15323" s="9">
        <v>3.3052716908506832</v>
      </c>
    </row>
    <row r="15324" spans="40:42" x14ac:dyDescent="0.3">
      <c r="AN15324">
        <v>15320</v>
      </c>
      <c r="AO15324" s="11">
        <v>39683.1</v>
      </c>
      <c r="AP15324" s="9">
        <v>3.8430915581373943</v>
      </c>
    </row>
    <row r="15325" spans="40:42" x14ac:dyDescent="0.3">
      <c r="AN15325">
        <v>15321</v>
      </c>
      <c r="AO15325" s="11">
        <v>26150.23</v>
      </c>
      <c r="AP15325" s="9">
        <v>3.1895710621036635</v>
      </c>
    </row>
    <row r="15326" spans="40:42" x14ac:dyDescent="0.3">
      <c r="AN15326">
        <v>15322</v>
      </c>
      <c r="AO15326" s="11">
        <v>17680.61</v>
      </c>
      <c r="AP15326" s="9">
        <v>3.4084780367319638</v>
      </c>
    </row>
    <row r="15327" spans="40:42" x14ac:dyDescent="0.3">
      <c r="AN15327">
        <v>15323</v>
      </c>
      <c r="AO15327" s="11">
        <v>17976.36</v>
      </c>
      <c r="AP15327" s="9">
        <v>3.0811589878738279</v>
      </c>
    </row>
    <row r="15328" spans="40:42" x14ac:dyDescent="0.3">
      <c r="AN15328">
        <v>15324</v>
      </c>
      <c r="AO15328" s="11">
        <v>29857.98</v>
      </c>
      <c r="AP15328" s="9">
        <v>3.7487625571341892</v>
      </c>
    </row>
    <row r="15329" spans="40:42" x14ac:dyDescent="0.3">
      <c r="AN15329">
        <v>15325</v>
      </c>
      <c r="AO15329" s="11">
        <v>24569.64</v>
      </c>
      <c r="AP15329" s="9">
        <v>3.1354110140218556</v>
      </c>
    </row>
    <row r="15330" spans="40:42" x14ac:dyDescent="0.3">
      <c r="AN15330">
        <v>15326</v>
      </c>
      <c r="AO15330" s="11">
        <v>23301.33</v>
      </c>
      <c r="AP15330" s="9">
        <v>3.9079757782904445</v>
      </c>
    </row>
    <row r="15331" spans="40:42" x14ac:dyDescent="0.3">
      <c r="AN15331">
        <v>15327</v>
      </c>
      <c r="AO15331" s="11">
        <v>32919.660000000003</v>
      </c>
      <c r="AP15331" s="9">
        <v>2.9201354032379414</v>
      </c>
    </row>
    <row r="15332" spans="40:42" x14ac:dyDescent="0.3">
      <c r="AN15332">
        <v>15328</v>
      </c>
      <c r="AO15332" s="11">
        <v>23711.32</v>
      </c>
      <c r="AP15332" s="9">
        <v>3.1676981230652359</v>
      </c>
    </row>
    <row r="15333" spans="40:42" x14ac:dyDescent="0.3">
      <c r="AN15333">
        <v>15329</v>
      </c>
      <c r="AO15333" s="11">
        <v>33034.9</v>
      </c>
      <c r="AP15333" s="9">
        <v>3.9226911308385897</v>
      </c>
    </row>
    <row r="15334" spans="40:42" x14ac:dyDescent="0.3">
      <c r="AN15334">
        <v>15330</v>
      </c>
      <c r="AO15334" s="11">
        <v>37554.449999999997</v>
      </c>
      <c r="AP15334" s="9">
        <v>3.6795842003275188</v>
      </c>
    </row>
    <row r="15335" spans="40:42" x14ac:dyDescent="0.3">
      <c r="AN15335">
        <v>15331</v>
      </c>
      <c r="AO15335" s="11">
        <v>26782.53</v>
      </c>
      <c r="AP15335" s="9">
        <v>3.4816287536617758</v>
      </c>
    </row>
    <row r="15336" spans="40:42" x14ac:dyDescent="0.3">
      <c r="AN15336">
        <v>15332</v>
      </c>
      <c r="AO15336" s="11">
        <v>27055.02</v>
      </c>
      <c r="AP15336" s="9">
        <v>3.2614846641008945</v>
      </c>
    </row>
    <row r="15337" spans="40:42" x14ac:dyDescent="0.3">
      <c r="AN15337">
        <v>15333</v>
      </c>
      <c r="AO15337" s="11">
        <v>25013.7</v>
      </c>
      <c r="AP15337" s="9">
        <v>3.3054282761203755</v>
      </c>
    </row>
    <row r="15338" spans="40:42" x14ac:dyDescent="0.3">
      <c r="AN15338">
        <v>15334</v>
      </c>
      <c r="AO15338" s="11">
        <v>23335.08</v>
      </c>
      <c r="AP15338" s="9">
        <v>3.05733462938101</v>
      </c>
    </row>
    <row r="15339" spans="40:42" x14ac:dyDescent="0.3">
      <c r="AN15339">
        <v>15335</v>
      </c>
      <c r="AO15339" s="11">
        <v>19802.150000000001</v>
      </c>
      <c r="AP15339" s="9">
        <v>3.7461350536588651</v>
      </c>
    </row>
    <row r="15340" spans="40:42" x14ac:dyDescent="0.3">
      <c r="AN15340">
        <v>15336</v>
      </c>
      <c r="AO15340" s="11">
        <v>25092.89</v>
      </c>
      <c r="AP15340" s="9">
        <v>3.7829737765559952</v>
      </c>
    </row>
    <row r="15341" spans="40:42" x14ac:dyDescent="0.3">
      <c r="AN15341">
        <v>15337</v>
      </c>
      <c r="AO15341" s="11">
        <v>32929.07</v>
      </c>
      <c r="AP15341" s="9">
        <v>3.7563987776630987</v>
      </c>
    </row>
    <row r="15342" spans="40:42" x14ac:dyDescent="0.3">
      <c r="AN15342">
        <v>15338</v>
      </c>
      <c r="AO15342" s="11">
        <v>20542.099999999999</v>
      </c>
      <c r="AP15342" s="9">
        <v>3.251115696049292</v>
      </c>
    </row>
    <row r="15343" spans="40:42" x14ac:dyDescent="0.3">
      <c r="AN15343">
        <v>15339</v>
      </c>
      <c r="AO15343" s="11">
        <v>20616.3</v>
      </c>
      <c r="AP15343" s="9">
        <v>3.4358733146018072</v>
      </c>
    </row>
    <row r="15344" spans="40:42" x14ac:dyDescent="0.3">
      <c r="AN15344">
        <v>15340</v>
      </c>
      <c r="AO15344" s="11">
        <v>32360.799999999999</v>
      </c>
      <c r="AP15344" s="9">
        <v>3.1204148568362853</v>
      </c>
    </row>
    <row r="15345" spans="40:42" x14ac:dyDescent="0.3">
      <c r="AN15345">
        <v>15341</v>
      </c>
      <c r="AO15345" s="11">
        <v>26424.89</v>
      </c>
      <c r="AP15345" s="9">
        <v>3.0266379308007254</v>
      </c>
    </row>
    <row r="15346" spans="40:42" x14ac:dyDescent="0.3">
      <c r="AN15346">
        <v>15342</v>
      </c>
      <c r="AO15346" s="11">
        <v>25320.2</v>
      </c>
      <c r="AP15346" s="9">
        <v>3.1731032230989378</v>
      </c>
    </row>
    <row r="15347" spans="40:42" x14ac:dyDescent="0.3">
      <c r="AN15347">
        <v>15343</v>
      </c>
      <c r="AO15347" s="11">
        <v>25604.71</v>
      </c>
      <c r="AP15347" s="9">
        <v>3.7361682156013938</v>
      </c>
    </row>
    <row r="15348" spans="40:42" x14ac:dyDescent="0.3">
      <c r="AN15348">
        <v>15344</v>
      </c>
      <c r="AO15348" s="11">
        <v>37274.01</v>
      </c>
      <c r="AP15348" s="9">
        <v>3.9256665886716213</v>
      </c>
    </row>
    <row r="15349" spans="40:42" x14ac:dyDescent="0.3">
      <c r="AN15349">
        <v>15345</v>
      </c>
      <c r="AO15349" s="11">
        <v>30719.67</v>
      </c>
      <c r="AP15349" s="9">
        <v>3.4997508895633298</v>
      </c>
    </row>
    <row r="15350" spans="40:42" x14ac:dyDescent="0.3">
      <c r="AN15350">
        <v>15346</v>
      </c>
      <c r="AO15350" s="11">
        <v>37453.82</v>
      </c>
      <c r="AP15350" s="9">
        <v>3.5639987409747418</v>
      </c>
    </row>
    <row r="15351" spans="40:42" x14ac:dyDescent="0.3">
      <c r="AN15351">
        <v>15347</v>
      </c>
      <c r="AO15351" s="11">
        <v>27435.17</v>
      </c>
      <c r="AP15351" s="9">
        <v>2.9411599177773913</v>
      </c>
    </row>
    <row r="15352" spans="40:42" x14ac:dyDescent="0.3">
      <c r="AN15352">
        <v>15348</v>
      </c>
      <c r="AO15352" s="11">
        <v>25584.59</v>
      </c>
      <c r="AP15352" s="9">
        <v>3.2221144852491514</v>
      </c>
    </row>
    <row r="15353" spans="40:42" x14ac:dyDescent="0.3">
      <c r="AN15353">
        <v>15349</v>
      </c>
      <c r="AO15353" s="11">
        <v>27729.360000000001</v>
      </c>
      <c r="AP15353" s="9">
        <v>3.7011058593380923</v>
      </c>
    </row>
    <row r="15354" spans="40:42" x14ac:dyDescent="0.3">
      <c r="AN15354">
        <v>15350</v>
      </c>
      <c r="AO15354" s="11">
        <v>27854.09</v>
      </c>
      <c r="AP15354" s="9">
        <v>2.9299457696067761</v>
      </c>
    </row>
    <row r="15355" spans="40:42" x14ac:dyDescent="0.3">
      <c r="AN15355">
        <v>15351</v>
      </c>
      <c r="AO15355" s="11">
        <v>21930.51</v>
      </c>
      <c r="AP15355" s="9">
        <v>3.9898931045707293</v>
      </c>
    </row>
    <row r="15356" spans="40:42" x14ac:dyDescent="0.3">
      <c r="AN15356">
        <v>15352</v>
      </c>
      <c r="AO15356" s="11">
        <v>30518.18</v>
      </c>
      <c r="AP15356" s="9">
        <v>3.1340732124233579</v>
      </c>
    </row>
    <row r="15357" spans="40:42" x14ac:dyDescent="0.3">
      <c r="AN15357">
        <v>15353</v>
      </c>
      <c r="AO15357" s="11">
        <v>16813.759999999998</v>
      </c>
      <c r="AP15357" s="9">
        <v>3.3372416080028073</v>
      </c>
    </row>
    <row r="15358" spans="40:42" x14ac:dyDescent="0.3">
      <c r="AN15358">
        <v>15354</v>
      </c>
      <c r="AO15358" s="11">
        <v>30865.13</v>
      </c>
      <c r="AP15358" s="9">
        <v>3.2159382008280946</v>
      </c>
    </row>
    <row r="15359" spans="40:42" x14ac:dyDescent="0.3">
      <c r="AN15359">
        <v>15355</v>
      </c>
      <c r="AO15359" s="11">
        <v>18938.8</v>
      </c>
      <c r="AP15359" s="9">
        <v>3.0652988937788868</v>
      </c>
    </row>
    <row r="15360" spans="40:42" x14ac:dyDescent="0.3">
      <c r="AN15360">
        <v>15356</v>
      </c>
      <c r="AO15360" s="11">
        <v>28494.89</v>
      </c>
      <c r="AP15360" s="9">
        <v>3.4911705203708756</v>
      </c>
    </row>
    <row r="15361" spans="40:42" x14ac:dyDescent="0.3">
      <c r="AN15361">
        <v>15357</v>
      </c>
      <c r="AO15361" s="11">
        <v>18778.3</v>
      </c>
      <c r="AP15361" s="9">
        <v>2.9469412424391646</v>
      </c>
    </row>
    <row r="15362" spans="40:42" x14ac:dyDescent="0.3">
      <c r="AN15362">
        <v>15358</v>
      </c>
      <c r="AO15362" s="11">
        <v>24230.51</v>
      </c>
      <c r="AP15362" s="9">
        <v>3.8928002954269862</v>
      </c>
    </row>
    <row r="15363" spans="40:42" x14ac:dyDescent="0.3">
      <c r="AN15363">
        <v>15359</v>
      </c>
      <c r="AO15363" s="11">
        <v>19855.23</v>
      </c>
      <c r="AP15363" s="9">
        <v>3.9789296373260155</v>
      </c>
    </row>
    <row r="15364" spans="40:42" x14ac:dyDescent="0.3">
      <c r="AN15364">
        <v>15360</v>
      </c>
      <c r="AO15364" s="11">
        <v>35473.800000000003</v>
      </c>
      <c r="AP15364" s="9">
        <v>3.6028724606365694</v>
      </c>
    </row>
    <row r="15365" spans="40:42" x14ac:dyDescent="0.3">
      <c r="AN15365">
        <v>15361</v>
      </c>
      <c r="AO15365" s="11">
        <v>18186.439999999999</v>
      </c>
      <c r="AP15365" s="9">
        <v>3.2681389284935056</v>
      </c>
    </row>
    <row r="15366" spans="40:42" x14ac:dyDescent="0.3">
      <c r="AN15366">
        <v>15362</v>
      </c>
      <c r="AO15366" s="11">
        <v>24152.36</v>
      </c>
      <c r="AP15366" s="9">
        <v>3.2886980385274875</v>
      </c>
    </row>
    <row r="15367" spans="40:42" x14ac:dyDescent="0.3">
      <c r="AN15367">
        <v>15363</v>
      </c>
      <c r="AO15367" s="11">
        <v>31498.39</v>
      </c>
      <c r="AP15367" s="9">
        <v>3.3239292908217388</v>
      </c>
    </row>
    <row r="15368" spans="40:42" x14ac:dyDescent="0.3">
      <c r="AN15368">
        <v>15364</v>
      </c>
      <c r="AO15368" s="11">
        <v>19896.689999999999</v>
      </c>
      <c r="AP15368" s="9">
        <v>3.705584912477776</v>
      </c>
    </row>
    <row r="15369" spans="40:42" x14ac:dyDescent="0.3">
      <c r="AN15369">
        <v>15365</v>
      </c>
      <c r="AO15369" s="11">
        <v>28900.83</v>
      </c>
      <c r="AP15369" s="9">
        <v>3.4008192390073138</v>
      </c>
    </row>
    <row r="15370" spans="40:42" x14ac:dyDescent="0.3">
      <c r="AN15370">
        <v>15366</v>
      </c>
      <c r="AO15370" s="11">
        <v>35635.360000000001</v>
      </c>
      <c r="AP15370" s="9">
        <v>3.433906824729867</v>
      </c>
    </row>
    <row r="15371" spans="40:42" x14ac:dyDescent="0.3">
      <c r="AN15371">
        <v>15367</v>
      </c>
      <c r="AO15371" s="11">
        <v>31111.18</v>
      </c>
      <c r="AP15371" s="9">
        <v>3.4476526666223419</v>
      </c>
    </row>
    <row r="15372" spans="40:42" x14ac:dyDescent="0.3">
      <c r="AN15372">
        <v>15368</v>
      </c>
      <c r="AO15372" s="11">
        <v>23273.81</v>
      </c>
      <c r="AP15372" s="9">
        <v>3.1355026469254481</v>
      </c>
    </row>
    <row r="15373" spans="40:42" x14ac:dyDescent="0.3">
      <c r="AN15373">
        <v>15369</v>
      </c>
      <c r="AO15373" s="11">
        <v>25291.05</v>
      </c>
      <c r="AP15373" s="9">
        <v>2.8834647289167332</v>
      </c>
    </row>
    <row r="15374" spans="40:42" x14ac:dyDescent="0.3">
      <c r="AN15374">
        <v>15370</v>
      </c>
      <c r="AO15374" s="11">
        <v>24759.03</v>
      </c>
      <c r="AP15374" s="9">
        <v>4.2677748139254694</v>
      </c>
    </row>
    <row r="15375" spans="40:42" x14ac:dyDescent="0.3">
      <c r="AN15375">
        <v>15371</v>
      </c>
      <c r="AO15375" s="11">
        <v>19952.599999999999</v>
      </c>
      <c r="AP15375" s="9">
        <v>4.2015746943711925</v>
      </c>
    </row>
    <row r="15376" spans="40:42" x14ac:dyDescent="0.3">
      <c r="AN15376">
        <v>15372</v>
      </c>
      <c r="AO15376" s="11">
        <v>32335.85</v>
      </c>
      <c r="AP15376" s="9">
        <v>2.8013713511454923</v>
      </c>
    </row>
    <row r="15377" spans="40:42" x14ac:dyDescent="0.3">
      <c r="AN15377">
        <v>15373</v>
      </c>
      <c r="AO15377" s="11">
        <v>24289.64</v>
      </c>
      <c r="AP15377" s="9">
        <v>3.053485081323446</v>
      </c>
    </row>
    <row r="15378" spans="40:42" x14ac:dyDescent="0.3">
      <c r="AN15378">
        <v>15374</v>
      </c>
      <c r="AO15378" s="11">
        <v>43136.21</v>
      </c>
      <c r="AP15378" s="9">
        <v>4.4023750533504158</v>
      </c>
    </row>
    <row r="15379" spans="40:42" x14ac:dyDescent="0.3">
      <c r="AN15379">
        <v>15375</v>
      </c>
      <c r="AO15379" s="11">
        <v>33976.339999999997</v>
      </c>
      <c r="AP15379" s="9">
        <v>3.9980496086231372</v>
      </c>
    </row>
    <row r="15380" spans="40:42" x14ac:dyDescent="0.3">
      <c r="AN15380">
        <v>15376</v>
      </c>
      <c r="AO15380" s="11">
        <v>37294.959999999999</v>
      </c>
      <c r="AP15380" s="9">
        <v>3.2317117592834279</v>
      </c>
    </row>
    <row r="15381" spans="40:42" x14ac:dyDescent="0.3">
      <c r="AN15381">
        <v>15377</v>
      </c>
      <c r="AO15381" s="11">
        <v>23309.57</v>
      </c>
      <c r="AP15381" s="9">
        <v>3.3235338300308377</v>
      </c>
    </row>
    <row r="15382" spans="40:42" x14ac:dyDescent="0.3">
      <c r="AN15382">
        <v>15378</v>
      </c>
      <c r="AO15382" s="11">
        <v>35204.53</v>
      </c>
      <c r="AP15382" s="9">
        <v>3.715568459937701</v>
      </c>
    </row>
    <row r="15383" spans="40:42" x14ac:dyDescent="0.3">
      <c r="AN15383">
        <v>15379</v>
      </c>
      <c r="AO15383" s="11">
        <v>30870.93</v>
      </c>
      <c r="AP15383" s="9">
        <v>3.3736833551749199</v>
      </c>
    </row>
    <row r="15384" spans="40:42" x14ac:dyDescent="0.3">
      <c r="AN15384">
        <v>15380</v>
      </c>
      <c r="AO15384" s="11">
        <v>25931.58</v>
      </c>
      <c r="AP15384" s="9">
        <v>2.8665871544138466</v>
      </c>
    </row>
    <row r="15385" spans="40:42" x14ac:dyDescent="0.3">
      <c r="AN15385">
        <v>15381</v>
      </c>
      <c r="AO15385" s="11">
        <v>16641.14</v>
      </c>
      <c r="AP15385" s="9">
        <v>3.1749504687412919</v>
      </c>
    </row>
    <row r="15386" spans="40:42" x14ac:dyDescent="0.3">
      <c r="AN15386">
        <v>15382</v>
      </c>
      <c r="AO15386" s="11">
        <v>31506.98</v>
      </c>
      <c r="AP15386" s="9">
        <v>3.7718057337146349</v>
      </c>
    </row>
    <row r="15387" spans="40:42" x14ac:dyDescent="0.3">
      <c r="AN15387">
        <v>15383</v>
      </c>
      <c r="AO15387" s="11">
        <v>33707.699999999997</v>
      </c>
      <c r="AP15387" s="9">
        <v>4.4626448135557535</v>
      </c>
    </row>
    <row r="15388" spans="40:42" x14ac:dyDescent="0.3">
      <c r="AN15388">
        <v>15384</v>
      </c>
      <c r="AO15388" s="11">
        <v>34206.129999999997</v>
      </c>
      <c r="AP15388" s="9">
        <v>3.7434876428926964</v>
      </c>
    </row>
    <row r="15389" spans="40:42" x14ac:dyDescent="0.3">
      <c r="AN15389">
        <v>15385</v>
      </c>
      <c r="AO15389" s="11">
        <v>37966.480000000003</v>
      </c>
      <c r="AP15389" s="9">
        <v>3.4188753469092021</v>
      </c>
    </row>
    <row r="15390" spans="40:42" x14ac:dyDescent="0.3">
      <c r="AN15390">
        <v>15386</v>
      </c>
      <c r="AO15390" s="11">
        <v>19350.84</v>
      </c>
      <c r="AP15390" s="9">
        <v>3.1750545463266997</v>
      </c>
    </row>
    <row r="15391" spans="40:42" x14ac:dyDescent="0.3">
      <c r="AN15391">
        <v>15387</v>
      </c>
      <c r="AO15391" s="11">
        <v>24723.98</v>
      </c>
      <c r="AP15391" s="9">
        <v>2.7808144520602056</v>
      </c>
    </row>
    <row r="15392" spans="40:42" x14ac:dyDescent="0.3">
      <c r="AN15392">
        <v>15388</v>
      </c>
      <c r="AO15392" s="11">
        <v>33216.769999999997</v>
      </c>
      <c r="AP15392" s="9">
        <v>3.2071455869682186</v>
      </c>
    </row>
    <row r="15393" spans="40:42" x14ac:dyDescent="0.3">
      <c r="AN15393">
        <v>15389</v>
      </c>
      <c r="AO15393" s="11">
        <v>21880.46</v>
      </c>
      <c r="AP15393" s="9">
        <v>3.5692762474471027</v>
      </c>
    </row>
    <row r="15394" spans="40:42" x14ac:dyDescent="0.3">
      <c r="AN15394">
        <v>15390</v>
      </c>
      <c r="AO15394" s="11">
        <v>51179.839999999997</v>
      </c>
      <c r="AP15394" s="9">
        <v>3.9424483061089006</v>
      </c>
    </row>
    <row r="15395" spans="40:42" x14ac:dyDescent="0.3">
      <c r="AN15395">
        <v>15391</v>
      </c>
      <c r="AO15395" s="11">
        <v>25271.75</v>
      </c>
      <c r="AP15395" s="9">
        <v>3.0491377661018859</v>
      </c>
    </row>
    <row r="15396" spans="40:42" x14ac:dyDescent="0.3">
      <c r="AN15396">
        <v>15392</v>
      </c>
      <c r="AO15396" s="11">
        <v>28458.71</v>
      </c>
      <c r="AP15396" s="9">
        <v>3.9959777934752245</v>
      </c>
    </row>
    <row r="15397" spans="40:42" x14ac:dyDescent="0.3">
      <c r="AN15397">
        <v>15393</v>
      </c>
      <c r="AO15397" s="11">
        <v>35480.370000000003</v>
      </c>
      <c r="AP15397" s="9">
        <v>3.3848796879736249</v>
      </c>
    </row>
    <row r="15398" spans="40:42" x14ac:dyDescent="0.3">
      <c r="AN15398">
        <v>15394</v>
      </c>
      <c r="AO15398" s="11">
        <v>37243.74</v>
      </c>
      <c r="AP15398" s="9">
        <v>4.3647720588818038</v>
      </c>
    </row>
    <row r="15399" spans="40:42" x14ac:dyDescent="0.3">
      <c r="AN15399">
        <v>15395</v>
      </c>
      <c r="AO15399" s="11">
        <v>21022.91</v>
      </c>
      <c r="AP15399" s="9">
        <v>4.0796937299746023</v>
      </c>
    </row>
    <row r="15400" spans="40:42" x14ac:dyDescent="0.3">
      <c r="AN15400">
        <v>15396</v>
      </c>
      <c r="AO15400" s="11">
        <v>25504.720000000001</v>
      </c>
      <c r="AP15400" s="9">
        <v>3.4023890088756792</v>
      </c>
    </row>
    <row r="15401" spans="40:42" x14ac:dyDescent="0.3">
      <c r="AN15401">
        <v>15397</v>
      </c>
      <c r="AO15401" s="11">
        <v>31015.360000000001</v>
      </c>
      <c r="AP15401" s="9">
        <v>3.1199667312809076</v>
      </c>
    </row>
    <row r="15402" spans="40:42" x14ac:dyDescent="0.3">
      <c r="AN15402">
        <v>15398</v>
      </c>
      <c r="AO15402" s="11">
        <v>27893.41</v>
      </c>
      <c r="AP15402" s="9">
        <v>3.6062638068399413</v>
      </c>
    </row>
    <row r="15403" spans="40:42" x14ac:dyDescent="0.3">
      <c r="AN15403">
        <v>15399</v>
      </c>
      <c r="AO15403" s="11">
        <v>22062.080000000002</v>
      </c>
      <c r="AP15403" s="9">
        <v>3.015552672010128</v>
      </c>
    </row>
    <row r="15404" spans="40:42" x14ac:dyDescent="0.3">
      <c r="AN15404">
        <v>15400</v>
      </c>
      <c r="AO15404" s="11">
        <v>31807.13</v>
      </c>
      <c r="AP15404" s="9">
        <v>3.8948910558422507</v>
      </c>
    </row>
    <row r="15405" spans="40:42" x14ac:dyDescent="0.3">
      <c r="AN15405">
        <v>15401</v>
      </c>
      <c r="AO15405" s="11">
        <v>24003.22</v>
      </c>
      <c r="AP15405" s="9">
        <v>3.2112749830679324</v>
      </c>
    </row>
    <row r="15406" spans="40:42" x14ac:dyDescent="0.3">
      <c r="AN15406">
        <v>15402</v>
      </c>
      <c r="AO15406" s="11">
        <v>25165.24</v>
      </c>
      <c r="AP15406" s="9">
        <v>2.8175590070798817</v>
      </c>
    </row>
    <row r="15407" spans="40:42" x14ac:dyDescent="0.3">
      <c r="AN15407">
        <v>15403</v>
      </c>
      <c r="AO15407" s="11">
        <v>22488.26</v>
      </c>
      <c r="AP15407" s="9">
        <v>3.0639974709309206</v>
      </c>
    </row>
    <row r="15408" spans="40:42" x14ac:dyDescent="0.3">
      <c r="AN15408">
        <v>15404</v>
      </c>
      <c r="AO15408" s="11">
        <v>25518.73</v>
      </c>
      <c r="AP15408" s="9">
        <v>3.6069030844839358</v>
      </c>
    </row>
    <row r="15409" spans="40:42" x14ac:dyDescent="0.3">
      <c r="AN15409">
        <v>15405</v>
      </c>
      <c r="AO15409" s="11">
        <v>32559.96</v>
      </c>
      <c r="AP15409" s="9">
        <v>3.3653919131334971</v>
      </c>
    </row>
    <row r="15410" spans="40:42" x14ac:dyDescent="0.3">
      <c r="AN15410">
        <v>15406</v>
      </c>
      <c r="AO15410" s="11">
        <v>24380.99</v>
      </c>
      <c r="AP15410" s="9">
        <v>3.6085960356537523</v>
      </c>
    </row>
    <row r="15411" spans="40:42" x14ac:dyDescent="0.3">
      <c r="AN15411">
        <v>15407</v>
      </c>
      <c r="AO15411" s="11">
        <v>30862.62</v>
      </c>
      <c r="AP15411" s="9">
        <v>4.6427854977214489</v>
      </c>
    </row>
    <row r="15412" spans="40:42" x14ac:dyDescent="0.3">
      <c r="AN15412">
        <v>15408</v>
      </c>
      <c r="AO15412" s="11">
        <v>24302.67</v>
      </c>
      <c r="AP15412" s="9">
        <v>3.076076885611434</v>
      </c>
    </row>
    <row r="15413" spans="40:42" x14ac:dyDescent="0.3">
      <c r="AN15413">
        <v>15409</v>
      </c>
      <c r="AO15413" s="11">
        <v>17635.009999999998</v>
      </c>
      <c r="AP15413" s="9">
        <v>3.0612524515943913</v>
      </c>
    </row>
    <row r="15414" spans="40:42" x14ac:dyDescent="0.3">
      <c r="AN15414">
        <v>15410</v>
      </c>
      <c r="AO15414" s="11">
        <v>29571.1</v>
      </c>
      <c r="AP15414" s="9">
        <v>3.2995923240271572</v>
      </c>
    </row>
    <row r="15415" spans="40:42" x14ac:dyDescent="0.3">
      <c r="AN15415">
        <v>15411</v>
      </c>
      <c r="AO15415" s="11">
        <v>33166.74</v>
      </c>
      <c r="AP15415" s="9">
        <v>3.2166335837317326</v>
      </c>
    </row>
    <row r="15416" spans="40:42" x14ac:dyDescent="0.3">
      <c r="AN15416">
        <v>15412</v>
      </c>
      <c r="AO15416" s="11">
        <v>17791.46</v>
      </c>
      <c r="AP15416" s="9">
        <v>3.9708243709186104</v>
      </c>
    </row>
    <row r="15417" spans="40:42" x14ac:dyDescent="0.3">
      <c r="AN15417">
        <v>15413</v>
      </c>
      <c r="AO15417" s="11">
        <v>31317.15</v>
      </c>
      <c r="AP15417" s="9">
        <v>3.4006854244961389</v>
      </c>
    </row>
    <row r="15418" spans="40:42" x14ac:dyDescent="0.3">
      <c r="AN15418">
        <v>15414</v>
      </c>
      <c r="AO15418" s="11">
        <v>35570.720000000001</v>
      </c>
      <c r="AP15418" s="9">
        <v>3.9763476724334872</v>
      </c>
    </row>
    <row r="15419" spans="40:42" x14ac:dyDescent="0.3">
      <c r="AN15419">
        <v>15415</v>
      </c>
      <c r="AO15419" s="11">
        <v>15403.21</v>
      </c>
      <c r="AP15419" s="9">
        <v>2.9227762270310071</v>
      </c>
    </row>
    <row r="15420" spans="40:42" x14ac:dyDescent="0.3">
      <c r="AN15420">
        <v>15416</v>
      </c>
      <c r="AO15420" s="11">
        <v>37381.39</v>
      </c>
      <c r="AP15420" s="9">
        <v>3.5700740087851464</v>
      </c>
    </row>
    <row r="15421" spans="40:42" x14ac:dyDescent="0.3">
      <c r="AN15421">
        <v>15417</v>
      </c>
      <c r="AO15421" s="11">
        <v>19151.02</v>
      </c>
      <c r="AP15421" s="9">
        <v>2.8410755815193087</v>
      </c>
    </row>
    <row r="15422" spans="40:42" x14ac:dyDescent="0.3">
      <c r="AN15422">
        <v>15418</v>
      </c>
      <c r="AO15422" s="11">
        <v>30074.99</v>
      </c>
      <c r="AP15422" s="9">
        <v>3.3616002181484856</v>
      </c>
    </row>
    <row r="15423" spans="40:42" x14ac:dyDescent="0.3">
      <c r="AN15423">
        <v>15419</v>
      </c>
      <c r="AO15423" s="11">
        <v>33241.019999999997</v>
      </c>
      <c r="AP15423" s="9">
        <v>3.7140120813252211</v>
      </c>
    </row>
    <row r="15424" spans="40:42" x14ac:dyDescent="0.3">
      <c r="AN15424">
        <v>15420</v>
      </c>
      <c r="AO15424" s="11">
        <v>24520.77</v>
      </c>
      <c r="AP15424" s="9">
        <v>3.5337165748091821</v>
      </c>
    </row>
    <row r="15425" spans="40:42" x14ac:dyDescent="0.3">
      <c r="AN15425">
        <v>15421</v>
      </c>
      <c r="AO15425" s="11">
        <v>31602.12</v>
      </c>
      <c r="AP15425" s="9">
        <v>3.2790549921820067</v>
      </c>
    </row>
    <row r="15426" spans="40:42" x14ac:dyDescent="0.3">
      <c r="AN15426">
        <v>15422</v>
      </c>
      <c r="AO15426" s="11">
        <v>22559.73</v>
      </c>
      <c r="AP15426" s="9">
        <v>3.1645962759814741</v>
      </c>
    </row>
    <row r="15427" spans="40:42" x14ac:dyDescent="0.3">
      <c r="AN15427">
        <v>15423</v>
      </c>
      <c r="AO15427" s="11">
        <v>17435.400000000001</v>
      </c>
      <c r="AP15427" s="9">
        <v>3.2073900750341986</v>
      </c>
    </row>
    <row r="15428" spans="40:42" x14ac:dyDescent="0.3">
      <c r="AN15428">
        <v>15424</v>
      </c>
      <c r="AO15428" s="11">
        <v>27419.95</v>
      </c>
      <c r="AP15428" s="9">
        <v>3.0594672646988736</v>
      </c>
    </row>
    <row r="15429" spans="40:42" x14ac:dyDescent="0.3">
      <c r="AN15429">
        <v>15425</v>
      </c>
      <c r="AO15429" s="11">
        <v>19117.509999999998</v>
      </c>
      <c r="AP15429" s="9">
        <v>3.156175428920494</v>
      </c>
    </row>
    <row r="15430" spans="40:42" x14ac:dyDescent="0.3">
      <c r="AN15430">
        <v>15426</v>
      </c>
      <c r="AO15430" s="11">
        <v>24410.85</v>
      </c>
      <c r="AP15430" s="9">
        <v>3.3576570632551781</v>
      </c>
    </row>
    <row r="15431" spans="40:42" x14ac:dyDescent="0.3">
      <c r="AN15431">
        <v>15427</v>
      </c>
      <c r="AO15431" s="11">
        <v>27003.91</v>
      </c>
      <c r="AP15431" s="9">
        <v>3.7946790456088095</v>
      </c>
    </row>
    <row r="15432" spans="40:42" x14ac:dyDescent="0.3">
      <c r="AN15432">
        <v>15428</v>
      </c>
      <c r="AO15432" s="11">
        <v>16128.1</v>
      </c>
      <c r="AP15432" s="9">
        <v>2.3765222258290502</v>
      </c>
    </row>
    <row r="15433" spans="40:42" x14ac:dyDescent="0.3">
      <c r="AN15433">
        <v>15429</v>
      </c>
      <c r="AO15433" s="11">
        <v>17119.63</v>
      </c>
      <c r="AP15433" s="9">
        <v>3.429448441817299</v>
      </c>
    </row>
    <row r="15434" spans="40:42" x14ac:dyDescent="0.3">
      <c r="AN15434">
        <v>15430</v>
      </c>
      <c r="AO15434" s="11">
        <v>29839.77</v>
      </c>
      <c r="AP15434" s="9">
        <v>3.5056275099977325</v>
      </c>
    </row>
    <row r="15435" spans="40:42" x14ac:dyDescent="0.3">
      <c r="AN15435">
        <v>15431</v>
      </c>
      <c r="AO15435" s="11">
        <v>28011.61</v>
      </c>
      <c r="AP15435" s="9">
        <v>2.9763540814049168</v>
      </c>
    </row>
    <row r="15436" spans="40:42" x14ac:dyDescent="0.3">
      <c r="AN15436">
        <v>15432</v>
      </c>
      <c r="AO15436" s="11">
        <v>25871.69</v>
      </c>
      <c r="AP15436" s="9">
        <v>2.9435119606469118</v>
      </c>
    </row>
    <row r="15437" spans="40:42" x14ac:dyDescent="0.3">
      <c r="AN15437">
        <v>15433</v>
      </c>
      <c r="AO15437" s="11">
        <v>15219.83</v>
      </c>
      <c r="AP15437" s="9">
        <v>3.2313830339260643</v>
      </c>
    </row>
    <row r="15438" spans="40:42" x14ac:dyDescent="0.3">
      <c r="AN15438">
        <v>15434</v>
      </c>
      <c r="AO15438" s="11">
        <v>22631.97</v>
      </c>
      <c r="AP15438" s="9">
        <v>3.2005773565785769</v>
      </c>
    </row>
    <row r="15439" spans="40:42" x14ac:dyDescent="0.3">
      <c r="AN15439">
        <v>15435</v>
      </c>
      <c r="AO15439" s="11">
        <v>23297.15</v>
      </c>
      <c r="AP15439" s="9">
        <v>3.0381034207969306</v>
      </c>
    </row>
    <row r="15440" spans="40:42" x14ac:dyDescent="0.3">
      <c r="AN15440">
        <v>15436</v>
      </c>
      <c r="AO15440" s="11">
        <v>34696.379999999997</v>
      </c>
      <c r="AP15440" s="9">
        <v>4.3363642977252512</v>
      </c>
    </row>
    <row r="15441" spans="40:42" x14ac:dyDescent="0.3">
      <c r="AN15441">
        <v>15437</v>
      </c>
      <c r="AO15441" s="11">
        <v>29647.41</v>
      </c>
      <c r="AP15441" s="9">
        <v>3.7764169468789479</v>
      </c>
    </row>
    <row r="15442" spans="40:42" x14ac:dyDescent="0.3">
      <c r="AN15442">
        <v>15438</v>
      </c>
      <c r="AO15442" s="11">
        <v>15258.7</v>
      </c>
      <c r="AP15442" s="9">
        <v>3.1315910168009551</v>
      </c>
    </row>
    <row r="15443" spans="40:42" x14ac:dyDescent="0.3">
      <c r="AN15443">
        <v>15439</v>
      </c>
      <c r="AO15443" s="11">
        <v>27672.7</v>
      </c>
      <c r="AP15443" s="9">
        <v>3.3980637772986269</v>
      </c>
    </row>
    <row r="15444" spans="40:42" x14ac:dyDescent="0.3">
      <c r="AN15444">
        <v>15440</v>
      </c>
      <c r="AO15444" s="11">
        <v>30932.18</v>
      </c>
      <c r="AP15444" s="9">
        <v>3.3373584975005803</v>
      </c>
    </row>
    <row r="15445" spans="40:42" x14ac:dyDescent="0.3">
      <c r="AN15445">
        <v>15441</v>
      </c>
      <c r="AO15445" s="11">
        <v>27522.43</v>
      </c>
      <c r="AP15445" s="9">
        <v>3.1329395881671536</v>
      </c>
    </row>
    <row r="15446" spans="40:42" x14ac:dyDescent="0.3">
      <c r="AN15446">
        <v>15442</v>
      </c>
      <c r="AO15446" s="11">
        <v>32258.32</v>
      </c>
      <c r="AP15446" s="9">
        <v>3.8741052352155791</v>
      </c>
    </row>
    <row r="15447" spans="40:42" x14ac:dyDescent="0.3">
      <c r="AN15447">
        <v>15443</v>
      </c>
      <c r="AO15447" s="11">
        <v>20218.71</v>
      </c>
      <c r="AP15447" s="9">
        <v>2.7506061093415619</v>
      </c>
    </row>
    <row r="15448" spans="40:42" x14ac:dyDescent="0.3">
      <c r="AN15448">
        <v>15444</v>
      </c>
      <c r="AO15448" s="11">
        <v>23782.15</v>
      </c>
      <c r="AP15448" s="9">
        <v>3.5558668240113258</v>
      </c>
    </row>
    <row r="15449" spans="40:42" x14ac:dyDescent="0.3">
      <c r="AN15449">
        <v>15445</v>
      </c>
      <c r="AO15449" s="11">
        <v>28961.52</v>
      </c>
      <c r="AP15449" s="9">
        <v>3.3206466149841867</v>
      </c>
    </row>
    <row r="15450" spans="40:42" x14ac:dyDescent="0.3">
      <c r="AN15450">
        <v>15446</v>
      </c>
      <c r="AO15450" s="11">
        <v>26174.41</v>
      </c>
      <c r="AP15450" s="9">
        <v>3.3551960878620686</v>
      </c>
    </row>
    <row r="15451" spans="40:42" x14ac:dyDescent="0.3">
      <c r="AN15451">
        <v>15447</v>
      </c>
      <c r="AO15451" s="11">
        <v>25789.35</v>
      </c>
      <c r="AP15451" s="9">
        <v>3.4185283622482716</v>
      </c>
    </row>
    <row r="15452" spans="40:42" x14ac:dyDescent="0.3">
      <c r="AN15452">
        <v>15448</v>
      </c>
      <c r="AO15452" s="11">
        <v>25397.87</v>
      </c>
      <c r="AP15452" s="9">
        <v>2.9585550346338181</v>
      </c>
    </row>
    <row r="15453" spans="40:42" x14ac:dyDescent="0.3">
      <c r="AN15453">
        <v>15449</v>
      </c>
      <c r="AO15453" s="11">
        <v>27440.29</v>
      </c>
      <c r="AP15453" s="9">
        <v>3.266121296030454</v>
      </c>
    </row>
    <row r="15454" spans="40:42" x14ac:dyDescent="0.3">
      <c r="AN15454">
        <v>15450</v>
      </c>
      <c r="AO15454" s="11">
        <v>18216.650000000001</v>
      </c>
      <c r="AP15454" s="9">
        <v>3.003134485897665</v>
      </c>
    </row>
    <row r="15455" spans="40:42" x14ac:dyDescent="0.3">
      <c r="AN15455">
        <v>15451</v>
      </c>
      <c r="AO15455" s="11">
        <v>34114.07</v>
      </c>
      <c r="AP15455" s="9">
        <v>3.6161587728199041</v>
      </c>
    </row>
    <row r="15456" spans="40:42" x14ac:dyDescent="0.3">
      <c r="AN15456">
        <v>15452</v>
      </c>
      <c r="AO15456" s="11">
        <v>26736.400000000001</v>
      </c>
      <c r="AP15456" s="9">
        <v>3.2840487886094412</v>
      </c>
    </row>
    <row r="15457" spans="40:42" x14ac:dyDescent="0.3">
      <c r="AN15457">
        <v>15453</v>
      </c>
      <c r="AO15457" s="11">
        <v>26872.69</v>
      </c>
      <c r="AP15457" s="9">
        <v>3.7069193584342837</v>
      </c>
    </row>
    <row r="15458" spans="40:42" x14ac:dyDescent="0.3">
      <c r="AN15458">
        <v>15454</v>
      </c>
      <c r="AO15458" s="11">
        <v>21858.880000000001</v>
      </c>
      <c r="AP15458" s="9">
        <v>3.1928511706811031</v>
      </c>
    </row>
    <row r="15459" spans="40:42" x14ac:dyDescent="0.3">
      <c r="AN15459">
        <v>15455</v>
      </c>
      <c r="AO15459" s="11">
        <v>28572.87</v>
      </c>
      <c r="AP15459" s="9">
        <v>3.7536641243063542</v>
      </c>
    </row>
    <row r="15460" spans="40:42" x14ac:dyDescent="0.3">
      <c r="AN15460">
        <v>15456</v>
      </c>
      <c r="AO15460" s="11">
        <v>38761.42</v>
      </c>
      <c r="AP15460" s="9">
        <v>3.7690220594897776</v>
      </c>
    </row>
    <row r="15461" spans="40:42" x14ac:dyDescent="0.3">
      <c r="AN15461">
        <v>15457</v>
      </c>
      <c r="AO15461" s="11">
        <v>23109.5</v>
      </c>
      <c r="AP15461" s="9">
        <v>3.527794644234675</v>
      </c>
    </row>
    <row r="15462" spans="40:42" x14ac:dyDescent="0.3">
      <c r="AN15462">
        <v>15458</v>
      </c>
      <c r="AO15462" s="11">
        <v>35946.69</v>
      </c>
      <c r="AP15462" s="9">
        <v>3.7455313900392397</v>
      </c>
    </row>
    <row r="15463" spans="40:42" x14ac:dyDescent="0.3">
      <c r="AN15463">
        <v>15459</v>
      </c>
      <c r="AO15463" s="11">
        <v>31529.46</v>
      </c>
      <c r="AP15463" s="9">
        <v>2.5930649728443504</v>
      </c>
    </row>
    <row r="15464" spans="40:42" x14ac:dyDescent="0.3">
      <c r="AN15464">
        <v>15460</v>
      </c>
      <c r="AO15464" s="11">
        <v>19746.5</v>
      </c>
      <c r="AP15464" s="9">
        <v>2.8954157452627354</v>
      </c>
    </row>
    <row r="15465" spans="40:42" x14ac:dyDescent="0.3">
      <c r="AN15465">
        <v>15461</v>
      </c>
      <c r="AO15465" s="11">
        <v>22712.91</v>
      </c>
      <c r="AP15465" s="9">
        <v>3.0121122433900132</v>
      </c>
    </row>
    <row r="15466" spans="40:42" x14ac:dyDescent="0.3">
      <c r="AN15466">
        <v>15462</v>
      </c>
      <c r="AO15466" s="11">
        <v>21280.06</v>
      </c>
      <c r="AP15466" s="9">
        <v>3.4937692014042301</v>
      </c>
    </row>
    <row r="15467" spans="40:42" x14ac:dyDescent="0.3">
      <c r="AN15467">
        <v>15463</v>
      </c>
      <c r="AO15467" s="11">
        <v>31487.33</v>
      </c>
      <c r="AP15467" s="9">
        <v>3.6011378668003555</v>
      </c>
    </row>
    <row r="15468" spans="40:42" x14ac:dyDescent="0.3">
      <c r="AN15468">
        <v>15464</v>
      </c>
      <c r="AO15468" s="11">
        <v>22501.81</v>
      </c>
      <c r="AP15468" s="9">
        <v>3.2547373615477109</v>
      </c>
    </row>
    <row r="15469" spans="40:42" x14ac:dyDescent="0.3">
      <c r="AN15469">
        <v>15465</v>
      </c>
      <c r="AO15469" s="11">
        <v>20018.900000000001</v>
      </c>
      <c r="AP15469" s="9">
        <v>3.2774644477593471</v>
      </c>
    </row>
    <row r="15470" spans="40:42" x14ac:dyDescent="0.3">
      <c r="AN15470">
        <v>15466</v>
      </c>
      <c r="AO15470" s="11">
        <v>24498.46</v>
      </c>
      <c r="AP15470" s="9">
        <v>3.5638035809252298</v>
      </c>
    </row>
    <row r="15471" spans="40:42" x14ac:dyDescent="0.3">
      <c r="AN15471">
        <v>15467</v>
      </c>
      <c r="AO15471" s="11">
        <v>20091.86</v>
      </c>
      <c r="AP15471" s="9">
        <v>2.9406756928381981</v>
      </c>
    </row>
    <row r="15472" spans="40:42" x14ac:dyDescent="0.3">
      <c r="AN15472">
        <v>15468</v>
      </c>
      <c r="AO15472" s="11">
        <v>23156.33</v>
      </c>
      <c r="AP15472" s="9">
        <v>3.3142351624736981</v>
      </c>
    </row>
    <row r="15473" spans="40:42" x14ac:dyDescent="0.3">
      <c r="AN15473">
        <v>15469</v>
      </c>
      <c r="AO15473" s="11">
        <v>18811.43</v>
      </c>
      <c r="AP15473" s="9">
        <v>2.8842345489689873</v>
      </c>
    </row>
    <row r="15474" spans="40:42" x14ac:dyDescent="0.3">
      <c r="AN15474">
        <v>15470</v>
      </c>
      <c r="AO15474" s="11">
        <v>31805.93</v>
      </c>
      <c r="AP15474" s="9">
        <v>3.1247863126115925</v>
      </c>
    </row>
    <row r="15475" spans="40:42" x14ac:dyDescent="0.3">
      <c r="AN15475">
        <v>15471</v>
      </c>
      <c r="AO15475" s="11">
        <v>27347.8</v>
      </c>
      <c r="AP15475" s="9">
        <v>3.2316932884784109</v>
      </c>
    </row>
    <row r="15476" spans="40:42" x14ac:dyDescent="0.3">
      <c r="AN15476">
        <v>15472</v>
      </c>
      <c r="AO15476" s="11">
        <v>22694.07</v>
      </c>
      <c r="AP15476" s="9">
        <v>3.1065635869385457</v>
      </c>
    </row>
    <row r="15477" spans="40:42" x14ac:dyDescent="0.3">
      <c r="AN15477">
        <v>15473</v>
      </c>
      <c r="AO15477" s="11">
        <v>41848.35</v>
      </c>
      <c r="AP15477" s="9">
        <v>4.0681915726356586</v>
      </c>
    </row>
    <row r="15478" spans="40:42" x14ac:dyDescent="0.3">
      <c r="AN15478">
        <v>15474</v>
      </c>
      <c r="AO15478" s="11">
        <v>37741.699999999997</v>
      </c>
      <c r="AP15478" s="9">
        <v>3.3642420760791851</v>
      </c>
    </row>
    <row r="15479" spans="40:42" x14ac:dyDescent="0.3">
      <c r="AN15479">
        <v>15475</v>
      </c>
      <c r="AO15479" s="11">
        <v>18931.759999999998</v>
      </c>
      <c r="AP15479" s="9">
        <v>3.5163010382824087</v>
      </c>
    </row>
    <row r="15480" spans="40:42" x14ac:dyDescent="0.3">
      <c r="AN15480">
        <v>15476</v>
      </c>
      <c r="AO15480" s="11">
        <v>29158.32</v>
      </c>
      <c r="AP15480" s="9">
        <v>3.5616126771325201</v>
      </c>
    </row>
    <row r="15481" spans="40:42" x14ac:dyDescent="0.3">
      <c r="AN15481">
        <v>15477</v>
      </c>
      <c r="AO15481" s="11">
        <v>24917.54</v>
      </c>
      <c r="AP15481" s="9">
        <v>3.3867195420161775</v>
      </c>
    </row>
    <row r="15482" spans="40:42" x14ac:dyDescent="0.3">
      <c r="AN15482">
        <v>15478</v>
      </c>
      <c r="AO15482" s="11">
        <v>42006.21</v>
      </c>
      <c r="AP15482" s="9">
        <v>4.1847079866620991</v>
      </c>
    </row>
    <row r="15483" spans="40:42" x14ac:dyDescent="0.3">
      <c r="AN15483">
        <v>15479</v>
      </c>
      <c r="AO15483" s="11">
        <v>32701.22</v>
      </c>
      <c r="AP15483" s="9">
        <v>3.5503078489917628</v>
      </c>
    </row>
    <row r="15484" spans="40:42" x14ac:dyDescent="0.3">
      <c r="AN15484">
        <v>15480</v>
      </c>
      <c r="AO15484" s="11">
        <v>37055.519999999997</v>
      </c>
      <c r="AP15484" s="9">
        <v>3.7192813123302182</v>
      </c>
    </row>
    <row r="15485" spans="40:42" x14ac:dyDescent="0.3">
      <c r="AN15485">
        <v>15481</v>
      </c>
      <c r="AO15485" s="11">
        <v>33286.339999999997</v>
      </c>
      <c r="AP15485" s="9">
        <v>3.3460159131675939</v>
      </c>
    </row>
    <row r="15486" spans="40:42" x14ac:dyDescent="0.3">
      <c r="AN15486">
        <v>15482</v>
      </c>
      <c r="AO15486" s="11">
        <v>38652.720000000001</v>
      </c>
      <c r="AP15486" s="9">
        <v>3.9435946239997755</v>
      </c>
    </row>
    <row r="15487" spans="40:42" x14ac:dyDescent="0.3">
      <c r="AN15487">
        <v>15483</v>
      </c>
      <c r="AO15487" s="11">
        <v>41151.53</v>
      </c>
      <c r="AP15487" s="9">
        <v>3.9019825730933255</v>
      </c>
    </row>
    <row r="15488" spans="40:42" x14ac:dyDescent="0.3">
      <c r="AN15488">
        <v>15484</v>
      </c>
      <c r="AO15488" s="11">
        <v>37459.86</v>
      </c>
      <c r="AP15488" s="9">
        <v>3.3607269268578746</v>
      </c>
    </row>
    <row r="15489" spans="40:42" x14ac:dyDescent="0.3">
      <c r="AN15489">
        <v>15485</v>
      </c>
      <c r="AO15489" s="11">
        <v>21298.92</v>
      </c>
      <c r="AP15489" s="9">
        <v>3.17094941820298</v>
      </c>
    </row>
    <row r="15490" spans="40:42" x14ac:dyDescent="0.3">
      <c r="AN15490">
        <v>15486</v>
      </c>
      <c r="AO15490" s="11">
        <v>37926.410000000003</v>
      </c>
      <c r="AP15490" s="9">
        <v>3.6252608131148105</v>
      </c>
    </row>
    <row r="15491" spans="40:42" x14ac:dyDescent="0.3">
      <c r="AN15491">
        <v>15487</v>
      </c>
      <c r="AO15491" s="11">
        <v>21126.86</v>
      </c>
      <c r="AP15491" s="9">
        <v>3.1613858876319649</v>
      </c>
    </row>
    <row r="15492" spans="40:42" x14ac:dyDescent="0.3">
      <c r="AN15492">
        <v>15488</v>
      </c>
      <c r="AO15492" s="11">
        <v>21885.119999999999</v>
      </c>
      <c r="AP15492" s="9">
        <v>2.9365558729769776</v>
      </c>
    </row>
    <row r="15493" spans="40:42" x14ac:dyDescent="0.3">
      <c r="AN15493">
        <v>15489</v>
      </c>
      <c r="AO15493" s="11">
        <v>32791.480000000003</v>
      </c>
      <c r="AP15493" s="9">
        <v>3.2744121084292761</v>
      </c>
    </row>
    <row r="15494" spans="40:42" x14ac:dyDescent="0.3">
      <c r="AN15494">
        <v>15490</v>
      </c>
      <c r="AO15494" s="11">
        <v>30880.12</v>
      </c>
      <c r="AP15494" s="9">
        <v>3.3814059478548675</v>
      </c>
    </row>
    <row r="15495" spans="40:42" x14ac:dyDescent="0.3">
      <c r="AN15495">
        <v>15491</v>
      </c>
      <c r="AO15495" s="11">
        <v>16231.67</v>
      </c>
      <c r="AP15495" s="9">
        <v>2.4685293482522264</v>
      </c>
    </row>
    <row r="15496" spans="40:42" x14ac:dyDescent="0.3">
      <c r="AN15496">
        <v>15492</v>
      </c>
      <c r="AO15496" s="11">
        <v>37472.46</v>
      </c>
      <c r="AP15496" s="9">
        <v>3.3941882505125638</v>
      </c>
    </row>
    <row r="15497" spans="40:42" x14ac:dyDescent="0.3">
      <c r="AN15497">
        <v>15493</v>
      </c>
      <c r="AO15497" s="11">
        <v>18218.23</v>
      </c>
      <c r="AP15497" s="9">
        <v>3.5646910685252973</v>
      </c>
    </row>
    <row r="15498" spans="40:42" x14ac:dyDescent="0.3">
      <c r="AN15498">
        <v>15494</v>
      </c>
      <c r="AO15498" s="11">
        <v>29611.64</v>
      </c>
      <c r="AP15498" s="9">
        <v>3.3564321301816618</v>
      </c>
    </row>
    <row r="15499" spans="40:42" x14ac:dyDescent="0.3">
      <c r="AN15499">
        <v>15495</v>
      </c>
      <c r="AO15499" s="11">
        <v>28054.2</v>
      </c>
      <c r="AP15499" s="9">
        <v>2.9759088817417356</v>
      </c>
    </row>
    <row r="15500" spans="40:42" x14ac:dyDescent="0.3">
      <c r="AN15500">
        <v>15496</v>
      </c>
      <c r="AO15500" s="11">
        <v>27584.27</v>
      </c>
      <c r="AP15500" s="9">
        <v>2.9276243653475551</v>
      </c>
    </row>
    <row r="15501" spans="40:42" x14ac:dyDescent="0.3">
      <c r="AN15501">
        <v>15497</v>
      </c>
      <c r="AO15501" s="11">
        <v>34344.53</v>
      </c>
      <c r="AP15501" s="9">
        <v>3.3222872271428954</v>
      </c>
    </row>
    <row r="15502" spans="40:42" x14ac:dyDescent="0.3">
      <c r="AN15502">
        <v>15498</v>
      </c>
      <c r="AO15502" s="11">
        <v>15323.64</v>
      </c>
      <c r="AP15502" s="9">
        <v>2.4697152711611916</v>
      </c>
    </row>
    <row r="15503" spans="40:42" x14ac:dyDescent="0.3">
      <c r="AN15503">
        <v>15499</v>
      </c>
      <c r="AO15503" s="11">
        <v>26983.040000000001</v>
      </c>
      <c r="AP15503" s="9">
        <v>3.2617191694212733</v>
      </c>
    </row>
    <row r="15504" spans="40:42" x14ac:dyDescent="0.3">
      <c r="AN15504">
        <v>15500</v>
      </c>
      <c r="AO15504" s="11">
        <v>22173.01</v>
      </c>
      <c r="AP15504" s="9">
        <v>2.5636538572252285</v>
      </c>
    </row>
    <row r="15505" spans="40:42" x14ac:dyDescent="0.3">
      <c r="AN15505">
        <v>15501</v>
      </c>
      <c r="AO15505" s="11">
        <v>34260.699999999997</v>
      </c>
      <c r="AP15505" s="9">
        <v>3.0390387300298327</v>
      </c>
    </row>
    <row r="15506" spans="40:42" x14ac:dyDescent="0.3">
      <c r="AN15506">
        <v>15502</v>
      </c>
      <c r="AO15506" s="11">
        <v>24529.34</v>
      </c>
      <c r="AP15506" s="9">
        <v>3.2664278118596259</v>
      </c>
    </row>
    <row r="15507" spans="40:42" x14ac:dyDescent="0.3">
      <c r="AN15507">
        <v>15503</v>
      </c>
      <c r="AO15507" s="11">
        <v>31015.67</v>
      </c>
      <c r="AP15507" s="9">
        <v>2.8451056188134003</v>
      </c>
    </row>
    <row r="15508" spans="40:42" x14ac:dyDescent="0.3">
      <c r="AN15508">
        <v>15504</v>
      </c>
      <c r="AO15508" s="11">
        <v>16121.92</v>
      </c>
      <c r="AP15508" s="9">
        <v>2.6308317001083772</v>
      </c>
    </row>
    <row r="15509" spans="40:42" x14ac:dyDescent="0.3">
      <c r="AN15509">
        <v>15505</v>
      </c>
      <c r="AO15509" s="11">
        <v>32077.58</v>
      </c>
      <c r="AP15509" s="9">
        <v>3.3205123022863345</v>
      </c>
    </row>
    <row r="15510" spans="40:42" x14ac:dyDescent="0.3">
      <c r="AN15510">
        <v>15506</v>
      </c>
      <c r="AO15510" s="11">
        <v>39157.49</v>
      </c>
      <c r="AP15510" s="9">
        <v>3.6086033390670851</v>
      </c>
    </row>
    <row r="15511" spans="40:42" x14ac:dyDescent="0.3">
      <c r="AN15511">
        <v>15507</v>
      </c>
      <c r="AO15511" s="11">
        <v>24062.63</v>
      </c>
      <c r="AP15511" s="9">
        <v>3.2859002670525554</v>
      </c>
    </row>
    <row r="15512" spans="40:42" x14ac:dyDescent="0.3">
      <c r="AN15512">
        <v>15508</v>
      </c>
      <c r="AO15512" s="11">
        <v>30814.54</v>
      </c>
      <c r="AP15512" s="9">
        <v>3.4483577387538284</v>
      </c>
    </row>
    <row r="15513" spans="40:42" x14ac:dyDescent="0.3">
      <c r="AN15513">
        <v>15509</v>
      </c>
      <c r="AO15513" s="11">
        <v>29250.880000000001</v>
      </c>
      <c r="AP15513" s="9">
        <v>3.6743152845127089</v>
      </c>
    </row>
    <row r="15514" spans="40:42" x14ac:dyDescent="0.3">
      <c r="AN15514">
        <v>15510</v>
      </c>
      <c r="AO15514" s="11">
        <v>28451.5</v>
      </c>
      <c r="AP15514" s="9">
        <v>3.1182484910934791</v>
      </c>
    </row>
    <row r="15515" spans="40:42" x14ac:dyDescent="0.3">
      <c r="AN15515">
        <v>15511</v>
      </c>
      <c r="AO15515" s="11">
        <v>17192.34</v>
      </c>
      <c r="AP15515" s="9">
        <v>2.735848840911618</v>
      </c>
    </row>
    <row r="15516" spans="40:42" x14ac:dyDescent="0.3">
      <c r="AN15516">
        <v>15512</v>
      </c>
      <c r="AO15516" s="11">
        <v>48730.91</v>
      </c>
      <c r="AP15516" s="9">
        <v>4.2024620014887066</v>
      </c>
    </row>
    <row r="15517" spans="40:42" x14ac:dyDescent="0.3">
      <c r="AN15517">
        <v>15513</v>
      </c>
      <c r="AO15517" s="11">
        <v>28558.68</v>
      </c>
      <c r="AP15517" s="9">
        <v>3.3989460854588671</v>
      </c>
    </row>
    <row r="15518" spans="40:42" x14ac:dyDescent="0.3">
      <c r="AN15518">
        <v>15514</v>
      </c>
      <c r="AO15518" s="11">
        <v>34704.31</v>
      </c>
      <c r="AP15518" s="9">
        <v>3.5050164953128125</v>
      </c>
    </row>
    <row r="15519" spans="40:42" x14ac:dyDescent="0.3">
      <c r="AN15519">
        <v>15515</v>
      </c>
      <c r="AO15519" s="11">
        <v>26273.11</v>
      </c>
      <c r="AP15519" s="9">
        <v>3.2106711276739941</v>
      </c>
    </row>
    <row r="15520" spans="40:42" x14ac:dyDescent="0.3">
      <c r="AN15520">
        <v>15516</v>
      </c>
      <c r="AO15520" s="11">
        <v>30814.09</v>
      </c>
      <c r="AP15520" s="9">
        <v>3.1379615490718211</v>
      </c>
    </row>
    <row r="15521" spans="40:42" x14ac:dyDescent="0.3">
      <c r="AN15521">
        <v>15517</v>
      </c>
      <c r="AO15521" s="11">
        <v>25547.89</v>
      </c>
      <c r="AP15521" s="9">
        <v>3.2468731426709461</v>
      </c>
    </row>
    <row r="15522" spans="40:42" x14ac:dyDescent="0.3">
      <c r="AN15522">
        <v>15518</v>
      </c>
      <c r="AO15522" s="11">
        <v>29618.59</v>
      </c>
      <c r="AP15522" s="9">
        <v>4.1734154701004904</v>
      </c>
    </row>
    <row r="15523" spans="40:42" x14ac:dyDescent="0.3">
      <c r="AN15523">
        <v>15519</v>
      </c>
      <c r="AO15523" s="11">
        <v>48668.57</v>
      </c>
      <c r="AP15523" s="9">
        <v>4.5164261978200173</v>
      </c>
    </row>
    <row r="15524" spans="40:42" x14ac:dyDescent="0.3">
      <c r="AN15524">
        <v>15520</v>
      </c>
      <c r="AO15524" s="11">
        <v>33239.78</v>
      </c>
      <c r="AP15524" s="9">
        <v>3.4947377567293976</v>
      </c>
    </row>
    <row r="15525" spans="40:42" x14ac:dyDescent="0.3">
      <c r="AN15525">
        <v>15521</v>
      </c>
      <c r="AO15525" s="11">
        <v>45700.66</v>
      </c>
      <c r="AP15525" s="9">
        <v>3.8633177911493379</v>
      </c>
    </row>
    <row r="15526" spans="40:42" x14ac:dyDescent="0.3">
      <c r="AN15526">
        <v>15522</v>
      </c>
      <c r="AO15526" s="11">
        <v>30372.31</v>
      </c>
      <c r="AP15526" s="9">
        <v>3.8979096166281311</v>
      </c>
    </row>
    <row r="15527" spans="40:42" x14ac:dyDescent="0.3">
      <c r="AN15527">
        <v>15523</v>
      </c>
      <c r="AO15527" s="11">
        <v>37872.01</v>
      </c>
      <c r="AP15527" s="9">
        <v>3.8999865158813529</v>
      </c>
    </row>
    <row r="15528" spans="40:42" x14ac:dyDescent="0.3">
      <c r="AN15528">
        <v>15524</v>
      </c>
      <c r="AO15528" s="11">
        <v>16969.03</v>
      </c>
      <c r="AP15528" s="9">
        <v>3.0347853354326677</v>
      </c>
    </row>
    <row r="15529" spans="40:42" x14ac:dyDescent="0.3">
      <c r="AN15529">
        <v>15525</v>
      </c>
      <c r="AO15529" s="11">
        <v>21776.720000000001</v>
      </c>
      <c r="AP15529" s="9">
        <v>3.0731550195689623</v>
      </c>
    </row>
    <row r="15530" spans="40:42" x14ac:dyDescent="0.3">
      <c r="AN15530">
        <v>15526</v>
      </c>
      <c r="AO15530" s="11">
        <v>24655.040000000001</v>
      </c>
      <c r="AP15530" s="9">
        <v>3.1982954070310874</v>
      </c>
    </row>
    <row r="15531" spans="40:42" x14ac:dyDescent="0.3">
      <c r="AN15531">
        <v>15527</v>
      </c>
      <c r="AO15531" s="11">
        <v>25026.83</v>
      </c>
      <c r="AP15531" s="9">
        <v>4.3083469091523083</v>
      </c>
    </row>
    <row r="15532" spans="40:42" x14ac:dyDescent="0.3">
      <c r="AN15532">
        <v>15528</v>
      </c>
      <c r="AO15532" s="11">
        <v>39302.04</v>
      </c>
      <c r="AP15532" s="9">
        <v>3.3614133792377117</v>
      </c>
    </row>
    <row r="15533" spans="40:42" x14ac:dyDescent="0.3">
      <c r="AN15533">
        <v>15529</v>
      </c>
      <c r="AO15533" s="11">
        <v>18892.48</v>
      </c>
      <c r="AP15533" s="9">
        <v>3.2093058019441281</v>
      </c>
    </row>
    <row r="15534" spans="40:42" x14ac:dyDescent="0.3">
      <c r="AN15534">
        <v>15530</v>
      </c>
      <c r="AO15534" s="11">
        <v>25945.119999999999</v>
      </c>
      <c r="AP15534" s="9">
        <v>3.2422811892645189</v>
      </c>
    </row>
    <row r="15535" spans="40:42" x14ac:dyDescent="0.3">
      <c r="AN15535">
        <v>15531</v>
      </c>
      <c r="AO15535" s="11">
        <v>23314.37</v>
      </c>
      <c r="AP15535" s="9">
        <v>3.5665809849403098</v>
      </c>
    </row>
    <row r="15536" spans="40:42" x14ac:dyDescent="0.3">
      <c r="AN15536">
        <v>15532</v>
      </c>
      <c r="AO15536" s="11">
        <v>19816</v>
      </c>
      <c r="AP15536" s="9">
        <v>3.1917637479326646</v>
      </c>
    </row>
    <row r="15537" spans="40:42" x14ac:dyDescent="0.3">
      <c r="AN15537">
        <v>15533</v>
      </c>
      <c r="AO15537" s="11">
        <v>38959.480000000003</v>
      </c>
      <c r="AP15537" s="9">
        <v>4.4836856785763928</v>
      </c>
    </row>
    <row r="15538" spans="40:42" x14ac:dyDescent="0.3">
      <c r="AN15538">
        <v>15534</v>
      </c>
      <c r="AO15538" s="11">
        <v>31226.17</v>
      </c>
      <c r="AP15538" s="9">
        <v>3.4015255775190525</v>
      </c>
    </row>
    <row r="15539" spans="40:42" x14ac:dyDescent="0.3">
      <c r="AN15539">
        <v>15535</v>
      </c>
      <c r="AO15539" s="11">
        <v>31886.58</v>
      </c>
      <c r="AP15539" s="9">
        <v>3.3123508913231317</v>
      </c>
    </row>
    <row r="15540" spans="40:42" x14ac:dyDescent="0.3">
      <c r="AN15540">
        <v>15536</v>
      </c>
      <c r="AO15540" s="11">
        <v>26726.880000000001</v>
      </c>
      <c r="AP15540" s="9">
        <v>3.2063513154070229</v>
      </c>
    </row>
    <row r="15541" spans="40:42" x14ac:dyDescent="0.3">
      <c r="AN15541">
        <v>15537</v>
      </c>
      <c r="AO15541" s="11">
        <v>35012.92</v>
      </c>
      <c r="AP15541" s="9">
        <v>3.296540401630538</v>
      </c>
    </row>
    <row r="15542" spans="40:42" x14ac:dyDescent="0.3">
      <c r="AN15542">
        <v>15538</v>
      </c>
      <c r="AO15542" s="11">
        <v>17576.7</v>
      </c>
      <c r="AP15542" s="9">
        <v>3.045009641813436</v>
      </c>
    </row>
    <row r="15543" spans="40:42" x14ac:dyDescent="0.3">
      <c r="AN15543">
        <v>15539</v>
      </c>
      <c r="AO15543" s="11">
        <v>26674.32</v>
      </c>
      <c r="AP15543" s="9">
        <v>3.8276591111455525</v>
      </c>
    </row>
    <row r="15544" spans="40:42" x14ac:dyDescent="0.3">
      <c r="AN15544">
        <v>15540</v>
      </c>
      <c r="AO15544" s="11">
        <v>27617.14</v>
      </c>
      <c r="AP15544" s="9">
        <v>3.3072646871292934</v>
      </c>
    </row>
    <row r="15545" spans="40:42" x14ac:dyDescent="0.3">
      <c r="AN15545">
        <v>15541</v>
      </c>
      <c r="AO15545" s="11">
        <v>17852.099999999999</v>
      </c>
      <c r="AP15545" s="9">
        <v>3.2293876127781842</v>
      </c>
    </row>
    <row r="15546" spans="40:42" x14ac:dyDescent="0.3">
      <c r="AN15546">
        <v>15542</v>
      </c>
      <c r="AO15546" s="11">
        <v>31003.599999999999</v>
      </c>
      <c r="AP15546" s="9">
        <v>3.1730736327346549</v>
      </c>
    </row>
    <row r="15547" spans="40:42" x14ac:dyDescent="0.3">
      <c r="AN15547">
        <v>15543</v>
      </c>
      <c r="AO15547" s="11">
        <v>32450.7</v>
      </c>
      <c r="AP15547" s="9">
        <v>3.7079104263471163</v>
      </c>
    </row>
    <row r="15548" spans="40:42" x14ac:dyDescent="0.3">
      <c r="AN15548">
        <v>15544</v>
      </c>
      <c r="AO15548" s="11">
        <v>20828.919999999998</v>
      </c>
      <c r="AP15548" s="9">
        <v>3.3809326841995313</v>
      </c>
    </row>
    <row r="15549" spans="40:42" x14ac:dyDescent="0.3">
      <c r="AN15549">
        <v>15545</v>
      </c>
      <c r="AO15549" s="11">
        <v>28133.74</v>
      </c>
      <c r="AP15549" s="9">
        <v>2.9274178210128921</v>
      </c>
    </row>
    <row r="15550" spans="40:42" x14ac:dyDescent="0.3">
      <c r="AN15550">
        <v>15546</v>
      </c>
      <c r="AO15550" s="11">
        <v>35431.11</v>
      </c>
      <c r="AP15550" s="9">
        <v>3.9739723213607352</v>
      </c>
    </row>
    <row r="15551" spans="40:42" x14ac:dyDescent="0.3">
      <c r="AN15551">
        <v>15547</v>
      </c>
      <c r="AO15551" s="11">
        <v>19172.990000000002</v>
      </c>
      <c r="AP15551" s="9">
        <v>2.8872164387829464</v>
      </c>
    </row>
    <row r="15552" spans="40:42" x14ac:dyDescent="0.3">
      <c r="AN15552">
        <v>15548</v>
      </c>
      <c r="AO15552" s="11">
        <v>23055.07</v>
      </c>
      <c r="AP15552" s="9">
        <v>4.1959567061253873</v>
      </c>
    </row>
    <row r="15553" spans="40:42" x14ac:dyDescent="0.3">
      <c r="AN15553">
        <v>15549</v>
      </c>
      <c r="AO15553" s="11">
        <v>12164.5</v>
      </c>
      <c r="AP15553" s="9">
        <v>2.8700867280356372</v>
      </c>
    </row>
    <row r="15554" spans="40:42" x14ac:dyDescent="0.3">
      <c r="AN15554">
        <v>15550</v>
      </c>
      <c r="AO15554" s="11">
        <v>29797</v>
      </c>
      <c r="AP15554" s="9">
        <v>3.5958734101734287</v>
      </c>
    </row>
    <row r="15555" spans="40:42" x14ac:dyDescent="0.3">
      <c r="AN15555">
        <v>15551</v>
      </c>
      <c r="AO15555" s="11">
        <v>38236.410000000003</v>
      </c>
      <c r="AP15555" s="9">
        <v>3.590253238680857</v>
      </c>
    </row>
    <row r="15556" spans="40:42" x14ac:dyDescent="0.3">
      <c r="AN15556">
        <v>15552</v>
      </c>
      <c r="AO15556" s="11">
        <v>24156.43</v>
      </c>
      <c r="AP15556" s="9">
        <v>3.47139632535103</v>
      </c>
    </row>
    <row r="15557" spans="40:42" x14ac:dyDescent="0.3">
      <c r="AN15557">
        <v>15553</v>
      </c>
      <c r="AO15557" s="11">
        <v>34800.04</v>
      </c>
      <c r="AP15557" s="9">
        <v>3.7864058044390503</v>
      </c>
    </row>
    <row r="15558" spans="40:42" x14ac:dyDescent="0.3">
      <c r="AN15558">
        <v>15554</v>
      </c>
      <c r="AO15558" s="11">
        <v>45087.22</v>
      </c>
      <c r="AP15558" s="9">
        <v>4.45477737078334</v>
      </c>
    </row>
    <row r="15559" spans="40:42" x14ac:dyDescent="0.3">
      <c r="AN15559">
        <v>15555</v>
      </c>
      <c r="AO15559" s="11">
        <v>25148.91</v>
      </c>
      <c r="AP15559" s="9">
        <v>3.1234704807192015</v>
      </c>
    </row>
    <row r="15560" spans="40:42" x14ac:dyDescent="0.3">
      <c r="AN15560">
        <v>15556</v>
      </c>
      <c r="AO15560" s="11">
        <v>30495.62</v>
      </c>
      <c r="AP15560" s="9">
        <v>2.9555160292083382</v>
      </c>
    </row>
    <row r="15561" spans="40:42" x14ac:dyDescent="0.3">
      <c r="AN15561">
        <v>15557</v>
      </c>
      <c r="AO15561" s="11">
        <v>26680.46</v>
      </c>
      <c r="AP15561" s="9">
        <v>3.7338637549904283</v>
      </c>
    </row>
    <row r="15562" spans="40:42" x14ac:dyDescent="0.3">
      <c r="AN15562">
        <v>15558</v>
      </c>
      <c r="AO15562" s="11">
        <v>40246.39</v>
      </c>
      <c r="AP15562" s="9">
        <v>4.3001958199543937</v>
      </c>
    </row>
    <row r="15563" spans="40:42" x14ac:dyDescent="0.3">
      <c r="AN15563">
        <v>15559</v>
      </c>
      <c r="AO15563" s="11">
        <v>27142.01</v>
      </c>
      <c r="AP15563" s="9">
        <v>3.2032367630334435</v>
      </c>
    </row>
    <row r="15564" spans="40:42" x14ac:dyDescent="0.3">
      <c r="AN15564">
        <v>15560</v>
      </c>
      <c r="AO15564" s="11">
        <v>37884.26</v>
      </c>
      <c r="AP15564" s="9">
        <v>3.6628519384047249</v>
      </c>
    </row>
    <row r="15565" spans="40:42" x14ac:dyDescent="0.3">
      <c r="AN15565">
        <v>15561</v>
      </c>
      <c r="AO15565" s="11">
        <v>39374.879999999997</v>
      </c>
      <c r="AP15565" s="9">
        <v>3.6383140324373473</v>
      </c>
    </row>
    <row r="15566" spans="40:42" x14ac:dyDescent="0.3">
      <c r="AN15566">
        <v>15562</v>
      </c>
      <c r="AO15566" s="11">
        <v>36689.99</v>
      </c>
      <c r="AP15566" s="9">
        <v>3.9249582356216486</v>
      </c>
    </row>
    <row r="15567" spans="40:42" x14ac:dyDescent="0.3">
      <c r="AN15567">
        <v>15563</v>
      </c>
      <c r="AO15567" s="11">
        <v>29013.49</v>
      </c>
      <c r="AP15567" s="9">
        <v>2.6884293999957016</v>
      </c>
    </row>
    <row r="15568" spans="40:42" x14ac:dyDescent="0.3">
      <c r="AN15568">
        <v>15564</v>
      </c>
      <c r="AO15568" s="11">
        <v>19899.71</v>
      </c>
      <c r="AP15568" s="9">
        <v>3.4276551917850244</v>
      </c>
    </row>
    <row r="15569" spans="40:42" x14ac:dyDescent="0.3">
      <c r="AN15569">
        <v>15565</v>
      </c>
      <c r="AO15569" s="11">
        <v>33534.65</v>
      </c>
      <c r="AP15569" s="9">
        <v>3.9192015027752065</v>
      </c>
    </row>
    <row r="15570" spans="40:42" x14ac:dyDescent="0.3">
      <c r="AN15570">
        <v>15566</v>
      </c>
      <c r="AO15570" s="11">
        <v>19837.03</v>
      </c>
      <c r="AP15570" s="9">
        <v>3.3527143087340434</v>
      </c>
    </row>
    <row r="15571" spans="40:42" x14ac:dyDescent="0.3">
      <c r="AN15571">
        <v>15567</v>
      </c>
      <c r="AO15571" s="11">
        <v>29855.360000000001</v>
      </c>
      <c r="AP15571" s="9">
        <v>3.1348125702222949</v>
      </c>
    </row>
    <row r="15572" spans="40:42" x14ac:dyDescent="0.3">
      <c r="AN15572">
        <v>15568</v>
      </c>
      <c r="AO15572" s="11">
        <v>21785.42</v>
      </c>
      <c r="AP15572" s="9">
        <v>2.9752315814546133</v>
      </c>
    </row>
    <row r="15573" spans="40:42" x14ac:dyDescent="0.3">
      <c r="AN15573">
        <v>15569</v>
      </c>
      <c r="AO15573" s="11">
        <v>19558.93</v>
      </c>
      <c r="AP15573" s="9">
        <v>3.1907277086452077</v>
      </c>
    </row>
    <row r="15574" spans="40:42" x14ac:dyDescent="0.3">
      <c r="AN15574">
        <v>15570</v>
      </c>
      <c r="AO15574" s="11">
        <v>17054.89</v>
      </c>
      <c r="AP15574" s="9">
        <v>2.5980231141181487</v>
      </c>
    </row>
    <row r="15575" spans="40:42" x14ac:dyDescent="0.3">
      <c r="AN15575">
        <v>15571</v>
      </c>
      <c r="AO15575" s="11">
        <v>27539.89</v>
      </c>
      <c r="AP15575" s="9">
        <v>3.2614590365354412</v>
      </c>
    </row>
    <row r="15576" spans="40:42" x14ac:dyDescent="0.3">
      <c r="AN15576">
        <v>15572</v>
      </c>
      <c r="AO15576" s="11">
        <v>22485.66</v>
      </c>
      <c r="AP15576" s="9">
        <v>3.1027888826461494</v>
      </c>
    </row>
    <row r="15577" spans="40:42" x14ac:dyDescent="0.3">
      <c r="AN15577">
        <v>15573</v>
      </c>
      <c r="AO15577" s="11">
        <v>16771.060000000001</v>
      </c>
      <c r="AP15577" s="9">
        <v>2.9802093106445549</v>
      </c>
    </row>
    <row r="15578" spans="40:42" x14ac:dyDescent="0.3">
      <c r="AN15578">
        <v>15574</v>
      </c>
      <c r="AO15578" s="11">
        <v>25552.82</v>
      </c>
      <c r="AP15578" s="9">
        <v>2.9401517978501541</v>
      </c>
    </row>
    <row r="15579" spans="40:42" x14ac:dyDescent="0.3">
      <c r="AN15579">
        <v>15575</v>
      </c>
      <c r="AO15579" s="11">
        <v>19276.52</v>
      </c>
      <c r="AP15579" s="9">
        <v>2.8762728623633058</v>
      </c>
    </row>
    <row r="15580" spans="40:42" x14ac:dyDescent="0.3">
      <c r="AN15580">
        <v>15576</v>
      </c>
      <c r="AO15580" s="11">
        <v>21018.55</v>
      </c>
      <c r="AP15580" s="9">
        <v>3.276461967720397</v>
      </c>
    </row>
    <row r="15581" spans="40:42" x14ac:dyDescent="0.3">
      <c r="AN15581">
        <v>15577</v>
      </c>
      <c r="AO15581" s="11">
        <v>29738.29</v>
      </c>
      <c r="AP15581" s="9">
        <v>3.3841662618333119</v>
      </c>
    </row>
    <row r="15582" spans="40:42" x14ac:dyDescent="0.3">
      <c r="AN15582">
        <v>15578</v>
      </c>
      <c r="AO15582" s="11">
        <v>32842.46</v>
      </c>
      <c r="AP15582" s="9">
        <v>2.8170354063160805</v>
      </c>
    </row>
    <row r="15583" spans="40:42" x14ac:dyDescent="0.3">
      <c r="AN15583">
        <v>15579</v>
      </c>
      <c r="AO15583" s="11">
        <v>38117.120000000003</v>
      </c>
      <c r="AP15583" s="9">
        <v>3.3488940527332187</v>
      </c>
    </row>
    <row r="15584" spans="40:42" x14ac:dyDescent="0.3">
      <c r="AN15584">
        <v>15580</v>
      </c>
      <c r="AO15584" s="11">
        <v>31334.17</v>
      </c>
      <c r="AP15584" s="9">
        <v>3.8891734245335843</v>
      </c>
    </row>
    <row r="15585" spans="40:42" x14ac:dyDescent="0.3">
      <c r="AN15585">
        <v>15581</v>
      </c>
      <c r="AO15585" s="11">
        <v>35814.49</v>
      </c>
      <c r="AP15585" s="9">
        <v>3.7636062501506027</v>
      </c>
    </row>
    <row r="15586" spans="40:42" x14ac:dyDescent="0.3">
      <c r="AN15586">
        <v>15582</v>
      </c>
      <c r="AO15586" s="11">
        <v>27253.9</v>
      </c>
      <c r="AP15586" s="9">
        <v>3.3319016764873144</v>
      </c>
    </row>
    <row r="15587" spans="40:42" x14ac:dyDescent="0.3">
      <c r="AN15587">
        <v>15583</v>
      </c>
      <c r="AO15587" s="11">
        <v>32218.34</v>
      </c>
      <c r="AP15587" s="9">
        <v>3.2169531206304649</v>
      </c>
    </row>
    <row r="15588" spans="40:42" x14ac:dyDescent="0.3">
      <c r="AN15588">
        <v>15584</v>
      </c>
      <c r="AO15588" s="11">
        <v>33847.31</v>
      </c>
      <c r="AP15588" s="9">
        <v>2.8429277319182935</v>
      </c>
    </row>
    <row r="15589" spans="40:42" x14ac:dyDescent="0.3">
      <c r="AN15589">
        <v>15585</v>
      </c>
      <c r="AO15589" s="11">
        <v>22349.599999999999</v>
      </c>
      <c r="AP15589" s="9">
        <v>3.0338721148933616</v>
      </c>
    </row>
    <row r="15590" spans="40:42" x14ac:dyDescent="0.3">
      <c r="AN15590">
        <v>15586</v>
      </c>
      <c r="AO15590" s="11">
        <v>42775.92</v>
      </c>
      <c r="AP15590" s="9">
        <v>3.818463855390434</v>
      </c>
    </row>
    <row r="15591" spans="40:42" x14ac:dyDescent="0.3">
      <c r="AN15591">
        <v>15587</v>
      </c>
      <c r="AO15591" s="11">
        <v>35586.400000000001</v>
      </c>
      <c r="AP15591" s="9">
        <v>3.87495652121686</v>
      </c>
    </row>
    <row r="15592" spans="40:42" x14ac:dyDescent="0.3">
      <c r="AN15592">
        <v>15588</v>
      </c>
      <c r="AO15592" s="11">
        <v>23578.720000000001</v>
      </c>
      <c r="AP15592" s="9">
        <v>3.172225306778929</v>
      </c>
    </row>
    <row r="15593" spans="40:42" x14ac:dyDescent="0.3">
      <c r="AN15593">
        <v>15589</v>
      </c>
      <c r="AO15593" s="11">
        <v>21914.61</v>
      </c>
      <c r="AP15593" s="9">
        <v>3.7021686304077259</v>
      </c>
    </row>
    <row r="15594" spans="40:42" x14ac:dyDescent="0.3">
      <c r="AN15594">
        <v>15590</v>
      </c>
      <c r="AO15594" s="11">
        <v>24888.09</v>
      </c>
      <c r="AP15594" s="9">
        <v>3.027757380628763</v>
      </c>
    </row>
    <row r="15595" spans="40:42" x14ac:dyDescent="0.3">
      <c r="AN15595">
        <v>15591</v>
      </c>
      <c r="AO15595" s="11">
        <v>28109.21</v>
      </c>
      <c r="AP15595" s="9">
        <v>3.5828592906030057</v>
      </c>
    </row>
    <row r="15596" spans="40:42" x14ac:dyDescent="0.3">
      <c r="AN15596">
        <v>15592</v>
      </c>
      <c r="AO15596" s="11">
        <v>28927.43</v>
      </c>
      <c r="AP15596" s="9">
        <v>3.0350366618860978</v>
      </c>
    </row>
    <row r="15597" spans="40:42" x14ac:dyDescent="0.3">
      <c r="AN15597">
        <v>15593</v>
      </c>
      <c r="AO15597" s="11">
        <v>18268.7</v>
      </c>
      <c r="AP15597" s="9">
        <v>2.9520891470410611</v>
      </c>
    </row>
    <row r="15598" spans="40:42" x14ac:dyDescent="0.3">
      <c r="AN15598">
        <v>15594</v>
      </c>
      <c r="AO15598" s="11">
        <v>29512.959999999999</v>
      </c>
      <c r="AP15598" s="9">
        <v>3.4521878825918253</v>
      </c>
    </row>
    <row r="15599" spans="40:42" x14ac:dyDescent="0.3">
      <c r="AN15599">
        <v>15595</v>
      </c>
      <c r="AO15599" s="11">
        <v>29139.200000000001</v>
      </c>
      <c r="AP15599" s="9">
        <v>3.432942612661209</v>
      </c>
    </row>
    <row r="15600" spans="40:42" x14ac:dyDescent="0.3">
      <c r="AN15600">
        <v>15596</v>
      </c>
      <c r="AO15600" s="11">
        <v>38994.019999999997</v>
      </c>
      <c r="AP15600" s="9">
        <v>4.532438131374839</v>
      </c>
    </row>
    <row r="15601" spans="40:42" x14ac:dyDescent="0.3">
      <c r="AN15601">
        <v>15597</v>
      </c>
      <c r="AO15601" s="11">
        <v>31249.73</v>
      </c>
      <c r="AP15601" s="9">
        <v>3.31871829792696</v>
      </c>
    </row>
    <row r="15602" spans="40:42" x14ac:dyDescent="0.3">
      <c r="AN15602">
        <v>15598</v>
      </c>
      <c r="AO15602" s="11">
        <v>19985.93</v>
      </c>
      <c r="AP15602" s="9">
        <v>3.3060095129825062</v>
      </c>
    </row>
    <row r="15603" spans="40:42" x14ac:dyDescent="0.3">
      <c r="AN15603">
        <v>15599</v>
      </c>
      <c r="AO15603" s="11">
        <v>26784.99</v>
      </c>
      <c r="AP15603" s="9">
        <v>3.2866925572175307</v>
      </c>
    </row>
    <row r="15604" spans="40:42" x14ac:dyDescent="0.3">
      <c r="AN15604">
        <v>15600</v>
      </c>
      <c r="AO15604" s="11">
        <v>36244.5</v>
      </c>
      <c r="AP15604" s="9">
        <v>3.5661257980086041</v>
      </c>
    </row>
    <row r="15605" spans="40:42" x14ac:dyDescent="0.3">
      <c r="AN15605">
        <v>15601</v>
      </c>
      <c r="AO15605" s="11">
        <v>25720.49</v>
      </c>
      <c r="AP15605" s="9">
        <v>3.863655587674137</v>
      </c>
    </row>
    <row r="15606" spans="40:42" x14ac:dyDescent="0.3">
      <c r="AN15606">
        <v>15602</v>
      </c>
      <c r="AO15606" s="11">
        <v>19177.57</v>
      </c>
      <c r="AP15606" s="9">
        <v>2.9513809264329329</v>
      </c>
    </row>
    <row r="15607" spans="40:42" x14ac:dyDescent="0.3">
      <c r="AN15607">
        <v>15603</v>
      </c>
      <c r="AO15607" s="11">
        <v>27498.16</v>
      </c>
      <c r="AP15607" s="9">
        <v>3.1694635255903396</v>
      </c>
    </row>
    <row r="15608" spans="40:42" x14ac:dyDescent="0.3">
      <c r="AN15608">
        <v>15604</v>
      </c>
      <c r="AO15608" s="11">
        <v>23902.44</v>
      </c>
      <c r="AP15608" s="9">
        <v>3.236679352200027</v>
      </c>
    </row>
    <row r="15609" spans="40:42" x14ac:dyDescent="0.3">
      <c r="AN15609">
        <v>15605</v>
      </c>
      <c r="AO15609" s="11">
        <v>23214.34</v>
      </c>
      <c r="AP15609" s="9">
        <v>3.3369751492195885</v>
      </c>
    </row>
    <row r="15610" spans="40:42" x14ac:dyDescent="0.3">
      <c r="AN15610">
        <v>15606</v>
      </c>
      <c r="AO15610" s="11">
        <v>21704.18</v>
      </c>
      <c r="AP15610" s="9">
        <v>2.8062212399583539</v>
      </c>
    </row>
    <row r="15611" spans="40:42" x14ac:dyDescent="0.3">
      <c r="AN15611">
        <v>15607</v>
      </c>
      <c r="AO15611" s="11">
        <v>27774.560000000001</v>
      </c>
      <c r="AP15611" s="9">
        <v>3.8515571037094598</v>
      </c>
    </row>
    <row r="15612" spans="40:42" x14ac:dyDescent="0.3">
      <c r="AN15612">
        <v>15608</v>
      </c>
      <c r="AO15612" s="11">
        <v>23752.78</v>
      </c>
      <c r="AP15612" s="9">
        <v>3.5714134173299645</v>
      </c>
    </row>
    <row r="15613" spans="40:42" x14ac:dyDescent="0.3">
      <c r="AN15613">
        <v>15609</v>
      </c>
      <c r="AO15613" s="11">
        <v>25640.1</v>
      </c>
      <c r="AP15613" s="9">
        <v>3.8012186311265892</v>
      </c>
    </row>
    <row r="15614" spans="40:42" x14ac:dyDescent="0.3">
      <c r="AN15614">
        <v>15610</v>
      </c>
      <c r="AO15614" s="11">
        <v>31593.91</v>
      </c>
      <c r="AP15614" s="9">
        <v>3.1190391451865214</v>
      </c>
    </row>
    <row r="15615" spans="40:42" x14ac:dyDescent="0.3">
      <c r="AN15615">
        <v>15611</v>
      </c>
      <c r="AO15615" s="11">
        <v>23634.73</v>
      </c>
      <c r="AP15615" s="9">
        <v>3.1899356783642654</v>
      </c>
    </row>
    <row r="15616" spans="40:42" x14ac:dyDescent="0.3">
      <c r="AN15616">
        <v>15612</v>
      </c>
      <c r="AO15616" s="11">
        <v>23397.919999999998</v>
      </c>
      <c r="AP15616" s="9">
        <v>4.1569149871545523</v>
      </c>
    </row>
    <row r="15617" spans="40:42" x14ac:dyDescent="0.3">
      <c r="AN15617">
        <v>15613</v>
      </c>
      <c r="AO15617" s="11">
        <v>47122.06</v>
      </c>
      <c r="AP15617" s="9">
        <v>5.2097542022065904</v>
      </c>
    </row>
    <row r="15618" spans="40:42" x14ac:dyDescent="0.3">
      <c r="AN15618">
        <v>15614</v>
      </c>
      <c r="AO15618" s="11">
        <v>28122.36</v>
      </c>
      <c r="AP15618" s="9">
        <v>3.5093914291160564</v>
      </c>
    </row>
    <row r="15619" spans="40:42" x14ac:dyDescent="0.3">
      <c r="AN15619">
        <v>15615</v>
      </c>
      <c r="AO15619" s="11">
        <v>19530.21</v>
      </c>
      <c r="AP15619" s="9">
        <v>3.4278906722508267</v>
      </c>
    </row>
    <row r="15620" spans="40:42" x14ac:dyDescent="0.3">
      <c r="AN15620">
        <v>15616</v>
      </c>
      <c r="AO15620" s="11">
        <v>22855.57</v>
      </c>
      <c r="AP15620" s="9">
        <v>3.571471863024219</v>
      </c>
    </row>
    <row r="15621" spans="40:42" x14ac:dyDescent="0.3">
      <c r="AN15621">
        <v>15617</v>
      </c>
      <c r="AO15621" s="11">
        <v>30025.63</v>
      </c>
      <c r="AP15621" s="9">
        <v>3.3191682989102596</v>
      </c>
    </row>
    <row r="15622" spans="40:42" x14ac:dyDescent="0.3">
      <c r="AN15622">
        <v>15618</v>
      </c>
      <c r="AO15622" s="11">
        <v>22222.07</v>
      </c>
      <c r="AP15622" s="9">
        <v>3.584918601993544</v>
      </c>
    </row>
    <row r="15623" spans="40:42" x14ac:dyDescent="0.3">
      <c r="AN15623">
        <v>15619</v>
      </c>
      <c r="AO15623" s="11">
        <v>17844.490000000002</v>
      </c>
      <c r="AP15623" s="9">
        <v>2.9600082729006814</v>
      </c>
    </row>
    <row r="15624" spans="40:42" x14ac:dyDescent="0.3">
      <c r="AN15624">
        <v>15620</v>
      </c>
      <c r="AO15624" s="11">
        <v>26271.45</v>
      </c>
      <c r="AP15624" s="9">
        <v>2.9437178105157424</v>
      </c>
    </row>
    <row r="15625" spans="40:42" x14ac:dyDescent="0.3">
      <c r="AN15625">
        <v>15621</v>
      </c>
      <c r="AO15625" s="11">
        <v>22090.99</v>
      </c>
      <c r="AP15625" s="9">
        <v>3.3027921307319339</v>
      </c>
    </row>
    <row r="15626" spans="40:42" x14ac:dyDescent="0.3">
      <c r="AN15626">
        <v>15622</v>
      </c>
      <c r="AO15626" s="11">
        <v>39842.199999999997</v>
      </c>
      <c r="AP15626" s="9">
        <v>4.1881836222097197</v>
      </c>
    </row>
    <row r="15627" spans="40:42" x14ac:dyDescent="0.3">
      <c r="AN15627">
        <v>15623</v>
      </c>
      <c r="AO15627" s="11">
        <v>19454.16</v>
      </c>
      <c r="AP15627" s="9">
        <v>2.8894078807229877</v>
      </c>
    </row>
    <row r="15628" spans="40:42" x14ac:dyDescent="0.3">
      <c r="AN15628">
        <v>15624</v>
      </c>
      <c r="AO15628" s="11">
        <v>32803.97</v>
      </c>
      <c r="AP15628" s="9">
        <v>3.5353430127493071</v>
      </c>
    </row>
    <row r="15629" spans="40:42" x14ac:dyDescent="0.3">
      <c r="AN15629">
        <v>15625</v>
      </c>
      <c r="AO15629" s="11">
        <v>20578.77</v>
      </c>
      <c r="AP15629" s="9">
        <v>3.2839565866168483</v>
      </c>
    </row>
    <row r="15630" spans="40:42" x14ac:dyDescent="0.3">
      <c r="AN15630">
        <v>15626</v>
      </c>
      <c r="AO15630" s="11">
        <v>18885.82</v>
      </c>
      <c r="AP15630" s="9">
        <v>3.1872824197312397</v>
      </c>
    </row>
    <row r="15631" spans="40:42" x14ac:dyDescent="0.3">
      <c r="AN15631">
        <v>15627</v>
      </c>
      <c r="AO15631" s="11">
        <v>34281.58</v>
      </c>
      <c r="AP15631" s="9">
        <v>3.0052995263858606</v>
      </c>
    </row>
    <row r="15632" spans="40:42" x14ac:dyDescent="0.3">
      <c r="AN15632">
        <v>15628</v>
      </c>
      <c r="AO15632" s="11">
        <v>34069.32</v>
      </c>
      <c r="AP15632" s="9">
        <v>3.143287222261216</v>
      </c>
    </row>
    <row r="15633" spans="40:42" x14ac:dyDescent="0.3">
      <c r="AN15633">
        <v>15629</v>
      </c>
      <c r="AO15633" s="11">
        <v>24229.42</v>
      </c>
      <c r="AP15633" s="9">
        <v>3.1103446601723634</v>
      </c>
    </row>
    <row r="15634" spans="40:42" x14ac:dyDescent="0.3">
      <c r="AN15634">
        <v>15630</v>
      </c>
      <c r="AO15634" s="11">
        <v>14224.58</v>
      </c>
      <c r="AP15634" s="9">
        <v>3.0550119711057646</v>
      </c>
    </row>
    <row r="15635" spans="40:42" x14ac:dyDescent="0.3">
      <c r="AN15635">
        <v>15631</v>
      </c>
      <c r="AO15635" s="11">
        <v>38642.720000000001</v>
      </c>
      <c r="AP15635" s="9">
        <v>3.6013035286719721</v>
      </c>
    </row>
    <row r="15636" spans="40:42" x14ac:dyDescent="0.3">
      <c r="AN15636">
        <v>15632</v>
      </c>
      <c r="AO15636" s="11">
        <v>21921.22</v>
      </c>
      <c r="AP15636" s="9">
        <v>2.8744664696493416</v>
      </c>
    </row>
    <row r="15637" spans="40:42" x14ac:dyDescent="0.3">
      <c r="AN15637">
        <v>15633</v>
      </c>
      <c r="AO15637" s="11">
        <v>35249.919999999998</v>
      </c>
      <c r="AP15637" s="9">
        <v>3.3245679438102806</v>
      </c>
    </row>
    <row r="15638" spans="40:42" x14ac:dyDescent="0.3">
      <c r="AN15638">
        <v>15634</v>
      </c>
      <c r="AO15638" s="11">
        <v>40052.49</v>
      </c>
      <c r="AP15638" s="9">
        <v>4.0978491901777545</v>
      </c>
    </row>
    <row r="15639" spans="40:42" x14ac:dyDescent="0.3">
      <c r="AN15639">
        <v>15635</v>
      </c>
      <c r="AO15639" s="11">
        <v>16551.099999999999</v>
      </c>
      <c r="AP15639" s="9">
        <v>3.0105431448421021</v>
      </c>
    </row>
    <row r="15640" spans="40:42" x14ac:dyDescent="0.3">
      <c r="AN15640">
        <v>15636</v>
      </c>
      <c r="AO15640" s="11">
        <v>21663.41</v>
      </c>
      <c r="AP15640" s="9">
        <v>3.0368450646011573</v>
      </c>
    </row>
    <row r="15641" spans="40:42" x14ac:dyDescent="0.3">
      <c r="AN15641">
        <v>15637</v>
      </c>
      <c r="AO15641" s="11">
        <v>21022.47</v>
      </c>
      <c r="AP15641" s="9">
        <v>2.6965922608757311</v>
      </c>
    </row>
    <row r="15642" spans="40:42" x14ac:dyDescent="0.3">
      <c r="AN15642">
        <v>15638</v>
      </c>
      <c r="AO15642" s="11">
        <v>39462.629999999997</v>
      </c>
      <c r="AP15642" s="9">
        <v>3.6535870132101929</v>
      </c>
    </row>
    <row r="15643" spans="40:42" x14ac:dyDescent="0.3">
      <c r="AN15643">
        <v>15639</v>
      </c>
      <c r="AO15643" s="11">
        <v>32290.17</v>
      </c>
      <c r="AP15643" s="9">
        <v>3.7776155970847722</v>
      </c>
    </row>
    <row r="15644" spans="40:42" x14ac:dyDescent="0.3">
      <c r="AN15644">
        <v>15640</v>
      </c>
      <c r="AO15644" s="11">
        <v>21145.73</v>
      </c>
      <c r="AP15644" s="9">
        <v>3.1707762588604367</v>
      </c>
    </row>
    <row r="15645" spans="40:42" x14ac:dyDescent="0.3">
      <c r="AN15645">
        <v>15641</v>
      </c>
      <c r="AO15645" s="11">
        <v>23834.71</v>
      </c>
      <c r="AP15645" s="9">
        <v>3.2720052872511896</v>
      </c>
    </row>
    <row r="15646" spans="40:42" x14ac:dyDescent="0.3">
      <c r="AN15646">
        <v>15642</v>
      </c>
      <c r="AO15646" s="11">
        <v>22115.33</v>
      </c>
      <c r="AP15646" s="9">
        <v>3.4463876198255572</v>
      </c>
    </row>
    <row r="15647" spans="40:42" x14ac:dyDescent="0.3">
      <c r="AN15647">
        <v>15643</v>
      </c>
      <c r="AO15647" s="11">
        <v>33320.32</v>
      </c>
      <c r="AP15647" s="9">
        <v>3.064552025558219</v>
      </c>
    </row>
    <row r="15648" spans="40:42" x14ac:dyDescent="0.3">
      <c r="AN15648">
        <v>15644</v>
      </c>
      <c r="AO15648" s="11">
        <v>32973.61</v>
      </c>
      <c r="AP15648" s="9">
        <v>3.3684036797994286</v>
      </c>
    </row>
    <row r="15649" spans="40:42" x14ac:dyDescent="0.3">
      <c r="AN15649">
        <v>15645</v>
      </c>
      <c r="AO15649" s="11">
        <v>20950.75</v>
      </c>
      <c r="AP15649" s="9">
        <v>3.0142085598054771</v>
      </c>
    </row>
    <row r="15650" spans="40:42" x14ac:dyDescent="0.3">
      <c r="AN15650">
        <v>15646</v>
      </c>
      <c r="AO15650" s="11">
        <v>31382.52</v>
      </c>
      <c r="AP15650" s="9">
        <v>3.2897822868888027</v>
      </c>
    </row>
    <row r="15651" spans="40:42" x14ac:dyDescent="0.3">
      <c r="AN15651">
        <v>15647</v>
      </c>
      <c r="AO15651" s="11">
        <v>31220.23</v>
      </c>
      <c r="AP15651" s="9">
        <v>3.6838708354540532</v>
      </c>
    </row>
    <row r="15652" spans="40:42" x14ac:dyDescent="0.3">
      <c r="AN15652">
        <v>15648</v>
      </c>
      <c r="AO15652" s="11">
        <v>18522.41</v>
      </c>
      <c r="AP15652" s="9">
        <v>3.067685585400588</v>
      </c>
    </row>
    <row r="15653" spans="40:42" x14ac:dyDescent="0.3">
      <c r="AN15653">
        <v>15649</v>
      </c>
      <c r="AO15653" s="11">
        <v>18752</v>
      </c>
      <c r="AP15653" s="9">
        <v>3.5605225205143829</v>
      </c>
    </row>
    <row r="15654" spans="40:42" x14ac:dyDescent="0.3">
      <c r="AN15654">
        <v>15650</v>
      </c>
      <c r="AO15654" s="11">
        <v>22112.84</v>
      </c>
      <c r="AP15654" s="9">
        <v>2.9358142283177679</v>
      </c>
    </row>
    <row r="15655" spans="40:42" x14ac:dyDescent="0.3">
      <c r="AN15655">
        <v>15651</v>
      </c>
      <c r="AO15655" s="11">
        <v>25055.16</v>
      </c>
      <c r="AP15655" s="9">
        <v>3.0749550427943384</v>
      </c>
    </row>
    <row r="15656" spans="40:42" x14ac:dyDescent="0.3">
      <c r="AN15656">
        <v>15652</v>
      </c>
      <c r="AO15656" s="11">
        <v>14818.9</v>
      </c>
      <c r="AP15656" s="9">
        <v>3.1397602914362612</v>
      </c>
    </row>
    <row r="15657" spans="40:42" x14ac:dyDescent="0.3">
      <c r="AN15657">
        <v>15653</v>
      </c>
      <c r="AO15657" s="11">
        <v>19560.8</v>
      </c>
      <c r="AP15657" s="9">
        <v>3.9066930180776485</v>
      </c>
    </row>
    <row r="15658" spans="40:42" x14ac:dyDescent="0.3">
      <c r="AN15658">
        <v>15654</v>
      </c>
      <c r="AO15658" s="11">
        <v>29518.86</v>
      </c>
      <c r="AP15658" s="9">
        <v>3.1259430276085163</v>
      </c>
    </row>
    <row r="15659" spans="40:42" x14ac:dyDescent="0.3">
      <c r="AN15659">
        <v>15655</v>
      </c>
      <c r="AO15659" s="11">
        <v>18062.689999999999</v>
      </c>
      <c r="AP15659" s="9">
        <v>3.9098326264784737</v>
      </c>
    </row>
    <row r="15660" spans="40:42" x14ac:dyDescent="0.3">
      <c r="AN15660">
        <v>15656</v>
      </c>
      <c r="AO15660" s="11">
        <v>18019.259999999998</v>
      </c>
      <c r="AP15660" s="9">
        <v>2.7413383926103396</v>
      </c>
    </row>
    <row r="15661" spans="40:42" x14ac:dyDescent="0.3">
      <c r="AN15661">
        <v>15657</v>
      </c>
      <c r="AO15661" s="11">
        <v>31382.720000000001</v>
      </c>
      <c r="AP15661" s="9">
        <v>3.7447620321283801</v>
      </c>
    </row>
    <row r="15662" spans="40:42" x14ac:dyDescent="0.3">
      <c r="AN15662">
        <v>15658</v>
      </c>
      <c r="AO15662" s="11">
        <v>21405.11</v>
      </c>
      <c r="AP15662" s="9">
        <v>3.6899911556116756</v>
      </c>
    </row>
    <row r="15663" spans="40:42" x14ac:dyDescent="0.3">
      <c r="AN15663">
        <v>15659</v>
      </c>
      <c r="AO15663" s="11">
        <v>28340.87</v>
      </c>
      <c r="AP15663" s="9">
        <v>3.6162618866082217</v>
      </c>
    </row>
    <row r="15664" spans="40:42" x14ac:dyDescent="0.3">
      <c r="AN15664">
        <v>15660</v>
      </c>
      <c r="AO15664" s="11">
        <v>20271.2</v>
      </c>
      <c r="AP15664" s="9">
        <v>2.7586069950154095</v>
      </c>
    </row>
    <row r="15665" spans="40:42" x14ac:dyDescent="0.3">
      <c r="AN15665">
        <v>15661</v>
      </c>
      <c r="AO15665" s="11">
        <v>26558.54</v>
      </c>
      <c r="AP15665" s="9">
        <v>4.7108862234618316</v>
      </c>
    </row>
    <row r="15666" spans="40:42" x14ac:dyDescent="0.3">
      <c r="AN15666">
        <v>15662</v>
      </c>
      <c r="AO15666" s="11">
        <v>24600.05</v>
      </c>
      <c r="AP15666" s="9">
        <v>3.8129412751533871</v>
      </c>
    </row>
    <row r="15667" spans="40:42" x14ac:dyDescent="0.3">
      <c r="AN15667">
        <v>15663</v>
      </c>
      <c r="AO15667" s="11">
        <v>25413.25</v>
      </c>
      <c r="AP15667" s="9">
        <v>4.123434465871985</v>
      </c>
    </row>
    <row r="15668" spans="40:42" x14ac:dyDescent="0.3">
      <c r="AN15668">
        <v>15664</v>
      </c>
      <c r="AO15668" s="11">
        <v>30915.26</v>
      </c>
      <c r="AP15668" s="9">
        <v>3.5265828457376909</v>
      </c>
    </row>
    <row r="15669" spans="40:42" x14ac:dyDescent="0.3">
      <c r="AN15669">
        <v>15665</v>
      </c>
      <c r="AO15669" s="11">
        <v>29045.24</v>
      </c>
      <c r="AP15669" s="9">
        <v>3.4578626598977098</v>
      </c>
    </row>
    <row r="15670" spans="40:42" x14ac:dyDescent="0.3">
      <c r="AN15670">
        <v>15666</v>
      </c>
      <c r="AO15670" s="11">
        <v>51947.86</v>
      </c>
      <c r="AP15670" s="9">
        <v>4.4229274865544665</v>
      </c>
    </row>
    <row r="15671" spans="40:42" x14ac:dyDescent="0.3">
      <c r="AN15671">
        <v>15667</v>
      </c>
      <c r="AO15671" s="11">
        <v>19992.009999999998</v>
      </c>
      <c r="AP15671" s="9">
        <v>3.5371913151679322</v>
      </c>
    </row>
    <row r="15672" spans="40:42" x14ac:dyDescent="0.3">
      <c r="AN15672">
        <v>15668</v>
      </c>
      <c r="AO15672" s="11">
        <v>17736.46</v>
      </c>
      <c r="AP15672" s="9">
        <v>2.9236628738934791</v>
      </c>
    </row>
    <row r="15673" spans="40:42" x14ac:dyDescent="0.3">
      <c r="AN15673">
        <v>15669</v>
      </c>
      <c r="AO15673" s="11">
        <v>19061.150000000001</v>
      </c>
      <c r="AP15673" s="9">
        <v>3.5864441320587628</v>
      </c>
    </row>
    <row r="15674" spans="40:42" x14ac:dyDescent="0.3">
      <c r="AN15674">
        <v>15670</v>
      </c>
      <c r="AO15674" s="11">
        <v>36698.49</v>
      </c>
      <c r="AP15674" s="9">
        <v>3.558426116321721</v>
      </c>
    </row>
    <row r="15675" spans="40:42" x14ac:dyDescent="0.3">
      <c r="AN15675">
        <v>15671</v>
      </c>
      <c r="AO15675" s="11">
        <v>37449.760000000002</v>
      </c>
      <c r="AP15675" s="9">
        <v>2.9903253501713847</v>
      </c>
    </row>
    <row r="15676" spans="40:42" x14ac:dyDescent="0.3">
      <c r="AN15676">
        <v>15672</v>
      </c>
      <c r="AO15676" s="11">
        <v>30736.7</v>
      </c>
      <c r="AP15676" s="9">
        <v>3.7083047424539135</v>
      </c>
    </row>
    <row r="15677" spans="40:42" x14ac:dyDescent="0.3">
      <c r="AN15677">
        <v>15673</v>
      </c>
      <c r="AO15677" s="11">
        <v>35096.480000000003</v>
      </c>
      <c r="AP15677" s="9">
        <v>4.029728815849662</v>
      </c>
    </row>
    <row r="15678" spans="40:42" x14ac:dyDescent="0.3">
      <c r="AN15678">
        <v>15674</v>
      </c>
      <c r="AO15678" s="11">
        <v>25719.68</v>
      </c>
      <c r="AP15678" s="9">
        <v>3.2050467134105811</v>
      </c>
    </row>
    <row r="15679" spans="40:42" x14ac:dyDescent="0.3">
      <c r="AN15679">
        <v>15675</v>
      </c>
      <c r="AO15679" s="11">
        <v>43041.77</v>
      </c>
      <c r="AP15679" s="9">
        <v>4.0195696742564238</v>
      </c>
    </row>
    <row r="15680" spans="40:42" x14ac:dyDescent="0.3">
      <c r="AN15680">
        <v>15676</v>
      </c>
      <c r="AO15680" s="11">
        <v>36790.239999999998</v>
      </c>
      <c r="AP15680" s="9">
        <v>3.0873517118544167</v>
      </c>
    </row>
    <row r="15681" spans="40:42" x14ac:dyDescent="0.3">
      <c r="AN15681">
        <v>15677</v>
      </c>
      <c r="AO15681" s="11">
        <v>32255.03</v>
      </c>
      <c r="AP15681" s="9">
        <v>3.7292468241575221</v>
      </c>
    </row>
    <row r="15682" spans="40:42" x14ac:dyDescent="0.3">
      <c r="AN15682">
        <v>15678</v>
      </c>
      <c r="AO15682" s="11">
        <v>21250.54</v>
      </c>
      <c r="AP15682" s="9">
        <v>3.7642870538484852</v>
      </c>
    </row>
    <row r="15683" spans="40:42" x14ac:dyDescent="0.3">
      <c r="AN15683">
        <v>15679</v>
      </c>
      <c r="AO15683" s="11">
        <v>24834.639999999999</v>
      </c>
      <c r="AP15683" s="9">
        <v>3.0782770496781917</v>
      </c>
    </row>
    <row r="15684" spans="40:42" x14ac:dyDescent="0.3">
      <c r="AN15684">
        <v>15680</v>
      </c>
      <c r="AO15684" s="11">
        <v>24048.35</v>
      </c>
      <c r="AP15684" s="9">
        <v>3.0468905603684515</v>
      </c>
    </row>
    <row r="15685" spans="40:42" x14ac:dyDescent="0.3">
      <c r="AN15685">
        <v>15681</v>
      </c>
      <c r="AO15685" s="11">
        <v>26773.61</v>
      </c>
      <c r="AP15685" s="9">
        <v>3.4349684442361683</v>
      </c>
    </row>
    <row r="15686" spans="40:42" x14ac:dyDescent="0.3">
      <c r="AN15686">
        <v>15682</v>
      </c>
      <c r="AO15686" s="11">
        <v>20040.71</v>
      </c>
      <c r="AP15686" s="9">
        <v>3.4177077813703844</v>
      </c>
    </row>
    <row r="15687" spans="40:42" x14ac:dyDescent="0.3">
      <c r="AN15687">
        <v>15683</v>
      </c>
      <c r="AO15687" s="11">
        <v>19379.5</v>
      </c>
      <c r="AP15687" s="9">
        <v>3.2601738608160207</v>
      </c>
    </row>
    <row r="15688" spans="40:42" x14ac:dyDescent="0.3">
      <c r="AN15688">
        <v>15684</v>
      </c>
      <c r="AO15688" s="11">
        <v>29288.3</v>
      </c>
      <c r="AP15688" s="9">
        <v>3.3041568822371206</v>
      </c>
    </row>
    <row r="15689" spans="40:42" x14ac:dyDescent="0.3">
      <c r="AN15689">
        <v>15685</v>
      </c>
      <c r="AO15689" s="11">
        <v>35992.53</v>
      </c>
      <c r="AP15689" s="9">
        <v>3.1081620173282123</v>
      </c>
    </row>
    <row r="15690" spans="40:42" x14ac:dyDescent="0.3">
      <c r="AN15690">
        <v>15686</v>
      </c>
      <c r="AO15690" s="11">
        <v>16778.900000000001</v>
      </c>
      <c r="AP15690" s="9">
        <v>3.2948683397672349</v>
      </c>
    </row>
    <row r="15691" spans="40:42" x14ac:dyDescent="0.3">
      <c r="AN15691">
        <v>15687</v>
      </c>
      <c r="AO15691" s="11">
        <v>33365.26</v>
      </c>
      <c r="AP15691" s="9">
        <v>3.5911239454361938</v>
      </c>
    </row>
    <row r="15692" spans="40:42" x14ac:dyDescent="0.3">
      <c r="AN15692">
        <v>15688</v>
      </c>
      <c r="AO15692" s="11">
        <v>22811.85</v>
      </c>
      <c r="AP15692" s="9">
        <v>3.7763577237150869</v>
      </c>
    </row>
    <row r="15693" spans="40:42" x14ac:dyDescent="0.3">
      <c r="AN15693">
        <v>15689</v>
      </c>
      <c r="AO15693" s="11">
        <v>39726.36</v>
      </c>
      <c r="AP15693" s="9">
        <v>3.2395468288780456</v>
      </c>
    </row>
    <row r="15694" spans="40:42" x14ac:dyDescent="0.3">
      <c r="AN15694">
        <v>15690</v>
      </c>
      <c r="AO15694" s="11">
        <v>19719.11</v>
      </c>
      <c r="AP15694" s="9">
        <v>3.1176177580704239</v>
      </c>
    </row>
    <row r="15695" spans="40:42" x14ac:dyDescent="0.3">
      <c r="AN15695">
        <v>15691</v>
      </c>
      <c r="AO15695" s="11">
        <v>19331.990000000002</v>
      </c>
      <c r="AP15695" s="9">
        <v>2.9758689184492813</v>
      </c>
    </row>
    <row r="15696" spans="40:42" x14ac:dyDescent="0.3">
      <c r="AN15696">
        <v>15692</v>
      </c>
      <c r="AO15696" s="11">
        <v>21057.34</v>
      </c>
      <c r="AP15696" s="9">
        <v>3.1250398658498373</v>
      </c>
    </row>
    <row r="15697" spans="40:42" x14ac:dyDescent="0.3">
      <c r="AN15697">
        <v>15693</v>
      </c>
      <c r="AO15697" s="11">
        <v>34951.08</v>
      </c>
      <c r="AP15697" s="9">
        <v>4.303914549206179</v>
      </c>
    </row>
    <row r="15698" spans="40:42" x14ac:dyDescent="0.3">
      <c r="AN15698">
        <v>15694</v>
      </c>
      <c r="AO15698" s="11">
        <v>36341.769999999997</v>
      </c>
      <c r="AP15698" s="9">
        <v>3.5054271856187609</v>
      </c>
    </row>
    <row r="15699" spans="40:42" x14ac:dyDescent="0.3">
      <c r="AN15699">
        <v>15695</v>
      </c>
      <c r="AO15699" s="11">
        <v>38954.089999999997</v>
      </c>
      <c r="AP15699" s="9">
        <v>3.7081759098554454</v>
      </c>
    </row>
    <row r="15700" spans="40:42" x14ac:dyDescent="0.3">
      <c r="AN15700">
        <v>15696</v>
      </c>
      <c r="AO15700" s="11">
        <v>22350.240000000002</v>
      </c>
      <c r="AP15700" s="9">
        <v>3.3605662729495478</v>
      </c>
    </row>
    <row r="15701" spans="40:42" x14ac:dyDescent="0.3">
      <c r="AN15701">
        <v>15697</v>
      </c>
      <c r="AO15701" s="11">
        <v>30646.75</v>
      </c>
      <c r="AP15701" s="9">
        <v>3.0232546728106158</v>
      </c>
    </row>
    <row r="15702" spans="40:42" x14ac:dyDescent="0.3">
      <c r="AN15702">
        <v>15698</v>
      </c>
      <c r="AO15702" s="11">
        <v>20276.7</v>
      </c>
      <c r="AP15702" s="9">
        <v>3.1885990500854042</v>
      </c>
    </row>
    <row r="15703" spans="40:42" x14ac:dyDescent="0.3">
      <c r="AN15703">
        <v>15699</v>
      </c>
      <c r="AO15703" s="11">
        <v>19719.099999999999</v>
      </c>
      <c r="AP15703" s="9">
        <v>3.3098891579807033</v>
      </c>
    </row>
    <row r="15704" spans="40:42" x14ac:dyDescent="0.3">
      <c r="AN15704">
        <v>15700</v>
      </c>
      <c r="AO15704" s="11">
        <v>41394.1</v>
      </c>
      <c r="AP15704" s="9">
        <v>3.636194718030223</v>
      </c>
    </row>
    <row r="15705" spans="40:42" x14ac:dyDescent="0.3">
      <c r="AN15705">
        <v>15701</v>
      </c>
      <c r="AO15705" s="11">
        <v>38003.980000000003</v>
      </c>
      <c r="AP15705" s="9">
        <v>3.9827098025983694</v>
      </c>
    </row>
    <row r="15706" spans="40:42" x14ac:dyDescent="0.3">
      <c r="AN15706">
        <v>15702</v>
      </c>
      <c r="AO15706" s="11">
        <v>17333.2</v>
      </c>
      <c r="AP15706" s="9">
        <v>2.793679244767862</v>
      </c>
    </row>
    <row r="15707" spans="40:42" x14ac:dyDescent="0.3">
      <c r="AN15707">
        <v>15703</v>
      </c>
      <c r="AO15707" s="11">
        <v>26547.89</v>
      </c>
      <c r="AP15707" s="9">
        <v>3.1542116824302697</v>
      </c>
    </row>
    <row r="15708" spans="40:42" x14ac:dyDescent="0.3">
      <c r="AN15708">
        <v>15704</v>
      </c>
      <c r="AO15708" s="11">
        <v>27077.360000000001</v>
      </c>
      <c r="AP15708" s="9">
        <v>3.5402852414258001</v>
      </c>
    </row>
    <row r="15709" spans="40:42" x14ac:dyDescent="0.3">
      <c r="AN15709">
        <v>15705</v>
      </c>
      <c r="AO15709" s="11">
        <v>22168.07</v>
      </c>
      <c r="AP15709" s="9">
        <v>3.2302844935993114</v>
      </c>
    </row>
    <row r="15710" spans="40:42" x14ac:dyDescent="0.3">
      <c r="AN15710">
        <v>15706</v>
      </c>
      <c r="AO15710" s="11">
        <v>20108.87</v>
      </c>
      <c r="AP15710" s="9">
        <v>2.9286398721042848</v>
      </c>
    </row>
    <row r="15711" spans="40:42" x14ac:dyDescent="0.3">
      <c r="AN15711">
        <v>15707</v>
      </c>
      <c r="AO15711" s="11">
        <v>17805.95</v>
      </c>
      <c r="AP15711" s="9">
        <v>3.4564639500163614</v>
      </c>
    </row>
    <row r="15712" spans="40:42" x14ac:dyDescent="0.3">
      <c r="AN15712">
        <v>15708</v>
      </c>
      <c r="AO15712" s="11">
        <v>36326.879999999997</v>
      </c>
      <c r="AP15712" s="9">
        <v>3.4023869053943301</v>
      </c>
    </row>
    <row r="15713" spans="40:42" x14ac:dyDescent="0.3">
      <c r="AN15713">
        <v>15709</v>
      </c>
      <c r="AO15713" s="11">
        <v>26932.76</v>
      </c>
      <c r="AP15713" s="9">
        <v>2.9019999521117197</v>
      </c>
    </row>
    <row r="15714" spans="40:42" x14ac:dyDescent="0.3">
      <c r="AN15714">
        <v>15710</v>
      </c>
      <c r="AO15714" s="11">
        <v>38654.959999999999</v>
      </c>
      <c r="AP15714" s="9">
        <v>3.3063290903387745</v>
      </c>
    </row>
    <row r="15715" spans="40:42" x14ac:dyDescent="0.3">
      <c r="AN15715">
        <v>15711</v>
      </c>
      <c r="AO15715" s="11">
        <v>36800.47</v>
      </c>
      <c r="AP15715" s="9">
        <v>3.3714045552625378</v>
      </c>
    </row>
    <row r="15716" spans="40:42" x14ac:dyDescent="0.3">
      <c r="AN15716">
        <v>15712</v>
      </c>
      <c r="AO15716" s="11">
        <v>24565.55</v>
      </c>
      <c r="AP15716" s="9">
        <v>3.2965560457765659</v>
      </c>
    </row>
    <row r="15717" spans="40:42" x14ac:dyDescent="0.3">
      <c r="AN15717">
        <v>15713</v>
      </c>
      <c r="AO15717" s="11">
        <v>26603.64</v>
      </c>
      <c r="AP15717" s="9">
        <v>2.9216184214823517</v>
      </c>
    </row>
    <row r="15718" spans="40:42" x14ac:dyDescent="0.3">
      <c r="AN15718">
        <v>15714</v>
      </c>
      <c r="AO15718" s="11">
        <v>25069.43</v>
      </c>
      <c r="AP15718" s="9">
        <v>3.6630273215589786</v>
      </c>
    </row>
    <row r="15719" spans="40:42" x14ac:dyDescent="0.3">
      <c r="AN15719">
        <v>15715</v>
      </c>
      <c r="AO15719" s="11">
        <v>43270.559999999998</v>
      </c>
      <c r="AP15719" s="9">
        <v>3.4223545501341803</v>
      </c>
    </row>
    <row r="15720" spans="40:42" x14ac:dyDescent="0.3">
      <c r="AN15720">
        <v>15716</v>
      </c>
      <c r="AO15720" s="11">
        <v>41129.300000000003</v>
      </c>
      <c r="AP15720" s="9">
        <v>3.3560481713521599</v>
      </c>
    </row>
    <row r="15721" spans="40:42" x14ac:dyDescent="0.3">
      <c r="AN15721">
        <v>15717</v>
      </c>
      <c r="AO15721" s="11">
        <v>22514.53</v>
      </c>
      <c r="AP15721" s="9">
        <v>3.0324754100413176</v>
      </c>
    </row>
    <row r="15722" spans="40:42" x14ac:dyDescent="0.3">
      <c r="AN15722">
        <v>15718</v>
      </c>
      <c r="AO15722" s="11">
        <v>17628.490000000002</v>
      </c>
      <c r="AP15722" s="9">
        <v>3.1977883574905772</v>
      </c>
    </row>
    <row r="15723" spans="40:42" x14ac:dyDescent="0.3">
      <c r="AN15723">
        <v>15719</v>
      </c>
      <c r="AO15723" s="11">
        <v>41234.97</v>
      </c>
      <c r="AP15723" s="9">
        <v>3.7535446398917838</v>
      </c>
    </row>
    <row r="15724" spans="40:42" x14ac:dyDescent="0.3">
      <c r="AN15724">
        <v>15720</v>
      </c>
      <c r="AO15724" s="11">
        <v>18135.939999999999</v>
      </c>
      <c r="AP15724" s="9">
        <v>3.4079339081767355</v>
      </c>
    </row>
    <row r="15725" spans="40:42" x14ac:dyDescent="0.3">
      <c r="AN15725">
        <v>15721</v>
      </c>
      <c r="AO15725" s="11">
        <v>20346.740000000002</v>
      </c>
      <c r="AP15725" s="9">
        <v>2.9907880476677016</v>
      </c>
    </row>
    <row r="15726" spans="40:42" x14ac:dyDescent="0.3">
      <c r="AN15726">
        <v>15722</v>
      </c>
      <c r="AO15726" s="11">
        <v>25655.85</v>
      </c>
      <c r="AP15726" s="9">
        <v>3.815947019915908</v>
      </c>
    </row>
    <row r="15727" spans="40:42" x14ac:dyDescent="0.3">
      <c r="AN15727">
        <v>15723</v>
      </c>
      <c r="AO15727" s="11">
        <v>32491.18</v>
      </c>
      <c r="AP15727" s="9">
        <v>3.0816400253149387</v>
      </c>
    </row>
    <row r="15728" spans="40:42" x14ac:dyDescent="0.3">
      <c r="AN15728">
        <v>15724</v>
      </c>
      <c r="AO15728" s="11">
        <v>42759.29</v>
      </c>
      <c r="AP15728" s="9">
        <v>3.655638162747509</v>
      </c>
    </row>
    <row r="15729" spans="40:42" x14ac:dyDescent="0.3">
      <c r="AN15729">
        <v>15725</v>
      </c>
      <c r="AO15729" s="11">
        <v>25886.240000000002</v>
      </c>
      <c r="AP15729" s="9">
        <v>2.6415469755738945</v>
      </c>
    </row>
    <row r="15730" spans="40:42" x14ac:dyDescent="0.3">
      <c r="AN15730">
        <v>15726</v>
      </c>
      <c r="AO15730" s="11">
        <v>27067.14</v>
      </c>
      <c r="AP15730" s="9">
        <v>3.2492562673943315</v>
      </c>
    </row>
    <row r="15731" spans="40:42" x14ac:dyDescent="0.3">
      <c r="AN15731">
        <v>15727</v>
      </c>
      <c r="AO15731" s="11">
        <v>30639.18</v>
      </c>
      <c r="AP15731" s="9">
        <v>3.25861561166256</v>
      </c>
    </row>
    <row r="15732" spans="40:42" x14ac:dyDescent="0.3">
      <c r="AN15732">
        <v>15728</v>
      </c>
      <c r="AO15732" s="11">
        <v>29286.86</v>
      </c>
      <c r="AP15732" s="9">
        <v>3.5387763606562981</v>
      </c>
    </row>
    <row r="15733" spans="40:42" x14ac:dyDescent="0.3">
      <c r="AN15733">
        <v>15729</v>
      </c>
      <c r="AO15733" s="11">
        <v>26433.73</v>
      </c>
      <c r="AP15733" s="9">
        <v>3.2176882545236802</v>
      </c>
    </row>
    <row r="15734" spans="40:42" x14ac:dyDescent="0.3">
      <c r="AN15734">
        <v>15730</v>
      </c>
      <c r="AO15734" s="11">
        <v>28672.81</v>
      </c>
      <c r="AP15734" s="9">
        <v>3.0806724535748051</v>
      </c>
    </row>
    <row r="15735" spans="40:42" x14ac:dyDescent="0.3">
      <c r="AN15735">
        <v>15731</v>
      </c>
      <c r="AO15735" s="11">
        <v>26395.599999999999</v>
      </c>
      <c r="AP15735" s="9">
        <v>3.1546477879961872</v>
      </c>
    </row>
    <row r="15736" spans="40:42" x14ac:dyDescent="0.3">
      <c r="AN15736">
        <v>15732</v>
      </c>
      <c r="AO15736" s="11">
        <v>31306.77</v>
      </c>
      <c r="AP15736" s="9">
        <v>4.0621404424991612</v>
      </c>
    </row>
    <row r="15737" spans="40:42" x14ac:dyDescent="0.3">
      <c r="AN15737">
        <v>15733</v>
      </c>
      <c r="AO15737" s="11">
        <v>14502.18</v>
      </c>
      <c r="AP15737" s="9">
        <v>3.079767146508956</v>
      </c>
    </row>
    <row r="15738" spans="40:42" x14ac:dyDescent="0.3">
      <c r="AN15738">
        <v>15734</v>
      </c>
      <c r="AO15738" s="11">
        <v>29651.360000000001</v>
      </c>
      <c r="AP15738" s="9">
        <v>3.7532608029648835</v>
      </c>
    </row>
    <row r="15739" spans="40:42" x14ac:dyDescent="0.3">
      <c r="AN15739">
        <v>15735</v>
      </c>
      <c r="AO15739" s="11">
        <v>18278.080000000002</v>
      </c>
      <c r="AP15739" s="9">
        <v>3.1657107380463785</v>
      </c>
    </row>
    <row r="15740" spans="40:42" x14ac:dyDescent="0.3">
      <c r="AN15740">
        <v>15736</v>
      </c>
      <c r="AO15740" s="11">
        <v>22861.93</v>
      </c>
      <c r="AP15740" s="9">
        <v>3.5058529740208639</v>
      </c>
    </row>
    <row r="15741" spans="40:42" x14ac:dyDescent="0.3">
      <c r="AN15741">
        <v>15737</v>
      </c>
      <c r="AO15741" s="11">
        <v>21693.06</v>
      </c>
      <c r="AP15741" s="9">
        <v>3.4933547926399031</v>
      </c>
    </row>
    <row r="15742" spans="40:42" x14ac:dyDescent="0.3">
      <c r="AN15742">
        <v>15738</v>
      </c>
      <c r="AO15742" s="11">
        <v>40512.03</v>
      </c>
      <c r="AP15742" s="9">
        <v>3.5692161838264935</v>
      </c>
    </row>
    <row r="15743" spans="40:42" x14ac:dyDescent="0.3">
      <c r="AN15743">
        <v>15739</v>
      </c>
      <c r="AO15743" s="11">
        <v>29591.56</v>
      </c>
      <c r="AP15743" s="9">
        <v>3.0074656318587114</v>
      </c>
    </row>
    <row r="15744" spans="40:42" x14ac:dyDescent="0.3">
      <c r="AN15744">
        <v>15740</v>
      </c>
      <c r="AO15744" s="11">
        <v>27801.439999999999</v>
      </c>
      <c r="AP15744" s="9">
        <v>3.6907348808990728</v>
      </c>
    </row>
    <row r="15745" spans="40:42" x14ac:dyDescent="0.3">
      <c r="AN15745">
        <v>15741</v>
      </c>
      <c r="AO15745" s="11">
        <v>31367.74</v>
      </c>
      <c r="AP15745" s="9">
        <v>4.3055029365505257</v>
      </c>
    </row>
    <row r="15746" spans="40:42" x14ac:dyDescent="0.3">
      <c r="AN15746">
        <v>15742</v>
      </c>
      <c r="AO15746" s="11">
        <v>16675.18</v>
      </c>
      <c r="AP15746" s="9">
        <v>3.3158644536943052</v>
      </c>
    </row>
    <row r="15747" spans="40:42" x14ac:dyDescent="0.3">
      <c r="AN15747">
        <v>15743</v>
      </c>
      <c r="AO15747" s="11">
        <v>40952.050000000003</v>
      </c>
      <c r="AP15747" s="9">
        <v>4.0480573684147796</v>
      </c>
    </row>
    <row r="15748" spans="40:42" x14ac:dyDescent="0.3">
      <c r="AN15748">
        <v>15744</v>
      </c>
      <c r="AO15748" s="11">
        <v>23132.05</v>
      </c>
      <c r="AP15748" s="9">
        <v>3.2570635469008993</v>
      </c>
    </row>
    <row r="15749" spans="40:42" x14ac:dyDescent="0.3">
      <c r="AN15749">
        <v>15745</v>
      </c>
      <c r="AO15749" s="11">
        <v>31171.45</v>
      </c>
      <c r="AP15749" s="9">
        <v>2.7873847837168175</v>
      </c>
    </row>
    <row r="15750" spans="40:42" x14ac:dyDescent="0.3">
      <c r="AN15750">
        <v>15746</v>
      </c>
      <c r="AO15750" s="11">
        <v>21346.67</v>
      </c>
      <c r="AP15750" s="9">
        <v>3.3323253409692835</v>
      </c>
    </row>
    <row r="15751" spans="40:42" x14ac:dyDescent="0.3">
      <c r="AN15751">
        <v>15747</v>
      </c>
      <c r="AO15751" s="11">
        <v>26662.06</v>
      </c>
      <c r="AP15751" s="9">
        <v>4.1907123466603924</v>
      </c>
    </row>
    <row r="15752" spans="40:42" x14ac:dyDescent="0.3">
      <c r="AN15752">
        <v>15748</v>
      </c>
      <c r="AO15752" s="11">
        <v>35639.78</v>
      </c>
      <c r="AP15752" s="9">
        <v>3.4005226838616851</v>
      </c>
    </row>
    <row r="15753" spans="40:42" x14ac:dyDescent="0.3">
      <c r="AN15753">
        <v>15749</v>
      </c>
      <c r="AO15753" s="11">
        <v>35004.78</v>
      </c>
      <c r="AP15753" s="9">
        <v>4.1267511204686986</v>
      </c>
    </row>
    <row r="15754" spans="40:42" x14ac:dyDescent="0.3">
      <c r="AN15754">
        <v>15750</v>
      </c>
      <c r="AO15754" s="11">
        <v>20455.62</v>
      </c>
      <c r="AP15754" s="9">
        <v>2.994918600899295</v>
      </c>
    </row>
    <row r="15755" spans="40:42" x14ac:dyDescent="0.3">
      <c r="AN15755">
        <v>15751</v>
      </c>
      <c r="AO15755" s="11">
        <v>30912.76</v>
      </c>
      <c r="AP15755" s="9">
        <v>3.5355105217422711</v>
      </c>
    </row>
    <row r="15756" spans="40:42" x14ac:dyDescent="0.3">
      <c r="AN15756">
        <v>15752</v>
      </c>
      <c r="AO15756" s="11">
        <v>20072.580000000002</v>
      </c>
      <c r="AP15756" s="9">
        <v>2.9160295510636915</v>
      </c>
    </row>
    <row r="15757" spans="40:42" x14ac:dyDescent="0.3">
      <c r="AN15757">
        <v>15753</v>
      </c>
      <c r="AO15757" s="11">
        <v>24561.79</v>
      </c>
      <c r="AP15757" s="9">
        <v>3.7903291848462501</v>
      </c>
    </row>
    <row r="15758" spans="40:42" x14ac:dyDescent="0.3">
      <c r="AN15758">
        <v>15754</v>
      </c>
      <c r="AO15758" s="11">
        <v>32991.699999999997</v>
      </c>
      <c r="AP15758" s="9">
        <v>3.7912953575721877</v>
      </c>
    </row>
    <row r="15759" spans="40:42" x14ac:dyDescent="0.3">
      <c r="AN15759">
        <v>15755</v>
      </c>
      <c r="AO15759" s="11">
        <v>26708.84</v>
      </c>
      <c r="AP15759" s="9">
        <v>3.5528816902037619</v>
      </c>
    </row>
    <row r="15760" spans="40:42" x14ac:dyDescent="0.3">
      <c r="AN15760">
        <v>15756</v>
      </c>
      <c r="AO15760" s="11">
        <v>29721.17</v>
      </c>
      <c r="AP15760" s="9">
        <v>3.8042816225626597</v>
      </c>
    </row>
    <row r="15761" spans="40:42" x14ac:dyDescent="0.3">
      <c r="AN15761">
        <v>15757</v>
      </c>
      <c r="AO15761" s="11">
        <v>29123.56</v>
      </c>
      <c r="AP15761" s="9">
        <v>3.5169257283860764</v>
      </c>
    </row>
    <row r="15762" spans="40:42" x14ac:dyDescent="0.3">
      <c r="AN15762">
        <v>15758</v>
      </c>
      <c r="AO15762" s="11">
        <v>34577.78</v>
      </c>
      <c r="AP15762" s="9">
        <v>3.6656551102129056</v>
      </c>
    </row>
    <row r="15763" spans="40:42" x14ac:dyDescent="0.3">
      <c r="AN15763">
        <v>15759</v>
      </c>
      <c r="AO15763" s="11">
        <v>20356.5</v>
      </c>
      <c r="AP15763" s="9">
        <v>3.1651731980405153</v>
      </c>
    </row>
    <row r="15764" spans="40:42" x14ac:dyDescent="0.3">
      <c r="AN15764">
        <v>15760</v>
      </c>
      <c r="AO15764" s="11">
        <v>32592.99</v>
      </c>
      <c r="AP15764" s="9">
        <v>3.8529687274990585</v>
      </c>
    </row>
    <row r="15765" spans="40:42" x14ac:dyDescent="0.3">
      <c r="AN15765">
        <v>15761</v>
      </c>
      <c r="AO15765" s="11">
        <v>27458.41</v>
      </c>
      <c r="AP15765" s="9">
        <v>3.110231216932779</v>
      </c>
    </row>
    <row r="15766" spans="40:42" x14ac:dyDescent="0.3">
      <c r="AN15766">
        <v>15762</v>
      </c>
      <c r="AO15766" s="11">
        <v>32738.720000000001</v>
      </c>
      <c r="AP15766" s="9">
        <v>3.3649344949750328</v>
      </c>
    </row>
    <row r="15767" spans="40:42" x14ac:dyDescent="0.3">
      <c r="AN15767">
        <v>15763</v>
      </c>
      <c r="AO15767" s="11">
        <v>18924.060000000001</v>
      </c>
      <c r="AP15767" s="9">
        <v>3.1482286500975878</v>
      </c>
    </row>
    <row r="15768" spans="40:42" x14ac:dyDescent="0.3">
      <c r="AN15768">
        <v>15764</v>
      </c>
      <c r="AO15768" s="11">
        <v>31736.02</v>
      </c>
      <c r="AP15768" s="9">
        <v>3.0049384853472469</v>
      </c>
    </row>
    <row r="15769" spans="40:42" x14ac:dyDescent="0.3">
      <c r="AN15769">
        <v>15765</v>
      </c>
      <c r="AO15769" s="11">
        <v>30149.5</v>
      </c>
      <c r="AP15769" s="9">
        <v>3.2483304213460955</v>
      </c>
    </row>
    <row r="15770" spans="40:42" x14ac:dyDescent="0.3">
      <c r="AN15770">
        <v>15766</v>
      </c>
      <c r="AO15770" s="11">
        <v>43192.26</v>
      </c>
      <c r="AP15770" s="9">
        <v>3.3552874010527303</v>
      </c>
    </row>
    <row r="15771" spans="40:42" x14ac:dyDescent="0.3">
      <c r="AN15771">
        <v>15767</v>
      </c>
      <c r="AO15771" s="11">
        <v>22784.63</v>
      </c>
      <c r="AP15771" s="9">
        <v>3.050706351603365</v>
      </c>
    </row>
    <row r="15772" spans="40:42" x14ac:dyDescent="0.3">
      <c r="AN15772">
        <v>15768</v>
      </c>
      <c r="AO15772" s="11">
        <v>41828.22</v>
      </c>
      <c r="AP15772" s="9">
        <v>3.4885553983493911</v>
      </c>
    </row>
    <row r="15773" spans="40:42" x14ac:dyDescent="0.3">
      <c r="AN15773">
        <v>15769</v>
      </c>
      <c r="AO15773" s="11">
        <v>36943.730000000003</v>
      </c>
      <c r="AP15773" s="9">
        <v>3.6325729225018439</v>
      </c>
    </row>
    <row r="15774" spans="40:42" x14ac:dyDescent="0.3">
      <c r="AN15774">
        <v>15770</v>
      </c>
      <c r="AO15774" s="11">
        <v>40087.06</v>
      </c>
      <c r="AP15774" s="9">
        <v>3.6904302259799762</v>
      </c>
    </row>
    <row r="15775" spans="40:42" x14ac:dyDescent="0.3">
      <c r="AN15775">
        <v>15771</v>
      </c>
      <c r="AO15775" s="11">
        <v>44167.19</v>
      </c>
      <c r="AP15775" s="9">
        <v>3.6563772940387387</v>
      </c>
    </row>
    <row r="15776" spans="40:42" x14ac:dyDescent="0.3">
      <c r="AN15776">
        <v>15772</v>
      </c>
      <c r="AO15776" s="11">
        <v>28076.1</v>
      </c>
      <c r="AP15776" s="9">
        <v>3.5028299648751346</v>
      </c>
    </row>
    <row r="15777" spans="40:42" x14ac:dyDescent="0.3">
      <c r="AN15777">
        <v>15773</v>
      </c>
      <c r="AO15777" s="11">
        <v>32601.06</v>
      </c>
      <c r="AP15777" s="9">
        <v>4.0712846930167244</v>
      </c>
    </row>
    <row r="15778" spans="40:42" x14ac:dyDescent="0.3">
      <c r="AN15778">
        <v>15774</v>
      </c>
      <c r="AO15778" s="11">
        <v>22489.03</v>
      </c>
      <c r="AP15778" s="9">
        <v>3.0619319943935506</v>
      </c>
    </row>
    <row r="15779" spans="40:42" x14ac:dyDescent="0.3">
      <c r="AN15779">
        <v>15775</v>
      </c>
      <c r="AO15779" s="11">
        <v>28318.48</v>
      </c>
      <c r="AP15779" s="9">
        <v>3.847580675322658</v>
      </c>
    </row>
    <row r="15780" spans="40:42" x14ac:dyDescent="0.3">
      <c r="AN15780">
        <v>15776</v>
      </c>
      <c r="AO15780" s="11">
        <v>32101.74</v>
      </c>
      <c r="AP15780" s="9">
        <v>3.4770166645665053</v>
      </c>
    </row>
    <row r="15781" spans="40:42" x14ac:dyDescent="0.3">
      <c r="AN15781">
        <v>15777</v>
      </c>
      <c r="AO15781" s="11">
        <v>23555.57</v>
      </c>
      <c r="AP15781" s="9">
        <v>3.070694409249441</v>
      </c>
    </row>
    <row r="15782" spans="40:42" x14ac:dyDescent="0.3">
      <c r="AN15782">
        <v>15778</v>
      </c>
      <c r="AO15782" s="11">
        <v>28908.52</v>
      </c>
      <c r="AP15782" s="9">
        <v>3.2573309379186401</v>
      </c>
    </row>
    <row r="15783" spans="40:42" x14ac:dyDescent="0.3">
      <c r="AN15783">
        <v>15779</v>
      </c>
      <c r="AO15783" s="11">
        <v>33294.04</v>
      </c>
      <c r="AP15783" s="9">
        <v>3.9493284394169406</v>
      </c>
    </row>
    <row r="15784" spans="40:42" x14ac:dyDescent="0.3">
      <c r="AN15784">
        <v>15780</v>
      </c>
      <c r="AO15784" s="11">
        <v>25175.23</v>
      </c>
      <c r="AP15784" s="9">
        <v>3.4191471214223319</v>
      </c>
    </row>
    <row r="15785" spans="40:42" x14ac:dyDescent="0.3">
      <c r="AN15785">
        <v>15781</v>
      </c>
      <c r="AO15785" s="11">
        <v>15336.64</v>
      </c>
      <c r="AP15785" s="9">
        <v>3.1118228448389376</v>
      </c>
    </row>
    <row r="15786" spans="40:42" x14ac:dyDescent="0.3">
      <c r="AN15786">
        <v>15782</v>
      </c>
      <c r="AO15786" s="11">
        <v>24597.4</v>
      </c>
      <c r="AP15786" s="9">
        <v>3.5525662353879235</v>
      </c>
    </row>
    <row r="15787" spans="40:42" x14ac:dyDescent="0.3">
      <c r="AN15787">
        <v>15783</v>
      </c>
      <c r="AO15787" s="11">
        <v>29510.17</v>
      </c>
      <c r="AP15787" s="9">
        <v>3.7147571145402027</v>
      </c>
    </row>
    <row r="15788" spans="40:42" x14ac:dyDescent="0.3">
      <c r="AN15788">
        <v>15784</v>
      </c>
      <c r="AO15788" s="11">
        <v>26773.25</v>
      </c>
      <c r="AP15788" s="9">
        <v>3.6226062760118816</v>
      </c>
    </row>
    <row r="15789" spans="40:42" x14ac:dyDescent="0.3">
      <c r="AN15789">
        <v>15785</v>
      </c>
      <c r="AO15789" s="11">
        <v>33951.31</v>
      </c>
      <c r="AP15789" s="9">
        <v>3.4226492795235282</v>
      </c>
    </row>
    <row r="15790" spans="40:42" x14ac:dyDescent="0.3">
      <c r="AN15790">
        <v>15786</v>
      </c>
      <c r="AO15790" s="11">
        <v>25445.26</v>
      </c>
      <c r="AP15790" s="9">
        <v>3.7219231133381796</v>
      </c>
    </row>
    <row r="15791" spans="40:42" x14ac:dyDescent="0.3">
      <c r="AN15791">
        <v>15787</v>
      </c>
      <c r="AO15791" s="11">
        <v>17288.650000000001</v>
      </c>
      <c r="AP15791" s="9">
        <v>3.1845385463900659</v>
      </c>
    </row>
    <row r="15792" spans="40:42" x14ac:dyDescent="0.3">
      <c r="AN15792">
        <v>15788</v>
      </c>
      <c r="AO15792" s="11">
        <v>14826.06</v>
      </c>
      <c r="AP15792" s="9">
        <v>3.4401063022096126</v>
      </c>
    </row>
    <row r="15793" spans="40:42" x14ac:dyDescent="0.3">
      <c r="AN15793">
        <v>15789</v>
      </c>
      <c r="AO15793" s="11">
        <v>28200.41</v>
      </c>
      <c r="AP15793" s="9">
        <v>3.5583470734969787</v>
      </c>
    </row>
    <row r="15794" spans="40:42" x14ac:dyDescent="0.3">
      <c r="AN15794">
        <v>15790</v>
      </c>
      <c r="AO15794" s="11">
        <v>30879.29</v>
      </c>
      <c r="AP15794" s="9">
        <v>3.2970952961016606</v>
      </c>
    </row>
    <row r="15795" spans="40:42" x14ac:dyDescent="0.3">
      <c r="AN15795">
        <v>15791</v>
      </c>
      <c r="AO15795" s="11">
        <v>26855</v>
      </c>
      <c r="AP15795" s="9">
        <v>3.3489469614684584</v>
      </c>
    </row>
    <row r="15796" spans="40:42" x14ac:dyDescent="0.3">
      <c r="AN15796">
        <v>15792</v>
      </c>
      <c r="AO15796" s="11">
        <v>32538.78</v>
      </c>
      <c r="AP15796" s="9">
        <v>3.6342957178854207</v>
      </c>
    </row>
    <row r="15797" spans="40:42" x14ac:dyDescent="0.3">
      <c r="AN15797">
        <v>15793</v>
      </c>
      <c r="AO15797" s="11">
        <v>34162.29</v>
      </c>
      <c r="AP15797" s="9">
        <v>3.5162571886914527</v>
      </c>
    </row>
    <row r="15798" spans="40:42" x14ac:dyDescent="0.3">
      <c r="AN15798">
        <v>15794</v>
      </c>
      <c r="AO15798" s="11">
        <v>24282.83</v>
      </c>
      <c r="AP15798" s="9">
        <v>3.6135829566881719</v>
      </c>
    </row>
    <row r="15799" spans="40:42" x14ac:dyDescent="0.3">
      <c r="AN15799">
        <v>15795</v>
      </c>
      <c r="AO15799" s="11">
        <v>21997.53</v>
      </c>
      <c r="AP15799" s="9">
        <v>3.2192837978405264</v>
      </c>
    </row>
    <row r="15800" spans="40:42" x14ac:dyDescent="0.3">
      <c r="AN15800">
        <v>15796</v>
      </c>
      <c r="AO15800" s="11">
        <v>22134.83</v>
      </c>
      <c r="AP15800" s="9">
        <v>3.3867278849190829</v>
      </c>
    </row>
    <row r="15801" spans="40:42" x14ac:dyDescent="0.3">
      <c r="AN15801">
        <v>15797</v>
      </c>
      <c r="AO15801" s="11">
        <v>23383.69</v>
      </c>
      <c r="AP15801" s="9">
        <v>3.1199835102953677</v>
      </c>
    </row>
    <row r="15802" spans="40:42" x14ac:dyDescent="0.3">
      <c r="AN15802">
        <v>15798</v>
      </c>
      <c r="AO15802" s="11">
        <v>23078.31</v>
      </c>
      <c r="AP15802" s="9">
        <v>3.4060444441697597</v>
      </c>
    </row>
    <row r="15803" spans="40:42" x14ac:dyDescent="0.3">
      <c r="AN15803">
        <v>15799</v>
      </c>
      <c r="AO15803" s="11">
        <v>29403.08</v>
      </c>
      <c r="AP15803" s="9">
        <v>2.8259931536375911</v>
      </c>
    </row>
    <row r="15804" spans="40:42" x14ac:dyDescent="0.3">
      <c r="AN15804">
        <v>15800</v>
      </c>
      <c r="AO15804" s="11">
        <v>22641.88</v>
      </c>
      <c r="AP15804" s="9">
        <v>3.3817056164819501</v>
      </c>
    </row>
    <row r="15805" spans="40:42" x14ac:dyDescent="0.3">
      <c r="AN15805">
        <v>15801</v>
      </c>
      <c r="AO15805" s="11">
        <v>30298.53</v>
      </c>
      <c r="AP15805" s="9">
        <v>3.2067892135151368</v>
      </c>
    </row>
    <row r="15806" spans="40:42" x14ac:dyDescent="0.3">
      <c r="AN15806">
        <v>15802</v>
      </c>
      <c r="AO15806" s="11">
        <v>27869.41</v>
      </c>
      <c r="AP15806" s="9">
        <v>3.0552552000729487</v>
      </c>
    </row>
    <row r="15807" spans="40:42" x14ac:dyDescent="0.3">
      <c r="AN15807">
        <v>15803</v>
      </c>
      <c r="AO15807" s="11">
        <v>30596.69</v>
      </c>
      <c r="AP15807" s="9">
        <v>3.2844802146874881</v>
      </c>
    </row>
    <row r="15808" spans="40:42" x14ac:dyDescent="0.3">
      <c r="AN15808">
        <v>15804</v>
      </c>
      <c r="AO15808" s="11">
        <v>33319.33</v>
      </c>
      <c r="AP15808" s="9">
        <v>3.7961119490770892</v>
      </c>
    </row>
    <row r="15809" spans="40:42" x14ac:dyDescent="0.3">
      <c r="AN15809">
        <v>15805</v>
      </c>
      <c r="AO15809" s="11">
        <v>24538.05</v>
      </c>
      <c r="AP15809" s="9">
        <v>3.4806219112356915</v>
      </c>
    </row>
    <row r="15810" spans="40:42" x14ac:dyDescent="0.3">
      <c r="AN15810">
        <v>15806</v>
      </c>
      <c r="AO15810" s="11">
        <v>16061.15</v>
      </c>
      <c r="AP15810" s="9">
        <v>3.0570221579902035</v>
      </c>
    </row>
    <row r="15811" spans="40:42" x14ac:dyDescent="0.3">
      <c r="AN15811">
        <v>15807</v>
      </c>
      <c r="AO15811" s="11">
        <v>27489.61</v>
      </c>
      <c r="AP15811" s="9">
        <v>3.7438321715295881</v>
      </c>
    </row>
    <row r="15812" spans="40:42" x14ac:dyDescent="0.3">
      <c r="AN15812">
        <v>15808</v>
      </c>
      <c r="AO15812" s="11">
        <v>33968.46</v>
      </c>
      <c r="AP15812" s="9">
        <v>3.2870433721992738</v>
      </c>
    </row>
    <row r="15813" spans="40:42" x14ac:dyDescent="0.3">
      <c r="AN15813">
        <v>15809</v>
      </c>
      <c r="AO15813" s="11">
        <v>29277.75</v>
      </c>
      <c r="AP15813" s="9">
        <v>3.3573048820189269</v>
      </c>
    </row>
    <row r="15814" spans="40:42" x14ac:dyDescent="0.3">
      <c r="AN15814">
        <v>15810</v>
      </c>
      <c r="AO15814" s="11">
        <v>35794.400000000001</v>
      </c>
      <c r="AP15814" s="9">
        <v>3.6762519861710881</v>
      </c>
    </row>
    <row r="15815" spans="40:42" x14ac:dyDescent="0.3">
      <c r="AN15815">
        <v>15811</v>
      </c>
      <c r="AO15815" s="11">
        <v>26226.7</v>
      </c>
      <c r="AP15815" s="9">
        <v>4.2455480989407928</v>
      </c>
    </row>
    <row r="15816" spans="40:42" x14ac:dyDescent="0.3">
      <c r="AN15816">
        <v>15812</v>
      </c>
      <c r="AO15816" s="11">
        <v>22076.97</v>
      </c>
      <c r="AP15816" s="9">
        <v>2.7630143579663313</v>
      </c>
    </row>
    <row r="15817" spans="40:42" x14ac:dyDescent="0.3">
      <c r="AN15817">
        <v>15813</v>
      </c>
      <c r="AO15817" s="11">
        <v>31319.7</v>
      </c>
      <c r="AP15817" s="9">
        <v>3.0032072255210607</v>
      </c>
    </row>
    <row r="15818" spans="40:42" x14ac:dyDescent="0.3">
      <c r="AN15818">
        <v>15814</v>
      </c>
      <c r="AO15818" s="11">
        <v>18410.64</v>
      </c>
      <c r="AP15818" s="9">
        <v>3.1527618925134586</v>
      </c>
    </row>
    <row r="15819" spans="40:42" x14ac:dyDescent="0.3">
      <c r="AN15819">
        <v>15815</v>
      </c>
      <c r="AO15819" s="11">
        <v>21783.21</v>
      </c>
      <c r="AP15819" s="9">
        <v>3.2868404139389225</v>
      </c>
    </row>
    <row r="15820" spans="40:42" x14ac:dyDescent="0.3">
      <c r="AN15820">
        <v>15816</v>
      </c>
      <c r="AO15820" s="11">
        <v>25399.22</v>
      </c>
      <c r="AP15820" s="9">
        <v>3.6398508634293205</v>
      </c>
    </row>
    <row r="15821" spans="40:42" x14ac:dyDescent="0.3">
      <c r="AN15821">
        <v>15817</v>
      </c>
      <c r="AO15821" s="11">
        <v>20243.810000000001</v>
      </c>
      <c r="AP15821" s="9">
        <v>3.2181416412341544</v>
      </c>
    </row>
    <row r="15822" spans="40:42" x14ac:dyDescent="0.3">
      <c r="AN15822">
        <v>15818</v>
      </c>
      <c r="AO15822" s="11">
        <v>16800.900000000001</v>
      </c>
      <c r="AP15822" s="9">
        <v>3.1974496095933005</v>
      </c>
    </row>
    <row r="15823" spans="40:42" x14ac:dyDescent="0.3">
      <c r="AN15823">
        <v>15819</v>
      </c>
      <c r="AO15823" s="11">
        <v>21595.4</v>
      </c>
      <c r="AP15823" s="9">
        <v>2.3934997898955541</v>
      </c>
    </row>
    <row r="15824" spans="40:42" x14ac:dyDescent="0.3">
      <c r="AN15824">
        <v>15820</v>
      </c>
      <c r="AO15824" s="11">
        <v>22673.919999999998</v>
      </c>
      <c r="AP15824" s="9">
        <v>2.9815161075288574</v>
      </c>
    </row>
    <row r="15825" spans="40:42" x14ac:dyDescent="0.3">
      <c r="AN15825">
        <v>15821</v>
      </c>
      <c r="AO15825" s="11">
        <v>30230.68</v>
      </c>
      <c r="AP15825" s="9">
        <v>3.9120267427763649</v>
      </c>
    </row>
    <row r="15826" spans="40:42" x14ac:dyDescent="0.3">
      <c r="AN15826">
        <v>15822</v>
      </c>
      <c r="AO15826" s="11">
        <v>22902.48</v>
      </c>
      <c r="AP15826" s="9">
        <v>3.097393401235248</v>
      </c>
    </row>
    <row r="15827" spans="40:42" x14ac:dyDescent="0.3">
      <c r="AN15827">
        <v>15823</v>
      </c>
      <c r="AO15827" s="11">
        <v>34234.74</v>
      </c>
      <c r="AP15827" s="9">
        <v>3.3793852997239076</v>
      </c>
    </row>
    <row r="15828" spans="40:42" x14ac:dyDescent="0.3">
      <c r="AN15828">
        <v>15824</v>
      </c>
      <c r="AO15828" s="11">
        <v>21979.96</v>
      </c>
      <c r="AP15828" s="9">
        <v>3.3501659176194165</v>
      </c>
    </row>
    <row r="15829" spans="40:42" x14ac:dyDescent="0.3">
      <c r="AN15829">
        <v>15825</v>
      </c>
      <c r="AO15829" s="11">
        <v>31230.89</v>
      </c>
      <c r="AP15829" s="9">
        <v>3.7569644985601132</v>
      </c>
    </row>
    <row r="15830" spans="40:42" x14ac:dyDescent="0.3">
      <c r="AN15830">
        <v>15826</v>
      </c>
      <c r="AO15830" s="11">
        <v>36558.449999999997</v>
      </c>
      <c r="AP15830" s="9">
        <v>3.577269944159398</v>
      </c>
    </row>
    <row r="15831" spans="40:42" x14ac:dyDescent="0.3">
      <c r="AN15831">
        <v>15827</v>
      </c>
      <c r="AO15831" s="11">
        <v>16757.38</v>
      </c>
      <c r="AP15831" s="9">
        <v>2.9386680652521324</v>
      </c>
    </row>
    <row r="15832" spans="40:42" x14ac:dyDescent="0.3">
      <c r="AN15832">
        <v>15828</v>
      </c>
      <c r="AO15832" s="11">
        <v>42893.5</v>
      </c>
      <c r="AP15832" s="9">
        <v>3.7309026557861555</v>
      </c>
    </row>
    <row r="15833" spans="40:42" x14ac:dyDescent="0.3">
      <c r="AN15833">
        <v>15829</v>
      </c>
      <c r="AO15833" s="11">
        <v>17170.25</v>
      </c>
      <c r="AP15833" s="9">
        <v>3.3066721027381036</v>
      </c>
    </row>
    <row r="15834" spans="40:42" x14ac:dyDescent="0.3">
      <c r="AN15834">
        <v>15830</v>
      </c>
      <c r="AO15834" s="11">
        <v>26416.11</v>
      </c>
      <c r="AP15834" s="9">
        <v>3.798318453163628</v>
      </c>
    </row>
    <row r="15835" spans="40:42" x14ac:dyDescent="0.3">
      <c r="AN15835">
        <v>15831</v>
      </c>
      <c r="AO15835" s="11">
        <v>24998.799999999999</v>
      </c>
      <c r="AP15835" s="9">
        <v>3.5700829848911182</v>
      </c>
    </row>
    <row r="15836" spans="40:42" x14ac:dyDescent="0.3">
      <c r="AN15836">
        <v>15832</v>
      </c>
      <c r="AO15836" s="11">
        <v>38987</v>
      </c>
      <c r="AP15836" s="9">
        <v>3.5557088196714854</v>
      </c>
    </row>
    <row r="15837" spans="40:42" x14ac:dyDescent="0.3">
      <c r="AN15837">
        <v>15833</v>
      </c>
      <c r="AO15837" s="11">
        <v>20217.150000000001</v>
      </c>
      <c r="AP15837" s="9">
        <v>3.0899226555220496</v>
      </c>
    </row>
    <row r="15838" spans="40:42" x14ac:dyDescent="0.3">
      <c r="AN15838">
        <v>15834</v>
      </c>
      <c r="AO15838" s="11">
        <v>22121.13</v>
      </c>
      <c r="AP15838" s="9">
        <v>3.1510724549371294</v>
      </c>
    </row>
    <row r="15839" spans="40:42" x14ac:dyDescent="0.3">
      <c r="AN15839">
        <v>15835</v>
      </c>
      <c r="AO15839" s="11">
        <v>33425.89</v>
      </c>
      <c r="AP15839" s="9">
        <v>3.1085429842609931</v>
      </c>
    </row>
    <row r="15840" spans="40:42" x14ac:dyDescent="0.3">
      <c r="AN15840">
        <v>15836</v>
      </c>
      <c r="AO15840" s="11">
        <v>46691.76</v>
      </c>
      <c r="AP15840" s="9">
        <v>3.6928402162873653</v>
      </c>
    </row>
    <row r="15841" spans="40:42" x14ac:dyDescent="0.3">
      <c r="AN15841">
        <v>15837</v>
      </c>
      <c r="AO15841" s="11">
        <v>35292.129999999997</v>
      </c>
      <c r="AP15841" s="9">
        <v>3.3797849015649524</v>
      </c>
    </row>
    <row r="15842" spans="40:42" x14ac:dyDescent="0.3">
      <c r="AN15842">
        <v>15838</v>
      </c>
      <c r="AO15842" s="11">
        <v>16768.18</v>
      </c>
      <c r="AP15842" s="9">
        <v>3.0572333087289332</v>
      </c>
    </row>
    <row r="15843" spans="40:42" x14ac:dyDescent="0.3">
      <c r="AN15843">
        <v>15839</v>
      </c>
      <c r="AO15843" s="11">
        <v>36519.31</v>
      </c>
      <c r="AP15843" s="9">
        <v>3.587768763464064</v>
      </c>
    </row>
    <row r="15844" spans="40:42" x14ac:dyDescent="0.3">
      <c r="AN15844">
        <v>15840</v>
      </c>
      <c r="AO15844" s="11">
        <v>25418.799999999999</v>
      </c>
      <c r="AP15844" s="9">
        <v>3.2359274720641142</v>
      </c>
    </row>
    <row r="15845" spans="40:42" x14ac:dyDescent="0.3">
      <c r="AN15845">
        <v>15841</v>
      </c>
      <c r="AO15845" s="11">
        <v>22471.55</v>
      </c>
      <c r="AP15845" s="9">
        <v>3.8320612089671</v>
      </c>
    </row>
    <row r="15846" spans="40:42" x14ac:dyDescent="0.3">
      <c r="AN15846">
        <v>15842</v>
      </c>
      <c r="AO15846" s="11">
        <v>39242.400000000001</v>
      </c>
      <c r="AP15846" s="9">
        <v>3.4778207240186578</v>
      </c>
    </row>
    <row r="15847" spans="40:42" x14ac:dyDescent="0.3">
      <c r="AN15847">
        <v>15843</v>
      </c>
      <c r="AO15847" s="11">
        <v>21186.58</v>
      </c>
      <c r="AP15847" s="9">
        <v>2.8766396930954969</v>
      </c>
    </row>
    <row r="15848" spans="40:42" x14ac:dyDescent="0.3">
      <c r="AN15848">
        <v>15844</v>
      </c>
      <c r="AO15848" s="11">
        <v>22512.47</v>
      </c>
      <c r="AP15848" s="9">
        <v>3.2274937876725955</v>
      </c>
    </row>
    <row r="15849" spans="40:42" x14ac:dyDescent="0.3">
      <c r="AN15849">
        <v>15845</v>
      </c>
      <c r="AO15849" s="11">
        <v>28484.46</v>
      </c>
      <c r="AP15849" s="9">
        <v>3.4360458065780484</v>
      </c>
    </row>
    <row r="15850" spans="40:42" x14ac:dyDescent="0.3">
      <c r="AN15850">
        <v>15846</v>
      </c>
      <c r="AO15850" s="11">
        <v>33078.160000000003</v>
      </c>
      <c r="AP15850" s="9">
        <v>3.2795678934798178</v>
      </c>
    </row>
    <row r="15851" spans="40:42" x14ac:dyDescent="0.3">
      <c r="AN15851">
        <v>15847</v>
      </c>
      <c r="AO15851" s="11">
        <v>25337.64</v>
      </c>
      <c r="AP15851" s="9">
        <v>3.1823914416705152</v>
      </c>
    </row>
    <row r="15852" spans="40:42" x14ac:dyDescent="0.3">
      <c r="AN15852">
        <v>15848</v>
      </c>
      <c r="AO15852" s="11">
        <v>27336.61</v>
      </c>
      <c r="AP15852" s="9">
        <v>3.5977642667362448</v>
      </c>
    </row>
    <row r="15853" spans="40:42" x14ac:dyDescent="0.3">
      <c r="AN15853">
        <v>15849</v>
      </c>
      <c r="AO15853" s="11">
        <v>20850.41</v>
      </c>
      <c r="AP15853" s="9">
        <v>3.0343908111578703</v>
      </c>
    </row>
    <row r="15854" spans="40:42" x14ac:dyDescent="0.3">
      <c r="AN15854">
        <v>15850</v>
      </c>
      <c r="AO15854" s="11">
        <v>25838.45</v>
      </c>
      <c r="AP15854" s="9">
        <v>2.9959650230242096</v>
      </c>
    </row>
    <row r="15855" spans="40:42" x14ac:dyDescent="0.3">
      <c r="AN15855">
        <v>15851</v>
      </c>
      <c r="AO15855" s="11">
        <v>29121.33</v>
      </c>
      <c r="AP15855" s="9">
        <v>3.7632404851180148</v>
      </c>
    </row>
    <row r="15856" spans="40:42" x14ac:dyDescent="0.3">
      <c r="AN15856">
        <v>15852</v>
      </c>
      <c r="AO15856" s="11">
        <v>42683.24</v>
      </c>
      <c r="AP15856" s="9">
        <v>4.2622252553554434</v>
      </c>
    </row>
    <row r="15857" spans="40:42" x14ac:dyDescent="0.3">
      <c r="AN15857">
        <v>15853</v>
      </c>
      <c r="AO15857" s="11">
        <v>14098.73</v>
      </c>
      <c r="AP15857" s="9">
        <v>2.9911754547936824</v>
      </c>
    </row>
    <row r="15858" spans="40:42" x14ac:dyDescent="0.3">
      <c r="AN15858">
        <v>15854</v>
      </c>
      <c r="AO15858" s="11">
        <v>22508.92</v>
      </c>
      <c r="AP15858" s="9">
        <v>3.5805214309962157</v>
      </c>
    </row>
    <row r="15859" spans="40:42" x14ac:dyDescent="0.3">
      <c r="AN15859">
        <v>15855</v>
      </c>
      <c r="AO15859" s="11">
        <v>37398.639999999999</v>
      </c>
      <c r="AP15859" s="9">
        <v>3.899415856368071</v>
      </c>
    </row>
    <row r="15860" spans="40:42" x14ac:dyDescent="0.3">
      <c r="AN15860">
        <v>15856</v>
      </c>
      <c r="AO15860" s="11">
        <v>24206.41</v>
      </c>
      <c r="AP15860" s="9">
        <v>3.6837484085056431</v>
      </c>
    </row>
    <row r="15861" spans="40:42" x14ac:dyDescent="0.3">
      <c r="AN15861">
        <v>15857</v>
      </c>
      <c r="AO15861" s="11">
        <v>21019.7</v>
      </c>
      <c r="AP15861" s="9">
        <v>3.307270828742626</v>
      </c>
    </row>
    <row r="15862" spans="40:42" x14ac:dyDescent="0.3">
      <c r="AN15862">
        <v>15858</v>
      </c>
      <c r="AO15862" s="11">
        <v>23692.080000000002</v>
      </c>
      <c r="AP15862" s="9">
        <v>2.992718357760864</v>
      </c>
    </row>
    <row r="15863" spans="40:42" x14ac:dyDescent="0.3">
      <c r="AN15863">
        <v>15859</v>
      </c>
      <c r="AO15863" s="11">
        <v>21764.11</v>
      </c>
      <c r="AP15863" s="9">
        <v>3.2631828331328987</v>
      </c>
    </row>
    <row r="15864" spans="40:42" x14ac:dyDescent="0.3">
      <c r="AN15864">
        <v>15860</v>
      </c>
      <c r="AO15864" s="11">
        <v>39160.879999999997</v>
      </c>
      <c r="AP15864" s="9">
        <v>3.4774491687934383</v>
      </c>
    </row>
    <row r="15865" spans="40:42" x14ac:dyDescent="0.3">
      <c r="AN15865">
        <v>15861</v>
      </c>
      <c r="AO15865" s="11">
        <v>22494.400000000001</v>
      </c>
      <c r="AP15865" s="9">
        <v>3.4799444720411548</v>
      </c>
    </row>
    <row r="15866" spans="40:42" x14ac:dyDescent="0.3">
      <c r="AN15866">
        <v>15862</v>
      </c>
      <c r="AO15866" s="11">
        <v>16056.17</v>
      </c>
      <c r="AP15866" s="9">
        <v>3.0078008554839499</v>
      </c>
    </row>
    <row r="15867" spans="40:42" x14ac:dyDescent="0.3">
      <c r="AN15867">
        <v>15863</v>
      </c>
      <c r="AO15867" s="11">
        <v>42407.3</v>
      </c>
      <c r="AP15867" s="9">
        <v>4.001703134310679</v>
      </c>
    </row>
    <row r="15868" spans="40:42" x14ac:dyDescent="0.3">
      <c r="AN15868">
        <v>15864</v>
      </c>
      <c r="AO15868" s="11">
        <v>25150.63</v>
      </c>
      <c r="AP15868" s="9">
        <v>3.1251366116317931</v>
      </c>
    </row>
    <row r="15869" spans="40:42" x14ac:dyDescent="0.3">
      <c r="AN15869">
        <v>15865</v>
      </c>
      <c r="AO15869" s="11">
        <v>30157.53</v>
      </c>
      <c r="AP15869" s="9">
        <v>3.1289650041195451</v>
      </c>
    </row>
    <row r="15870" spans="40:42" x14ac:dyDescent="0.3">
      <c r="AN15870">
        <v>15866</v>
      </c>
      <c r="AO15870" s="11">
        <v>21699.42</v>
      </c>
      <c r="AP15870" s="9">
        <v>3.3569018821521053</v>
      </c>
    </row>
    <row r="15871" spans="40:42" x14ac:dyDescent="0.3">
      <c r="AN15871">
        <v>15867</v>
      </c>
      <c r="AO15871" s="11">
        <v>15899.06</v>
      </c>
      <c r="AP15871" s="9">
        <v>2.9511663511336712</v>
      </c>
    </row>
    <row r="15872" spans="40:42" x14ac:dyDescent="0.3">
      <c r="AN15872">
        <v>15868</v>
      </c>
      <c r="AO15872" s="11">
        <v>27957.72</v>
      </c>
      <c r="AP15872" s="9">
        <v>3.0475165063276108</v>
      </c>
    </row>
    <row r="15873" spans="40:42" x14ac:dyDescent="0.3">
      <c r="AN15873">
        <v>15869</v>
      </c>
      <c r="AO15873" s="11">
        <v>31446.43</v>
      </c>
      <c r="AP15873" s="9">
        <v>3.4821646549730887</v>
      </c>
    </row>
    <row r="15874" spans="40:42" x14ac:dyDescent="0.3">
      <c r="AN15874">
        <v>15870</v>
      </c>
      <c r="AO15874" s="11">
        <v>31915.06</v>
      </c>
      <c r="AP15874" s="9">
        <v>3.8111947319061672</v>
      </c>
    </row>
    <row r="15875" spans="40:42" x14ac:dyDescent="0.3">
      <c r="AN15875">
        <v>15871</v>
      </c>
      <c r="AO15875" s="11">
        <v>20958.63</v>
      </c>
      <c r="AP15875" s="9">
        <v>3.4601309589385649</v>
      </c>
    </row>
    <row r="15876" spans="40:42" x14ac:dyDescent="0.3">
      <c r="AN15876">
        <v>15872</v>
      </c>
      <c r="AO15876" s="11">
        <v>35904.559999999998</v>
      </c>
      <c r="AP15876" s="9">
        <v>3.4284439073078325</v>
      </c>
    </row>
    <row r="15877" spans="40:42" x14ac:dyDescent="0.3">
      <c r="AN15877">
        <v>15873</v>
      </c>
      <c r="AO15877" s="11">
        <v>21822.59</v>
      </c>
      <c r="AP15877" s="9">
        <v>3.1060587668188733</v>
      </c>
    </row>
    <row r="15878" spans="40:42" x14ac:dyDescent="0.3">
      <c r="AN15878">
        <v>15874</v>
      </c>
      <c r="AO15878" s="11">
        <v>18074.75</v>
      </c>
      <c r="AP15878" s="9">
        <v>3.0531780888247906</v>
      </c>
    </row>
    <row r="15879" spans="40:42" x14ac:dyDescent="0.3">
      <c r="AN15879">
        <v>15875</v>
      </c>
      <c r="AO15879" s="11">
        <v>27518.05</v>
      </c>
      <c r="AP15879" s="9">
        <v>3.2438777971902759</v>
      </c>
    </row>
    <row r="15880" spans="40:42" x14ac:dyDescent="0.3">
      <c r="AN15880">
        <v>15876</v>
      </c>
      <c r="AO15880" s="11">
        <v>22537.16</v>
      </c>
      <c r="AP15880" s="9">
        <v>3.3530408750976504</v>
      </c>
    </row>
    <row r="15881" spans="40:42" x14ac:dyDescent="0.3">
      <c r="AN15881">
        <v>15877</v>
      </c>
      <c r="AO15881" s="11">
        <v>25795.62</v>
      </c>
      <c r="AP15881" s="9">
        <v>3.6602015286958132</v>
      </c>
    </row>
    <row r="15882" spans="40:42" x14ac:dyDescent="0.3">
      <c r="AN15882">
        <v>15878</v>
      </c>
      <c r="AO15882" s="11">
        <v>37495.199999999997</v>
      </c>
      <c r="AP15882" s="9">
        <v>3.5036745029831851</v>
      </c>
    </row>
    <row r="15883" spans="40:42" x14ac:dyDescent="0.3">
      <c r="AN15883">
        <v>15879</v>
      </c>
      <c r="AO15883" s="11">
        <v>27006.99</v>
      </c>
      <c r="AP15883" s="9">
        <v>3.2414347897090665</v>
      </c>
    </row>
    <row r="15884" spans="40:42" x14ac:dyDescent="0.3">
      <c r="AN15884">
        <v>15880</v>
      </c>
      <c r="AO15884" s="11">
        <v>36690.97</v>
      </c>
      <c r="AP15884" s="9">
        <v>3.4059253554125912</v>
      </c>
    </row>
    <row r="15885" spans="40:42" x14ac:dyDescent="0.3">
      <c r="AN15885">
        <v>15881</v>
      </c>
      <c r="AO15885" s="11">
        <v>20200.259999999998</v>
      </c>
      <c r="AP15885" s="9">
        <v>3.35017309865618</v>
      </c>
    </row>
    <row r="15886" spans="40:42" x14ac:dyDescent="0.3">
      <c r="AN15886">
        <v>15882</v>
      </c>
      <c r="AO15886" s="11">
        <v>27482.16</v>
      </c>
      <c r="AP15886" s="9">
        <v>3.991452178796199</v>
      </c>
    </row>
    <row r="15887" spans="40:42" x14ac:dyDescent="0.3">
      <c r="AN15887">
        <v>15883</v>
      </c>
      <c r="AO15887" s="11">
        <v>26689.25</v>
      </c>
      <c r="AP15887" s="9">
        <v>3.1084347812942967</v>
      </c>
    </row>
    <row r="15888" spans="40:42" x14ac:dyDescent="0.3">
      <c r="AN15888">
        <v>15884</v>
      </c>
      <c r="AO15888" s="11">
        <v>24434.75</v>
      </c>
      <c r="AP15888" s="9">
        <v>3.1736099611788746</v>
      </c>
    </row>
    <row r="15889" spans="40:42" x14ac:dyDescent="0.3">
      <c r="AN15889">
        <v>15885</v>
      </c>
      <c r="AO15889" s="11">
        <v>22511.42</v>
      </c>
      <c r="AP15889" s="9">
        <v>3.0690034674846522</v>
      </c>
    </row>
    <row r="15890" spans="40:42" x14ac:dyDescent="0.3">
      <c r="AN15890">
        <v>15886</v>
      </c>
      <c r="AO15890" s="11">
        <v>23437.47</v>
      </c>
      <c r="AP15890" s="9">
        <v>3.1420507447427544</v>
      </c>
    </row>
    <row r="15891" spans="40:42" x14ac:dyDescent="0.3">
      <c r="AN15891">
        <v>15887</v>
      </c>
      <c r="AO15891" s="11">
        <v>19560.16</v>
      </c>
      <c r="AP15891" s="9">
        <v>2.9583537815790697</v>
      </c>
    </row>
    <row r="15892" spans="40:42" x14ac:dyDescent="0.3">
      <c r="AN15892">
        <v>15888</v>
      </c>
      <c r="AO15892" s="11">
        <v>23425.93</v>
      </c>
      <c r="AP15892" s="9">
        <v>3.3493554207526275</v>
      </c>
    </row>
    <row r="15893" spans="40:42" x14ac:dyDescent="0.3">
      <c r="AN15893">
        <v>15889</v>
      </c>
      <c r="AO15893" s="11">
        <v>45709.32</v>
      </c>
      <c r="AP15893" s="9">
        <v>4.3264285960770765</v>
      </c>
    </row>
    <row r="15894" spans="40:42" x14ac:dyDescent="0.3">
      <c r="AN15894">
        <v>15890</v>
      </c>
      <c r="AO15894" s="11">
        <v>24452.18</v>
      </c>
      <c r="AP15894" s="9">
        <v>3.5965251580552793</v>
      </c>
    </row>
    <row r="15895" spans="40:42" x14ac:dyDescent="0.3">
      <c r="AN15895">
        <v>15891</v>
      </c>
      <c r="AO15895" s="11">
        <v>29571.94</v>
      </c>
      <c r="AP15895" s="9">
        <v>3.6706715174008231</v>
      </c>
    </row>
    <row r="15896" spans="40:42" x14ac:dyDescent="0.3">
      <c r="AN15896">
        <v>15892</v>
      </c>
      <c r="AO15896" s="11">
        <v>37009.49</v>
      </c>
      <c r="AP15896" s="9">
        <v>3.6620943077153814</v>
      </c>
    </row>
    <row r="15897" spans="40:42" x14ac:dyDescent="0.3">
      <c r="AN15897">
        <v>15893</v>
      </c>
      <c r="AO15897" s="11">
        <v>29144.85</v>
      </c>
      <c r="AP15897" s="9">
        <v>3.5244927828002117</v>
      </c>
    </row>
    <row r="15898" spans="40:42" x14ac:dyDescent="0.3">
      <c r="AN15898">
        <v>15894</v>
      </c>
      <c r="AO15898" s="11">
        <v>28488.26</v>
      </c>
      <c r="AP15898" s="9">
        <v>3.26111480713397</v>
      </c>
    </row>
    <row r="15899" spans="40:42" x14ac:dyDescent="0.3">
      <c r="AN15899">
        <v>15895</v>
      </c>
      <c r="AO15899" s="11">
        <v>21534.35</v>
      </c>
      <c r="AP15899" s="9">
        <v>3.4887558424915781</v>
      </c>
    </row>
    <row r="15900" spans="40:42" x14ac:dyDescent="0.3">
      <c r="AN15900">
        <v>15896</v>
      </c>
      <c r="AO15900" s="11">
        <v>22267.45</v>
      </c>
      <c r="AP15900" s="9">
        <v>3.1258582614114987</v>
      </c>
    </row>
    <row r="15901" spans="40:42" x14ac:dyDescent="0.3">
      <c r="AN15901">
        <v>15897</v>
      </c>
      <c r="AO15901" s="11">
        <v>24113.08</v>
      </c>
      <c r="AP15901" s="9">
        <v>3.3306648142526116</v>
      </c>
    </row>
    <row r="15902" spans="40:42" x14ac:dyDescent="0.3">
      <c r="AN15902">
        <v>15898</v>
      </c>
      <c r="AO15902" s="11">
        <v>34421.29</v>
      </c>
      <c r="AP15902" s="9">
        <v>4.111924949789632</v>
      </c>
    </row>
    <row r="15903" spans="40:42" x14ac:dyDescent="0.3">
      <c r="AN15903">
        <v>15899</v>
      </c>
      <c r="AO15903" s="11">
        <v>25319.75</v>
      </c>
      <c r="AP15903" s="9">
        <v>3.3917582082949425</v>
      </c>
    </row>
    <row r="15904" spans="40:42" x14ac:dyDescent="0.3">
      <c r="AN15904">
        <v>15900</v>
      </c>
      <c r="AO15904" s="11">
        <v>37253.550000000003</v>
      </c>
      <c r="AP15904" s="9">
        <v>3.2180736076448668</v>
      </c>
    </row>
    <row r="15905" spans="40:42" x14ac:dyDescent="0.3">
      <c r="AN15905">
        <v>15901</v>
      </c>
      <c r="AO15905" s="11">
        <v>17188.73</v>
      </c>
      <c r="AP15905" s="9">
        <v>2.8166598118622046</v>
      </c>
    </row>
    <row r="15906" spans="40:42" x14ac:dyDescent="0.3">
      <c r="AN15906">
        <v>15902</v>
      </c>
      <c r="AO15906" s="11">
        <v>31339.68</v>
      </c>
      <c r="AP15906" s="9">
        <v>3.2863653902285423</v>
      </c>
    </row>
    <row r="15907" spans="40:42" x14ac:dyDescent="0.3">
      <c r="AN15907">
        <v>15903</v>
      </c>
      <c r="AO15907" s="11">
        <v>20124.41</v>
      </c>
      <c r="AP15907" s="9">
        <v>2.7503314015469393</v>
      </c>
    </row>
    <row r="15908" spans="40:42" x14ac:dyDescent="0.3">
      <c r="AN15908">
        <v>15904</v>
      </c>
      <c r="AO15908" s="11">
        <v>42013.03</v>
      </c>
      <c r="AP15908" s="9">
        <v>2.8968290620118067</v>
      </c>
    </row>
    <row r="15909" spans="40:42" x14ac:dyDescent="0.3">
      <c r="AN15909">
        <v>15905</v>
      </c>
      <c r="AO15909" s="11">
        <v>15204.42</v>
      </c>
      <c r="AP15909" s="9">
        <v>3.241152056058938</v>
      </c>
    </row>
    <row r="15910" spans="40:42" x14ac:dyDescent="0.3">
      <c r="AN15910">
        <v>15906</v>
      </c>
      <c r="AO15910" s="11">
        <v>27617.759999999998</v>
      </c>
      <c r="AP15910" s="9">
        <v>3.2059379873615619</v>
      </c>
    </row>
    <row r="15911" spans="40:42" x14ac:dyDescent="0.3">
      <c r="AN15911">
        <v>15907</v>
      </c>
      <c r="AO15911" s="11">
        <v>19720.82</v>
      </c>
      <c r="AP15911" s="9">
        <v>2.8538985208924372</v>
      </c>
    </row>
    <row r="15912" spans="40:42" x14ac:dyDescent="0.3">
      <c r="AN15912">
        <v>15908</v>
      </c>
      <c r="AO15912" s="11">
        <v>20592.490000000002</v>
      </c>
      <c r="AP15912" s="9">
        <v>3.1858795476459663</v>
      </c>
    </row>
    <row r="15913" spans="40:42" x14ac:dyDescent="0.3">
      <c r="AN15913">
        <v>15909</v>
      </c>
      <c r="AO15913" s="11">
        <v>26403.49</v>
      </c>
      <c r="AP15913" s="9">
        <v>2.986333666106074</v>
      </c>
    </row>
    <row r="15914" spans="40:42" x14ac:dyDescent="0.3">
      <c r="AN15914">
        <v>15910</v>
      </c>
      <c r="AO15914" s="11">
        <v>27345.11</v>
      </c>
      <c r="AP15914" s="9">
        <v>2.9164948792522924</v>
      </c>
    </row>
    <row r="15915" spans="40:42" x14ac:dyDescent="0.3">
      <c r="AN15915">
        <v>15911</v>
      </c>
      <c r="AO15915" s="11">
        <v>23452.68</v>
      </c>
      <c r="AP15915" s="9">
        <v>3.3861830387849068</v>
      </c>
    </row>
    <row r="15916" spans="40:42" x14ac:dyDescent="0.3">
      <c r="AN15916">
        <v>15912</v>
      </c>
      <c r="AO15916" s="11">
        <v>27009.8</v>
      </c>
      <c r="AP15916" s="9">
        <v>3.2358420511585084</v>
      </c>
    </row>
    <row r="15917" spans="40:42" x14ac:dyDescent="0.3">
      <c r="AN15917">
        <v>15913</v>
      </c>
      <c r="AO15917" s="11">
        <v>29898.79</v>
      </c>
      <c r="AP15917" s="9">
        <v>3.1895597153498931</v>
      </c>
    </row>
    <row r="15918" spans="40:42" x14ac:dyDescent="0.3">
      <c r="AN15918">
        <v>15914</v>
      </c>
      <c r="AO15918" s="11">
        <v>22782.21</v>
      </c>
      <c r="AP15918" s="9">
        <v>2.7976025283995738</v>
      </c>
    </row>
    <row r="15919" spans="40:42" x14ac:dyDescent="0.3">
      <c r="AN15919">
        <v>15915</v>
      </c>
      <c r="AO15919" s="11">
        <v>21684.1</v>
      </c>
      <c r="AP15919" s="9">
        <v>2.9389965404345539</v>
      </c>
    </row>
    <row r="15920" spans="40:42" x14ac:dyDescent="0.3">
      <c r="AN15920">
        <v>15916</v>
      </c>
      <c r="AO15920" s="11">
        <v>25266.31</v>
      </c>
      <c r="AP15920" s="9">
        <v>3.6492416423918601</v>
      </c>
    </row>
    <row r="15921" spans="40:42" x14ac:dyDescent="0.3">
      <c r="AN15921">
        <v>15917</v>
      </c>
      <c r="AO15921" s="11">
        <v>29004.32</v>
      </c>
      <c r="AP15921" s="9">
        <v>3.6273625497180095</v>
      </c>
    </row>
    <row r="15922" spans="40:42" x14ac:dyDescent="0.3">
      <c r="AN15922">
        <v>15918</v>
      </c>
      <c r="AO15922" s="11">
        <v>22504.31</v>
      </c>
      <c r="AP15922" s="9">
        <v>3.6083513894884134</v>
      </c>
    </row>
    <row r="15923" spans="40:42" x14ac:dyDescent="0.3">
      <c r="AN15923">
        <v>15919</v>
      </c>
      <c r="AO15923" s="11">
        <v>27403.02</v>
      </c>
      <c r="AP15923" s="9">
        <v>3.7269484619998878</v>
      </c>
    </row>
    <row r="15924" spans="40:42" x14ac:dyDescent="0.3">
      <c r="AN15924">
        <v>15920</v>
      </c>
      <c r="AO15924" s="11">
        <v>27443.64</v>
      </c>
      <c r="AP15924" s="9">
        <v>3.7712416597784584</v>
      </c>
    </row>
    <row r="15925" spans="40:42" x14ac:dyDescent="0.3">
      <c r="AN15925">
        <v>15921</v>
      </c>
      <c r="AO15925" s="11">
        <v>25718.17</v>
      </c>
      <c r="AP15925" s="9">
        <v>2.7953966384902467</v>
      </c>
    </row>
    <row r="15926" spans="40:42" x14ac:dyDescent="0.3">
      <c r="AN15926">
        <v>15922</v>
      </c>
      <c r="AO15926" s="11">
        <v>26628.65</v>
      </c>
      <c r="AP15926" s="9">
        <v>2.6957159709018579</v>
      </c>
    </row>
    <row r="15927" spans="40:42" x14ac:dyDescent="0.3">
      <c r="AN15927">
        <v>15923</v>
      </c>
      <c r="AO15927" s="11">
        <v>29374.65</v>
      </c>
      <c r="AP15927" s="9">
        <v>3.7437229691369556</v>
      </c>
    </row>
    <row r="15928" spans="40:42" x14ac:dyDescent="0.3">
      <c r="AN15928">
        <v>15924</v>
      </c>
      <c r="AO15928" s="11">
        <v>25809.74</v>
      </c>
      <c r="AP15928" s="9">
        <v>3.5510687738420095</v>
      </c>
    </row>
    <row r="15929" spans="40:42" x14ac:dyDescent="0.3">
      <c r="AN15929">
        <v>15925</v>
      </c>
      <c r="AO15929" s="11">
        <v>26709.11</v>
      </c>
      <c r="AP15929" s="9">
        <v>3.0665963813077917</v>
      </c>
    </row>
    <row r="15930" spans="40:42" x14ac:dyDescent="0.3">
      <c r="AN15930">
        <v>15926</v>
      </c>
      <c r="AO15930" s="11">
        <v>43197.17</v>
      </c>
      <c r="AP15930" s="9">
        <v>4.3246542046669187</v>
      </c>
    </row>
    <row r="15931" spans="40:42" x14ac:dyDescent="0.3">
      <c r="AN15931">
        <v>15927</v>
      </c>
      <c r="AO15931" s="11">
        <v>27391.99</v>
      </c>
      <c r="AP15931" s="9">
        <v>3.2392663672578674</v>
      </c>
    </row>
    <row r="15932" spans="40:42" x14ac:dyDescent="0.3">
      <c r="AN15932">
        <v>15928</v>
      </c>
      <c r="AO15932" s="11">
        <v>16405.310000000001</v>
      </c>
      <c r="AP15932" s="9">
        <v>3.2171621571491524</v>
      </c>
    </row>
    <row r="15933" spans="40:42" x14ac:dyDescent="0.3">
      <c r="AN15933">
        <v>15929</v>
      </c>
      <c r="AO15933" s="11">
        <v>16395.849999999999</v>
      </c>
      <c r="AP15933" s="9">
        <v>2.8483559031039958</v>
      </c>
    </row>
    <row r="15934" spans="40:42" x14ac:dyDescent="0.3">
      <c r="AN15934">
        <v>15930</v>
      </c>
      <c r="AO15934" s="11">
        <v>17090.86</v>
      </c>
      <c r="AP15934" s="9">
        <v>3.3441267953637266</v>
      </c>
    </row>
    <row r="15935" spans="40:42" x14ac:dyDescent="0.3">
      <c r="AN15935">
        <v>15931</v>
      </c>
      <c r="AO15935" s="11">
        <v>29206.14</v>
      </c>
      <c r="AP15935" s="9">
        <v>3.1063063167328235</v>
      </c>
    </row>
    <row r="15936" spans="40:42" x14ac:dyDescent="0.3">
      <c r="AN15936">
        <v>15932</v>
      </c>
      <c r="AO15936" s="11">
        <v>16945.72</v>
      </c>
      <c r="AP15936" s="9">
        <v>2.8157622120711152</v>
      </c>
    </row>
    <row r="15937" spans="40:42" x14ac:dyDescent="0.3">
      <c r="AN15937">
        <v>15933</v>
      </c>
      <c r="AO15937" s="11">
        <v>37368.68</v>
      </c>
      <c r="AP15937" s="9">
        <v>3.8437678196846434</v>
      </c>
    </row>
    <row r="15938" spans="40:42" x14ac:dyDescent="0.3">
      <c r="AN15938">
        <v>15934</v>
      </c>
      <c r="AO15938" s="11">
        <v>26654.17</v>
      </c>
      <c r="AP15938" s="9">
        <v>3.3205229389191704</v>
      </c>
    </row>
    <row r="15939" spans="40:42" x14ac:dyDescent="0.3">
      <c r="AN15939">
        <v>15935</v>
      </c>
      <c r="AO15939" s="11">
        <v>20682.3</v>
      </c>
      <c r="AP15939" s="9">
        <v>3.5226967549907555</v>
      </c>
    </row>
    <row r="15940" spans="40:42" x14ac:dyDescent="0.3">
      <c r="AN15940">
        <v>15936</v>
      </c>
      <c r="AO15940" s="11">
        <v>39246.28</v>
      </c>
      <c r="AP15940" s="9">
        <v>3.9899459418220191</v>
      </c>
    </row>
    <row r="15941" spans="40:42" x14ac:dyDescent="0.3">
      <c r="AN15941">
        <v>15937</v>
      </c>
      <c r="AO15941" s="11">
        <v>14925.83</v>
      </c>
      <c r="AP15941" s="9">
        <v>2.9469338964387539</v>
      </c>
    </row>
    <row r="15942" spans="40:42" x14ac:dyDescent="0.3">
      <c r="AN15942">
        <v>15938</v>
      </c>
      <c r="AO15942" s="11">
        <v>25663.51</v>
      </c>
      <c r="AP15942" s="9">
        <v>3.8719169595837903</v>
      </c>
    </row>
    <row r="15943" spans="40:42" x14ac:dyDescent="0.3">
      <c r="AN15943">
        <v>15939</v>
      </c>
      <c r="AO15943" s="11">
        <v>33807.910000000003</v>
      </c>
      <c r="AP15943" s="9">
        <v>3.7493783879669795</v>
      </c>
    </row>
    <row r="15944" spans="40:42" x14ac:dyDescent="0.3">
      <c r="AN15944">
        <v>15940</v>
      </c>
      <c r="AO15944" s="11">
        <v>25846.27</v>
      </c>
      <c r="AP15944" s="9">
        <v>2.9614599727111544</v>
      </c>
    </row>
    <row r="15945" spans="40:42" x14ac:dyDescent="0.3">
      <c r="AN15945">
        <v>15941</v>
      </c>
      <c r="AO15945" s="11">
        <v>34354.51</v>
      </c>
      <c r="AP15945" s="9">
        <v>3.2289162379218035</v>
      </c>
    </row>
    <row r="15946" spans="40:42" x14ac:dyDescent="0.3">
      <c r="AN15946">
        <v>15942</v>
      </c>
      <c r="AO15946" s="11">
        <v>41615.47</v>
      </c>
      <c r="AP15946" s="9">
        <v>3.6186074861653359</v>
      </c>
    </row>
    <row r="15947" spans="40:42" x14ac:dyDescent="0.3">
      <c r="AN15947">
        <v>15943</v>
      </c>
      <c r="AO15947" s="11">
        <v>29638.27</v>
      </c>
      <c r="AP15947" s="9">
        <v>3.2271389060693387</v>
      </c>
    </row>
    <row r="15948" spans="40:42" x14ac:dyDescent="0.3">
      <c r="AN15948">
        <v>15944</v>
      </c>
      <c r="AO15948" s="11">
        <v>19835.45</v>
      </c>
      <c r="AP15948" s="9">
        <v>2.7470832436185559</v>
      </c>
    </row>
    <row r="15949" spans="40:42" x14ac:dyDescent="0.3">
      <c r="AN15949">
        <v>15945</v>
      </c>
      <c r="AO15949" s="11">
        <v>17280.96</v>
      </c>
      <c r="AP15949" s="9">
        <v>2.9846784385425642</v>
      </c>
    </row>
    <row r="15950" spans="40:42" x14ac:dyDescent="0.3">
      <c r="AN15950">
        <v>15946</v>
      </c>
      <c r="AO15950" s="11">
        <v>33951.279999999999</v>
      </c>
      <c r="AP15950" s="9">
        <v>3.8755172308325179</v>
      </c>
    </row>
    <row r="15951" spans="40:42" x14ac:dyDescent="0.3">
      <c r="AN15951">
        <v>15947</v>
      </c>
      <c r="AO15951" s="11">
        <v>24647.45</v>
      </c>
      <c r="AP15951" s="9">
        <v>2.9871857197425551</v>
      </c>
    </row>
    <row r="15952" spans="40:42" x14ac:dyDescent="0.3">
      <c r="AN15952">
        <v>15948</v>
      </c>
      <c r="AO15952" s="11">
        <v>25818.19</v>
      </c>
      <c r="AP15952" s="9">
        <v>3.7886528643846131</v>
      </c>
    </row>
    <row r="15953" spans="40:42" x14ac:dyDescent="0.3">
      <c r="AN15953">
        <v>15949</v>
      </c>
      <c r="AO15953" s="11">
        <v>31418.3</v>
      </c>
      <c r="AP15953" s="9">
        <v>3.6280018801034779</v>
      </c>
    </row>
    <row r="15954" spans="40:42" x14ac:dyDescent="0.3">
      <c r="AN15954">
        <v>15950</v>
      </c>
      <c r="AO15954" s="11">
        <v>23070.04</v>
      </c>
      <c r="AP15954" s="9">
        <v>3.5628879688681043</v>
      </c>
    </row>
    <row r="15955" spans="40:42" x14ac:dyDescent="0.3">
      <c r="AN15955">
        <v>15951</v>
      </c>
      <c r="AO15955" s="11">
        <v>30512.54</v>
      </c>
      <c r="AP15955" s="9">
        <v>3.204599051690054</v>
      </c>
    </row>
    <row r="15956" spans="40:42" x14ac:dyDescent="0.3">
      <c r="AN15956">
        <v>15952</v>
      </c>
      <c r="AO15956" s="11">
        <v>24649.21</v>
      </c>
      <c r="AP15956" s="9">
        <v>3.2852595727207121</v>
      </c>
    </row>
    <row r="15957" spans="40:42" x14ac:dyDescent="0.3">
      <c r="AN15957">
        <v>15953</v>
      </c>
      <c r="AO15957" s="11">
        <v>25929.439999999999</v>
      </c>
      <c r="AP15957" s="9">
        <v>3.7310872677097184</v>
      </c>
    </row>
    <row r="15958" spans="40:42" x14ac:dyDescent="0.3">
      <c r="AN15958">
        <v>15954</v>
      </c>
      <c r="AO15958" s="11">
        <v>25769.82</v>
      </c>
      <c r="AP15958" s="9">
        <v>3.551469053095889</v>
      </c>
    </row>
    <row r="15959" spans="40:42" x14ac:dyDescent="0.3">
      <c r="AN15959">
        <v>15955</v>
      </c>
      <c r="AO15959" s="11">
        <v>35467.120000000003</v>
      </c>
      <c r="AP15959" s="9">
        <v>3.8085523362151803</v>
      </c>
    </row>
    <row r="15960" spans="40:42" x14ac:dyDescent="0.3">
      <c r="AN15960">
        <v>15956</v>
      </c>
      <c r="AO15960" s="11">
        <v>28583.74</v>
      </c>
      <c r="AP15960" s="9">
        <v>3.2113221585289051</v>
      </c>
    </row>
    <row r="15961" spans="40:42" x14ac:dyDescent="0.3">
      <c r="AN15961">
        <v>15957</v>
      </c>
      <c r="AO15961" s="11">
        <v>34338.199999999997</v>
      </c>
      <c r="AP15961" s="9">
        <v>3.503591252229254</v>
      </c>
    </row>
    <row r="15962" spans="40:42" x14ac:dyDescent="0.3">
      <c r="AN15962">
        <v>15958</v>
      </c>
      <c r="AO15962" s="11">
        <v>28814.78</v>
      </c>
      <c r="AP15962" s="9">
        <v>3.6074255798793273</v>
      </c>
    </row>
    <row r="15963" spans="40:42" x14ac:dyDescent="0.3">
      <c r="AN15963">
        <v>15959</v>
      </c>
      <c r="AO15963" s="11">
        <v>27242.080000000002</v>
      </c>
      <c r="AP15963" s="9">
        <v>2.6518390981905933</v>
      </c>
    </row>
    <row r="15964" spans="40:42" x14ac:dyDescent="0.3">
      <c r="AN15964">
        <v>15960</v>
      </c>
      <c r="AO15964" s="11">
        <v>27548.21</v>
      </c>
      <c r="AP15964" s="9">
        <v>2.992808372177179</v>
      </c>
    </row>
    <row r="15965" spans="40:42" x14ac:dyDescent="0.3">
      <c r="AN15965">
        <v>15961</v>
      </c>
      <c r="AO15965" s="11">
        <v>39947.11</v>
      </c>
      <c r="AP15965" s="9">
        <v>3.8479596966015395</v>
      </c>
    </row>
    <row r="15966" spans="40:42" x14ac:dyDescent="0.3">
      <c r="AN15966">
        <v>15962</v>
      </c>
      <c r="AO15966" s="11">
        <v>33589.599999999999</v>
      </c>
      <c r="AP15966" s="9">
        <v>3.5276106282418844</v>
      </c>
    </row>
    <row r="15967" spans="40:42" x14ac:dyDescent="0.3">
      <c r="AN15967">
        <v>15963</v>
      </c>
      <c r="AO15967" s="11">
        <v>32834.269999999997</v>
      </c>
      <c r="AP15967" s="9">
        <v>3.1648836759602696</v>
      </c>
    </row>
    <row r="15968" spans="40:42" x14ac:dyDescent="0.3">
      <c r="AN15968">
        <v>15964</v>
      </c>
      <c r="AO15968" s="11">
        <v>22626.83</v>
      </c>
      <c r="AP15968" s="9">
        <v>3.3211671702636849</v>
      </c>
    </row>
    <row r="15969" spans="40:42" x14ac:dyDescent="0.3">
      <c r="AN15969">
        <v>15965</v>
      </c>
      <c r="AO15969" s="11">
        <v>26430.16</v>
      </c>
      <c r="AP15969" s="9">
        <v>3.8280303328175207</v>
      </c>
    </row>
    <row r="15970" spans="40:42" x14ac:dyDescent="0.3">
      <c r="AN15970">
        <v>15966</v>
      </c>
      <c r="AO15970" s="11">
        <v>26154.59</v>
      </c>
      <c r="AP15970" s="9">
        <v>3.3417908559300176</v>
      </c>
    </row>
    <row r="15971" spans="40:42" x14ac:dyDescent="0.3">
      <c r="AN15971">
        <v>15967</v>
      </c>
      <c r="AO15971" s="11">
        <v>31044.89</v>
      </c>
      <c r="AP15971" s="9">
        <v>3.2153114127513174</v>
      </c>
    </row>
    <row r="15972" spans="40:42" x14ac:dyDescent="0.3">
      <c r="AN15972">
        <v>15968</v>
      </c>
      <c r="AO15972" s="11">
        <v>20978.720000000001</v>
      </c>
      <c r="AP15972" s="9">
        <v>2.7638282181513514</v>
      </c>
    </row>
    <row r="15973" spans="40:42" x14ac:dyDescent="0.3">
      <c r="AN15973">
        <v>15969</v>
      </c>
      <c r="AO15973" s="11">
        <v>28052.19</v>
      </c>
      <c r="AP15973" s="9">
        <v>4.3046857900935205</v>
      </c>
    </row>
    <row r="15974" spans="40:42" x14ac:dyDescent="0.3">
      <c r="AN15974">
        <v>15970</v>
      </c>
      <c r="AO15974" s="11">
        <v>32448.78</v>
      </c>
      <c r="AP15974" s="9">
        <v>2.9734101574655165</v>
      </c>
    </row>
    <row r="15975" spans="40:42" x14ac:dyDescent="0.3">
      <c r="AN15975">
        <v>15971</v>
      </c>
      <c r="AO15975" s="11">
        <v>28415.78</v>
      </c>
      <c r="AP15975" s="9">
        <v>4.3676166229809192</v>
      </c>
    </row>
    <row r="15976" spans="40:42" x14ac:dyDescent="0.3">
      <c r="AN15976">
        <v>15972</v>
      </c>
      <c r="AO15976" s="11">
        <v>16115.54</v>
      </c>
      <c r="AP15976" s="9">
        <v>3.6560683856313649</v>
      </c>
    </row>
    <row r="15977" spans="40:42" x14ac:dyDescent="0.3">
      <c r="AN15977">
        <v>15973</v>
      </c>
      <c r="AO15977" s="11">
        <v>28131.77</v>
      </c>
      <c r="AP15977" s="9">
        <v>2.9551475291058527</v>
      </c>
    </row>
    <row r="15978" spans="40:42" x14ac:dyDescent="0.3">
      <c r="AN15978">
        <v>15974</v>
      </c>
      <c r="AO15978" s="11">
        <v>18403.580000000002</v>
      </c>
      <c r="AP15978" s="9">
        <v>3.6805673967374721</v>
      </c>
    </row>
    <row r="15979" spans="40:42" x14ac:dyDescent="0.3">
      <c r="AN15979">
        <v>15975</v>
      </c>
      <c r="AO15979" s="11">
        <v>27535.3</v>
      </c>
      <c r="AP15979" s="9">
        <v>3.915726111235609</v>
      </c>
    </row>
    <row r="15980" spans="40:42" x14ac:dyDescent="0.3">
      <c r="AN15980">
        <v>15976</v>
      </c>
      <c r="AO15980" s="11">
        <v>29052.93</v>
      </c>
      <c r="AP15980" s="9">
        <v>2.9179165622070462</v>
      </c>
    </row>
    <row r="15981" spans="40:42" x14ac:dyDescent="0.3">
      <c r="AN15981">
        <v>15977</v>
      </c>
      <c r="AO15981" s="11">
        <v>12961.37</v>
      </c>
      <c r="AP15981" s="9">
        <v>3.2513145931164198</v>
      </c>
    </row>
    <row r="15982" spans="40:42" x14ac:dyDescent="0.3">
      <c r="AN15982">
        <v>15978</v>
      </c>
      <c r="AO15982" s="11">
        <v>29826.36</v>
      </c>
      <c r="AP15982" s="9">
        <v>3.6610039407652311</v>
      </c>
    </row>
    <row r="15983" spans="40:42" x14ac:dyDescent="0.3">
      <c r="AN15983">
        <v>15979</v>
      </c>
      <c r="AO15983" s="11">
        <v>19274.13</v>
      </c>
      <c r="AP15983" s="9">
        <v>3.0774271847050745</v>
      </c>
    </row>
    <row r="15984" spans="40:42" x14ac:dyDescent="0.3">
      <c r="AN15984">
        <v>15980</v>
      </c>
      <c r="AO15984" s="11">
        <v>26877.67</v>
      </c>
      <c r="AP15984" s="9">
        <v>2.6347747493865201</v>
      </c>
    </row>
    <row r="15985" spans="40:42" x14ac:dyDescent="0.3">
      <c r="AN15985">
        <v>15981</v>
      </c>
      <c r="AO15985" s="11">
        <v>20694.77</v>
      </c>
      <c r="AP15985" s="9">
        <v>3.4703959493639576</v>
      </c>
    </row>
    <row r="15986" spans="40:42" x14ac:dyDescent="0.3">
      <c r="AN15986">
        <v>15982</v>
      </c>
      <c r="AO15986" s="11">
        <v>22624.57</v>
      </c>
      <c r="AP15986" s="9">
        <v>3.4666002808528118</v>
      </c>
    </row>
    <row r="15987" spans="40:42" x14ac:dyDescent="0.3">
      <c r="AN15987">
        <v>15983</v>
      </c>
      <c r="AO15987" s="11">
        <v>22128.59</v>
      </c>
      <c r="AP15987" s="9">
        <v>3.9187690847421734</v>
      </c>
    </row>
    <row r="15988" spans="40:42" x14ac:dyDescent="0.3">
      <c r="AN15988">
        <v>15984</v>
      </c>
      <c r="AO15988" s="11">
        <v>21118.92</v>
      </c>
      <c r="AP15988" s="9">
        <v>2.948207107305159</v>
      </c>
    </row>
    <row r="15989" spans="40:42" x14ac:dyDescent="0.3">
      <c r="AN15989">
        <v>15985</v>
      </c>
      <c r="AO15989" s="11">
        <v>33723.96</v>
      </c>
      <c r="AP15989" s="9">
        <v>3.2359465182370206</v>
      </c>
    </row>
    <row r="15990" spans="40:42" x14ac:dyDescent="0.3">
      <c r="AN15990">
        <v>15986</v>
      </c>
      <c r="AO15990" s="11">
        <v>27196.16</v>
      </c>
      <c r="AP15990" s="9">
        <v>3.5769718794353267</v>
      </c>
    </row>
    <row r="15991" spans="40:42" x14ac:dyDescent="0.3">
      <c r="AN15991">
        <v>15987</v>
      </c>
      <c r="AO15991" s="11">
        <v>23442.38</v>
      </c>
      <c r="AP15991" s="9">
        <v>2.8636732804602461</v>
      </c>
    </row>
    <row r="15992" spans="40:42" x14ac:dyDescent="0.3">
      <c r="AN15992">
        <v>15988</v>
      </c>
      <c r="AO15992" s="11">
        <v>36184.559999999998</v>
      </c>
      <c r="AP15992" s="9">
        <v>3.3203631138928973</v>
      </c>
    </row>
    <row r="15993" spans="40:42" x14ac:dyDescent="0.3">
      <c r="AN15993">
        <v>15989</v>
      </c>
      <c r="AO15993" s="11">
        <v>22369.19</v>
      </c>
      <c r="AP15993" s="9">
        <v>3.3964346816105841</v>
      </c>
    </row>
    <row r="15994" spans="40:42" x14ac:dyDescent="0.3">
      <c r="AN15994">
        <v>15990</v>
      </c>
      <c r="AO15994" s="11">
        <v>30669.9</v>
      </c>
      <c r="AP15994" s="9">
        <v>3.4539840562662834</v>
      </c>
    </row>
    <row r="15995" spans="40:42" x14ac:dyDescent="0.3">
      <c r="AN15995">
        <v>15991</v>
      </c>
      <c r="AO15995" s="11">
        <v>19306.169999999998</v>
      </c>
      <c r="AP15995" s="9">
        <v>2.9613960454963961</v>
      </c>
    </row>
    <row r="15996" spans="40:42" x14ac:dyDescent="0.3">
      <c r="AN15996">
        <v>15992</v>
      </c>
      <c r="AO15996" s="11">
        <v>21771.94</v>
      </c>
      <c r="AP15996" s="9">
        <v>3.1895147750398882</v>
      </c>
    </row>
    <row r="15997" spans="40:42" x14ac:dyDescent="0.3">
      <c r="AN15997">
        <v>15993</v>
      </c>
      <c r="AO15997" s="11">
        <v>28644.99</v>
      </c>
      <c r="AP15997" s="9">
        <v>3.5337909395174258</v>
      </c>
    </row>
    <row r="15998" spans="40:42" x14ac:dyDescent="0.3">
      <c r="AN15998">
        <v>15994</v>
      </c>
      <c r="AO15998" s="11">
        <v>29916.27</v>
      </c>
      <c r="AP15998" s="9">
        <v>3.2137188521648663</v>
      </c>
    </row>
    <row r="15999" spans="40:42" x14ac:dyDescent="0.3">
      <c r="AN15999">
        <v>15995</v>
      </c>
      <c r="AO15999" s="11">
        <v>13284.74</v>
      </c>
      <c r="AP15999" s="9">
        <v>2.8319616761608248</v>
      </c>
    </row>
    <row r="16000" spans="40:42" x14ac:dyDescent="0.3">
      <c r="AN16000">
        <v>15996</v>
      </c>
      <c r="AO16000" s="11">
        <v>30580.42</v>
      </c>
      <c r="AP16000" s="9">
        <v>3.2844172753068817</v>
      </c>
    </row>
    <row r="16001" spans="40:42" x14ac:dyDescent="0.3">
      <c r="AN16001">
        <v>15997</v>
      </c>
      <c r="AO16001" s="11">
        <v>31149.16</v>
      </c>
      <c r="AP16001" s="9">
        <v>3.5813100849957715</v>
      </c>
    </row>
    <row r="16002" spans="40:42" x14ac:dyDescent="0.3">
      <c r="AN16002">
        <v>15998</v>
      </c>
      <c r="AO16002" s="11">
        <v>29755.95</v>
      </c>
      <c r="AP16002" s="9">
        <v>3.5972780877997033</v>
      </c>
    </row>
    <row r="16003" spans="40:42" x14ac:dyDescent="0.3">
      <c r="AN16003">
        <v>15999</v>
      </c>
      <c r="AO16003" s="11">
        <v>14198.19</v>
      </c>
      <c r="AP16003" s="9">
        <v>3.0850982030020453</v>
      </c>
    </row>
    <row r="16004" spans="40:42" x14ac:dyDescent="0.3">
      <c r="AN16004">
        <v>16000</v>
      </c>
      <c r="AO16004" s="11">
        <v>23689.18</v>
      </c>
      <c r="AP16004" s="9">
        <v>2.965821214794818</v>
      </c>
    </row>
    <row r="16005" spans="40:42" x14ac:dyDescent="0.3">
      <c r="AN16005">
        <v>16001</v>
      </c>
      <c r="AO16005" s="11">
        <v>31221.86</v>
      </c>
      <c r="AP16005" s="9">
        <v>4.3147301657830601</v>
      </c>
    </row>
    <row r="16006" spans="40:42" x14ac:dyDescent="0.3">
      <c r="AN16006">
        <v>16002</v>
      </c>
      <c r="AO16006" s="11">
        <v>49703</v>
      </c>
      <c r="AP16006" s="9">
        <v>3.7338417283248178</v>
      </c>
    </row>
    <row r="16007" spans="40:42" x14ac:dyDescent="0.3">
      <c r="AN16007">
        <v>16003</v>
      </c>
      <c r="AO16007" s="11">
        <v>33059.769999999997</v>
      </c>
      <c r="AP16007" s="9">
        <v>3.4674599096436571</v>
      </c>
    </row>
    <row r="16008" spans="40:42" x14ac:dyDescent="0.3">
      <c r="AN16008">
        <v>16004</v>
      </c>
      <c r="AO16008" s="11">
        <v>12999.58</v>
      </c>
      <c r="AP16008" s="9">
        <v>2.5062388302429377</v>
      </c>
    </row>
    <row r="16009" spans="40:42" x14ac:dyDescent="0.3">
      <c r="AN16009">
        <v>16005</v>
      </c>
      <c r="AO16009" s="11">
        <v>29211.41</v>
      </c>
      <c r="AP16009" s="9">
        <v>3.0698851928932234</v>
      </c>
    </row>
    <row r="16010" spans="40:42" x14ac:dyDescent="0.3">
      <c r="AN16010">
        <v>16006</v>
      </c>
      <c r="AO16010" s="11">
        <v>29042.65</v>
      </c>
      <c r="AP16010" s="9">
        <v>3.1834954591355795</v>
      </c>
    </row>
    <row r="16011" spans="40:42" x14ac:dyDescent="0.3">
      <c r="AN16011">
        <v>16007</v>
      </c>
      <c r="AO16011" s="11">
        <v>22648.11</v>
      </c>
      <c r="AP16011" s="9">
        <v>3.3502637586823556</v>
      </c>
    </row>
    <row r="16012" spans="40:42" x14ac:dyDescent="0.3">
      <c r="AN16012">
        <v>16008</v>
      </c>
      <c r="AO16012" s="11">
        <v>16266.27</v>
      </c>
      <c r="AP16012" s="9">
        <v>3.3562571756155384</v>
      </c>
    </row>
    <row r="16013" spans="40:42" x14ac:dyDescent="0.3">
      <c r="AN16013">
        <v>16009</v>
      </c>
      <c r="AO16013" s="11">
        <v>23853.82</v>
      </c>
      <c r="AP16013" s="9">
        <v>3.6290989860560345</v>
      </c>
    </row>
    <row r="16014" spans="40:42" x14ac:dyDescent="0.3">
      <c r="AN16014">
        <v>16010</v>
      </c>
      <c r="AO16014" s="11">
        <v>23128.18</v>
      </c>
      <c r="AP16014" s="9">
        <v>3.2209993263922172</v>
      </c>
    </row>
    <row r="16015" spans="40:42" x14ac:dyDescent="0.3">
      <c r="AN16015">
        <v>16011</v>
      </c>
      <c r="AO16015" s="11">
        <v>27371.1</v>
      </c>
      <c r="AP16015" s="9">
        <v>3.8342558192369212</v>
      </c>
    </row>
    <row r="16016" spans="40:42" x14ac:dyDescent="0.3">
      <c r="AN16016">
        <v>16012</v>
      </c>
      <c r="AO16016" s="11">
        <v>33023.800000000003</v>
      </c>
      <c r="AP16016" s="9">
        <v>3.3463945558102344</v>
      </c>
    </row>
    <row r="16017" spans="40:42" x14ac:dyDescent="0.3">
      <c r="AN16017">
        <v>16013</v>
      </c>
      <c r="AO16017" s="11">
        <v>28155.05</v>
      </c>
      <c r="AP16017" s="9">
        <v>3.2936876670002748</v>
      </c>
    </row>
    <row r="16018" spans="40:42" x14ac:dyDescent="0.3">
      <c r="AN16018">
        <v>16014</v>
      </c>
      <c r="AO16018" s="11">
        <v>20344.060000000001</v>
      </c>
      <c r="AP16018" s="9">
        <v>2.9409375810895324</v>
      </c>
    </row>
    <row r="16019" spans="40:42" x14ac:dyDescent="0.3">
      <c r="AN16019">
        <v>16015</v>
      </c>
      <c r="AO16019" s="11">
        <v>28328.34</v>
      </c>
      <c r="AP16019" s="9">
        <v>3.5988986738328355</v>
      </c>
    </row>
    <row r="16020" spans="40:42" x14ac:dyDescent="0.3">
      <c r="AN16020">
        <v>16016</v>
      </c>
      <c r="AO16020" s="11">
        <v>11844.79</v>
      </c>
      <c r="AP16020" s="9">
        <v>2.9664372233823131</v>
      </c>
    </row>
    <row r="16021" spans="40:42" x14ac:dyDescent="0.3">
      <c r="AN16021">
        <v>16017</v>
      </c>
      <c r="AO16021" s="11">
        <v>41026.11</v>
      </c>
      <c r="AP16021" s="9">
        <v>3.4683446143766874</v>
      </c>
    </row>
    <row r="16022" spans="40:42" x14ac:dyDescent="0.3">
      <c r="AN16022">
        <v>16018</v>
      </c>
      <c r="AO16022" s="11">
        <v>34185.269999999997</v>
      </c>
      <c r="AP16022" s="9">
        <v>3.3316163670690586</v>
      </c>
    </row>
    <row r="16023" spans="40:42" x14ac:dyDescent="0.3">
      <c r="AN16023">
        <v>16019</v>
      </c>
      <c r="AO16023" s="11">
        <v>25750.34</v>
      </c>
      <c r="AP16023" s="9">
        <v>3.8866157550444194</v>
      </c>
    </row>
    <row r="16024" spans="40:42" x14ac:dyDescent="0.3">
      <c r="AN16024">
        <v>16020</v>
      </c>
      <c r="AO16024" s="11">
        <v>18043.8</v>
      </c>
      <c r="AP16024" s="9">
        <v>3.3767392943638352</v>
      </c>
    </row>
    <row r="16025" spans="40:42" x14ac:dyDescent="0.3">
      <c r="AN16025">
        <v>16021</v>
      </c>
      <c r="AO16025" s="11">
        <v>47413.64</v>
      </c>
      <c r="AP16025" s="9">
        <v>3.4854191784356798</v>
      </c>
    </row>
    <row r="16026" spans="40:42" x14ac:dyDescent="0.3">
      <c r="AN16026">
        <v>16022</v>
      </c>
      <c r="AO16026" s="11">
        <v>24300.28</v>
      </c>
      <c r="AP16026" s="9">
        <v>2.9836872621885031</v>
      </c>
    </row>
    <row r="16027" spans="40:42" x14ac:dyDescent="0.3">
      <c r="AN16027">
        <v>16023</v>
      </c>
      <c r="AO16027" s="11">
        <v>24694.55</v>
      </c>
      <c r="AP16027" s="9">
        <v>2.6265996737299928</v>
      </c>
    </row>
    <row r="16028" spans="40:42" x14ac:dyDescent="0.3">
      <c r="AN16028">
        <v>16024</v>
      </c>
      <c r="AO16028" s="11">
        <v>28811.07</v>
      </c>
      <c r="AP16028" s="9">
        <v>3.1750580784779707</v>
      </c>
    </row>
    <row r="16029" spans="40:42" x14ac:dyDescent="0.3">
      <c r="AN16029">
        <v>16025</v>
      </c>
      <c r="AO16029" s="11">
        <v>21370.9</v>
      </c>
      <c r="AP16029" s="9">
        <v>3.4225580240452014</v>
      </c>
    </row>
    <row r="16030" spans="40:42" x14ac:dyDescent="0.3">
      <c r="AN16030">
        <v>16026</v>
      </c>
      <c r="AO16030" s="11">
        <v>19160.599999999999</v>
      </c>
      <c r="AP16030" s="9">
        <v>3.097822355638117</v>
      </c>
    </row>
    <row r="16031" spans="40:42" x14ac:dyDescent="0.3">
      <c r="AN16031">
        <v>16027</v>
      </c>
      <c r="AO16031" s="11">
        <v>23901.53</v>
      </c>
      <c r="AP16031" s="9">
        <v>3.5413551421043454</v>
      </c>
    </row>
    <row r="16032" spans="40:42" x14ac:dyDescent="0.3">
      <c r="AN16032">
        <v>16028</v>
      </c>
      <c r="AO16032" s="11">
        <v>20592.2</v>
      </c>
      <c r="AP16032" s="9">
        <v>4.1920437183038928</v>
      </c>
    </row>
    <row r="16033" spans="40:42" x14ac:dyDescent="0.3">
      <c r="AN16033">
        <v>16029</v>
      </c>
      <c r="AO16033" s="11">
        <v>26862.75</v>
      </c>
      <c r="AP16033" s="9">
        <v>3.2407641958628775</v>
      </c>
    </row>
    <row r="16034" spans="40:42" x14ac:dyDescent="0.3">
      <c r="AN16034">
        <v>16030</v>
      </c>
      <c r="AO16034" s="11">
        <v>38453.65</v>
      </c>
      <c r="AP16034" s="9">
        <v>3.9864027693135591</v>
      </c>
    </row>
    <row r="16035" spans="40:42" x14ac:dyDescent="0.3">
      <c r="AN16035">
        <v>16031</v>
      </c>
      <c r="AO16035" s="11">
        <v>47325.7</v>
      </c>
      <c r="AP16035" s="9">
        <v>4.0533158681167301</v>
      </c>
    </row>
    <row r="16036" spans="40:42" x14ac:dyDescent="0.3">
      <c r="AN16036">
        <v>16032</v>
      </c>
      <c r="AO16036" s="11">
        <v>37412.589999999997</v>
      </c>
      <c r="AP16036" s="9">
        <v>3.5513888169830494</v>
      </c>
    </row>
    <row r="16037" spans="40:42" x14ac:dyDescent="0.3">
      <c r="AN16037">
        <v>16033</v>
      </c>
      <c r="AO16037" s="11">
        <v>24451.56</v>
      </c>
      <c r="AP16037" s="9">
        <v>3.6743575191655409</v>
      </c>
    </row>
    <row r="16038" spans="40:42" x14ac:dyDescent="0.3">
      <c r="AN16038">
        <v>16034</v>
      </c>
      <c r="AO16038" s="11">
        <v>27108.959999999999</v>
      </c>
      <c r="AP16038" s="9">
        <v>3.8902075586912019</v>
      </c>
    </row>
    <row r="16039" spans="40:42" x14ac:dyDescent="0.3">
      <c r="AN16039">
        <v>16035</v>
      </c>
      <c r="AO16039" s="11">
        <v>38879.11</v>
      </c>
      <c r="AP16039" s="9">
        <v>3.7945959831136338</v>
      </c>
    </row>
    <row r="16040" spans="40:42" x14ac:dyDescent="0.3">
      <c r="AN16040">
        <v>16036</v>
      </c>
      <c r="AO16040" s="11">
        <v>31749.94</v>
      </c>
      <c r="AP16040" s="9">
        <v>3.1471032789069326</v>
      </c>
    </row>
    <row r="16041" spans="40:42" x14ac:dyDescent="0.3">
      <c r="AN16041">
        <v>16037</v>
      </c>
      <c r="AO16041" s="11">
        <v>14806.06</v>
      </c>
      <c r="AP16041" s="9">
        <v>2.9504396832201767</v>
      </c>
    </row>
    <row r="16042" spans="40:42" x14ac:dyDescent="0.3">
      <c r="AN16042">
        <v>16038</v>
      </c>
      <c r="AO16042" s="11">
        <v>28086.94</v>
      </c>
      <c r="AP16042" s="9">
        <v>2.8698292758196717</v>
      </c>
    </row>
    <row r="16043" spans="40:42" x14ac:dyDescent="0.3">
      <c r="AN16043">
        <v>16039</v>
      </c>
      <c r="AO16043" s="11">
        <v>30436.02</v>
      </c>
      <c r="AP16043" s="9">
        <v>3.9099658232072687</v>
      </c>
    </row>
    <row r="16044" spans="40:42" x14ac:dyDescent="0.3">
      <c r="AN16044">
        <v>16040</v>
      </c>
      <c r="AO16044" s="11">
        <v>24003.72</v>
      </c>
      <c r="AP16044" s="9">
        <v>3.8277123512337683</v>
      </c>
    </row>
    <row r="16045" spans="40:42" x14ac:dyDescent="0.3">
      <c r="AN16045">
        <v>16041</v>
      </c>
      <c r="AO16045" s="11">
        <v>18295.84</v>
      </c>
      <c r="AP16045" s="9">
        <v>3.1479792444845405</v>
      </c>
    </row>
    <row r="16046" spans="40:42" x14ac:dyDescent="0.3">
      <c r="AN16046">
        <v>16042</v>
      </c>
      <c r="AO16046" s="11">
        <v>33678.629999999997</v>
      </c>
      <c r="AP16046" s="9">
        <v>3.1668999374544455</v>
      </c>
    </row>
    <row r="16047" spans="40:42" x14ac:dyDescent="0.3">
      <c r="AN16047">
        <v>16043</v>
      </c>
      <c r="AO16047" s="11">
        <v>48689.67</v>
      </c>
      <c r="AP16047" s="9">
        <v>4.0621531630844689</v>
      </c>
    </row>
    <row r="16048" spans="40:42" x14ac:dyDescent="0.3">
      <c r="AN16048">
        <v>16044</v>
      </c>
      <c r="AO16048" s="11">
        <v>26075.48</v>
      </c>
      <c r="AP16048" s="9">
        <v>3.8107519967387811</v>
      </c>
    </row>
    <row r="16049" spans="40:42" x14ac:dyDescent="0.3">
      <c r="AN16049">
        <v>16045</v>
      </c>
      <c r="AO16049" s="11">
        <v>31172.53</v>
      </c>
      <c r="AP16049" s="9">
        <v>3.4206382214184079</v>
      </c>
    </row>
    <row r="16050" spans="40:42" x14ac:dyDescent="0.3">
      <c r="AN16050">
        <v>16046</v>
      </c>
      <c r="AO16050" s="11">
        <v>36905.4</v>
      </c>
      <c r="AP16050" s="9">
        <v>3.4485915053085066</v>
      </c>
    </row>
    <row r="16051" spans="40:42" x14ac:dyDescent="0.3">
      <c r="AN16051">
        <v>16047</v>
      </c>
      <c r="AO16051" s="11">
        <v>29578.35</v>
      </c>
      <c r="AP16051" s="9">
        <v>3.7754050745366925</v>
      </c>
    </row>
    <row r="16052" spans="40:42" x14ac:dyDescent="0.3">
      <c r="AN16052">
        <v>16048</v>
      </c>
      <c r="AO16052" s="11">
        <v>22039.43</v>
      </c>
      <c r="AP16052" s="9">
        <v>2.7145498199994411</v>
      </c>
    </row>
    <row r="16053" spans="40:42" x14ac:dyDescent="0.3">
      <c r="AN16053">
        <v>16049</v>
      </c>
      <c r="AO16053" s="11">
        <v>26363.759999999998</v>
      </c>
      <c r="AP16053" s="9">
        <v>3.7964160832768714</v>
      </c>
    </row>
    <row r="16054" spans="40:42" x14ac:dyDescent="0.3">
      <c r="AN16054">
        <v>16050</v>
      </c>
      <c r="AO16054" s="11">
        <v>22787.55</v>
      </c>
      <c r="AP16054" s="9">
        <v>3.3804409652673888</v>
      </c>
    </row>
    <row r="16055" spans="40:42" x14ac:dyDescent="0.3">
      <c r="AN16055">
        <v>16051</v>
      </c>
      <c r="AO16055" s="11">
        <v>33168.71</v>
      </c>
      <c r="AP16055" s="9">
        <v>3.8329647110705594</v>
      </c>
    </row>
    <row r="16056" spans="40:42" x14ac:dyDescent="0.3">
      <c r="AN16056">
        <v>16052</v>
      </c>
      <c r="AO16056" s="11">
        <v>32428.01</v>
      </c>
      <c r="AP16056" s="9">
        <v>3.2279821674983706</v>
      </c>
    </row>
    <row r="16057" spans="40:42" x14ac:dyDescent="0.3">
      <c r="AN16057">
        <v>16053</v>
      </c>
      <c r="AO16057" s="11">
        <v>25043.63</v>
      </c>
      <c r="AP16057" s="9">
        <v>3.5009080641803165</v>
      </c>
    </row>
    <row r="16058" spans="40:42" x14ac:dyDescent="0.3">
      <c r="AN16058">
        <v>16054</v>
      </c>
      <c r="AO16058" s="11">
        <v>28856.34</v>
      </c>
      <c r="AP16058" s="9">
        <v>3.3759903603829491</v>
      </c>
    </row>
    <row r="16059" spans="40:42" x14ac:dyDescent="0.3">
      <c r="AN16059">
        <v>16055</v>
      </c>
      <c r="AO16059" s="11">
        <v>24908.25</v>
      </c>
      <c r="AP16059" s="9">
        <v>3.2745341602506213</v>
      </c>
    </row>
    <row r="16060" spans="40:42" x14ac:dyDescent="0.3">
      <c r="AN16060">
        <v>16056</v>
      </c>
      <c r="AO16060" s="11">
        <v>20334.57</v>
      </c>
      <c r="AP16060" s="9">
        <v>3.2313338712729007</v>
      </c>
    </row>
    <row r="16061" spans="40:42" x14ac:dyDescent="0.3">
      <c r="AN16061">
        <v>16057</v>
      </c>
      <c r="AO16061" s="11">
        <v>30322.32</v>
      </c>
      <c r="AP16061" s="9">
        <v>3.8155714100843459</v>
      </c>
    </row>
    <row r="16062" spans="40:42" x14ac:dyDescent="0.3">
      <c r="AN16062">
        <v>16058</v>
      </c>
      <c r="AO16062" s="11">
        <v>19554.28</v>
      </c>
      <c r="AP16062" s="9">
        <v>3.7713772459274275</v>
      </c>
    </row>
    <row r="16063" spans="40:42" x14ac:dyDescent="0.3">
      <c r="AN16063">
        <v>16059</v>
      </c>
      <c r="AO16063" s="11">
        <v>22498.6</v>
      </c>
      <c r="AP16063" s="9">
        <v>2.8344896019123755</v>
      </c>
    </row>
    <row r="16064" spans="40:42" x14ac:dyDescent="0.3">
      <c r="AN16064">
        <v>16060</v>
      </c>
      <c r="AO16064" s="11">
        <v>28062.7</v>
      </c>
      <c r="AP16064" s="9">
        <v>3.6118803258809646</v>
      </c>
    </row>
    <row r="16065" spans="40:42" x14ac:dyDescent="0.3">
      <c r="AN16065">
        <v>16061</v>
      </c>
      <c r="AO16065" s="11">
        <v>28718.99</v>
      </c>
      <c r="AP16065" s="9">
        <v>3.0181914894108584</v>
      </c>
    </row>
    <row r="16066" spans="40:42" x14ac:dyDescent="0.3">
      <c r="AN16066">
        <v>16062</v>
      </c>
      <c r="AO16066" s="11">
        <v>31146.1</v>
      </c>
      <c r="AP16066" s="9">
        <v>4.6134558123118854</v>
      </c>
    </row>
    <row r="16067" spans="40:42" x14ac:dyDescent="0.3">
      <c r="AN16067">
        <v>16063</v>
      </c>
      <c r="AO16067" s="11">
        <v>20728.849999999999</v>
      </c>
      <c r="AP16067" s="9">
        <v>3.6878892648645594</v>
      </c>
    </row>
    <row r="16068" spans="40:42" x14ac:dyDescent="0.3">
      <c r="AN16068">
        <v>16064</v>
      </c>
      <c r="AO16068" s="11">
        <v>22502.39</v>
      </c>
      <c r="AP16068" s="9">
        <v>2.9806739005659222</v>
      </c>
    </row>
    <row r="16069" spans="40:42" x14ac:dyDescent="0.3">
      <c r="AN16069">
        <v>16065</v>
      </c>
      <c r="AO16069" s="11">
        <v>24869.3</v>
      </c>
      <c r="AP16069" s="9">
        <v>3.38093702249131</v>
      </c>
    </row>
    <row r="16070" spans="40:42" x14ac:dyDescent="0.3">
      <c r="AN16070">
        <v>16066</v>
      </c>
      <c r="AO16070" s="11">
        <v>29051.119999999999</v>
      </c>
      <c r="AP16070" s="9">
        <v>3.1002020982297496</v>
      </c>
    </row>
    <row r="16071" spans="40:42" x14ac:dyDescent="0.3">
      <c r="AN16071">
        <v>16067</v>
      </c>
      <c r="AO16071" s="11">
        <v>23864.25</v>
      </c>
      <c r="AP16071" s="9">
        <v>3.811312313865872</v>
      </c>
    </row>
    <row r="16072" spans="40:42" x14ac:dyDescent="0.3">
      <c r="AN16072">
        <v>16068</v>
      </c>
      <c r="AO16072" s="11">
        <v>19006.3</v>
      </c>
      <c r="AP16072" s="9">
        <v>3.7352785948253033</v>
      </c>
    </row>
    <row r="16073" spans="40:42" x14ac:dyDescent="0.3">
      <c r="AN16073">
        <v>16069</v>
      </c>
      <c r="AO16073" s="11">
        <v>24288.33</v>
      </c>
      <c r="AP16073" s="9">
        <v>3.5801580819740391</v>
      </c>
    </row>
    <row r="16074" spans="40:42" x14ac:dyDescent="0.3">
      <c r="AN16074">
        <v>16070</v>
      </c>
      <c r="AO16074" s="11">
        <v>20878.14</v>
      </c>
      <c r="AP16074" s="9">
        <v>3.5049375358135246</v>
      </c>
    </row>
    <row r="16075" spans="40:42" x14ac:dyDescent="0.3">
      <c r="AN16075">
        <v>16071</v>
      </c>
      <c r="AO16075" s="11">
        <v>25838.98</v>
      </c>
      <c r="AP16075" s="9">
        <v>2.9321573398502521</v>
      </c>
    </row>
    <row r="16076" spans="40:42" x14ac:dyDescent="0.3">
      <c r="AN16076">
        <v>16072</v>
      </c>
      <c r="AO16076" s="11">
        <v>30424.98</v>
      </c>
      <c r="AP16076" s="9">
        <v>3.3307716024698624</v>
      </c>
    </row>
    <row r="16077" spans="40:42" x14ac:dyDescent="0.3">
      <c r="AN16077">
        <v>16073</v>
      </c>
      <c r="AO16077" s="11">
        <v>31166.48</v>
      </c>
      <c r="AP16077" s="9">
        <v>3.6637490641401689</v>
      </c>
    </row>
    <row r="16078" spans="40:42" x14ac:dyDescent="0.3">
      <c r="AN16078">
        <v>16074</v>
      </c>
      <c r="AO16078" s="11">
        <v>19221.16</v>
      </c>
      <c r="AP16078" s="9">
        <v>3.1128566755213947</v>
      </c>
    </row>
    <row r="16079" spans="40:42" x14ac:dyDescent="0.3">
      <c r="AN16079">
        <v>16075</v>
      </c>
      <c r="AO16079" s="11">
        <v>26441.29</v>
      </c>
      <c r="AP16079" s="9">
        <v>3.2060120458297603</v>
      </c>
    </row>
    <row r="16080" spans="40:42" x14ac:dyDescent="0.3">
      <c r="AN16080">
        <v>16076</v>
      </c>
      <c r="AO16080" s="11">
        <v>23364.400000000001</v>
      </c>
      <c r="AP16080" s="9">
        <v>2.9318403622581628</v>
      </c>
    </row>
    <row r="16081" spans="40:42" x14ac:dyDescent="0.3">
      <c r="AN16081">
        <v>16077</v>
      </c>
      <c r="AO16081" s="11">
        <v>27111.99</v>
      </c>
      <c r="AP16081" s="9">
        <v>3.9306271874928593</v>
      </c>
    </row>
    <row r="16082" spans="40:42" x14ac:dyDescent="0.3">
      <c r="AN16082">
        <v>16078</v>
      </c>
      <c r="AO16082" s="11">
        <v>31439.01</v>
      </c>
      <c r="AP16082" s="9">
        <v>3.3972905482720899</v>
      </c>
    </row>
    <row r="16083" spans="40:42" x14ac:dyDescent="0.3">
      <c r="AN16083">
        <v>16079</v>
      </c>
      <c r="AO16083" s="11">
        <v>24094.2</v>
      </c>
      <c r="AP16083" s="9">
        <v>3.8738224283820912</v>
      </c>
    </row>
    <row r="16084" spans="40:42" x14ac:dyDescent="0.3">
      <c r="AN16084">
        <v>16080</v>
      </c>
      <c r="AO16084" s="11">
        <v>22602.38</v>
      </c>
      <c r="AP16084" s="9">
        <v>3.0372400581447359</v>
      </c>
    </row>
    <row r="16085" spans="40:42" x14ac:dyDescent="0.3">
      <c r="AN16085">
        <v>16081</v>
      </c>
      <c r="AO16085" s="11">
        <v>26784.63</v>
      </c>
      <c r="AP16085" s="9">
        <v>3.1241296927957771</v>
      </c>
    </row>
    <row r="16086" spans="40:42" x14ac:dyDescent="0.3">
      <c r="AN16086">
        <v>16082</v>
      </c>
      <c r="AO16086" s="11">
        <v>26083.09</v>
      </c>
      <c r="AP16086" s="9">
        <v>3.4645318746906382</v>
      </c>
    </row>
    <row r="16087" spans="40:42" x14ac:dyDescent="0.3">
      <c r="AN16087">
        <v>16083</v>
      </c>
      <c r="AO16087" s="11">
        <v>27529.95</v>
      </c>
      <c r="AP16087" s="9">
        <v>3.3092145471377101</v>
      </c>
    </row>
    <row r="16088" spans="40:42" x14ac:dyDescent="0.3">
      <c r="AN16088">
        <v>16084</v>
      </c>
      <c r="AO16088" s="11">
        <v>19244.599999999999</v>
      </c>
      <c r="AP16088" s="9">
        <v>3.0149148866768174</v>
      </c>
    </row>
    <row r="16089" spans="40:42" x14ac:dyDescent="0.3">
      <c r="AN16089">
        <v>16085</v>
      </c>
      <c r="AO16089" s="11">
        <v>37655.01</v>
      </c>
      <c r="AP16089" s="9">
        <v>3.5447006877423877</v>
      </c>
    </row>
    <row r="16090" spans="40:42" x14ac:dyDescent="0.3">
      <c r="AN16090">
        <v>16086</v>
      </c>
      <c r="AO16090" s="11">
        <v>24720.04</v>
      </c>
      <c r="AP16090" s="9">
        <v>3.4260064418684775</v>
      </c>
    </row>
    <row r="16091" spans="40:42" x14ac:dyDescent="0.3">
      <c r="AN16091">
        <v>16087</v>
      </c>
      <c r="AO16091" s="11">
        <v>16352.28</v>
      </c>
      <c r="AP16091" s="9">
        <v>3.6060587132472088</v>
      </c>
    </row>
    <row r="16092" spans="40:42" x14ac:dyDescent="0.3">
      <c r="AN16092">
        <v>16088</v>
      </c>
      <c r="AO16092" s="11">
        <v>32205.97</v>
      </c>
      <c r="AP16092" s="9">
        <v>3.5920751959926132</v>
      </c>
    </row>
    <row r="16093" spans="40:42" x14ac:dyDescent="0.3">
      <c r="AN16093">
        <v>16089</v>
      </c>
      <c r="AO16093" s="11">
        <v>25938.44</v>
      </c>
      <c r="AP16093" s="9">
        <v>4.0438452616059424</v>
      </c>
    </row>
    <row r="16094" spans="40:42" x14ac:dyDescent="0.3">
      <c r="AN16094">
        <v>16090</v>
      </c>
      <c r="AO16094" s="11">
        <v>14290.87</v>
      </c>
      <c r="AP16094" s="9">
        <v>3.2845211024043328</v>
      </c>
    </row>
    <row r="16095" spans="40:42" x14ac:dyDescent="0.3">
      <c r="AN16095">
        <v>16091</v>
      </c>
      <c r="AO16095" s="11">
        <v>23704.36</v>
      </c>
      <c r="AP16095" s="9">
        <v>3.3939818414614171</v>
      </c>
    </row>
    <row r="16096" spans="40:42" x14ac:dyDescent="0.3">
      <c r="AN16096">
        <v>16092</v>
      </c>
      <c r="AO16096" s="11">
        <v>34669.26</v>
      </c>
      <c r="AP16096" s="9">
        <v>3.2495610843672122</v>
      </c>
    </row>
    <row r="16097" spans="40:42" x14ac:dyDescent="0.3">
      <c r="AN16097">
        <v>16093</v>
      </c>
      <c r="AO16097" s="11">
        <v>22166.880000000001</v>
      </c>
      <c r="AP16097" s="9">
        <v>2.9842699784277098</v>
      </c>
    </row>
    <row r="16098" spans="40:42" x14ac:dyDescent="0.3">
      <c r="AN16098">
        <v>16094</v>
      </c>
      <c r="AO16098" s="11">
        <v>29204.47</v>
      </c>
      <c r="AP16098" s="9">
        <v>3.2897016703012025</v>
      </c>
    </row>
    <row r="16099" spans="40:42" x14ac:dyDescent="0.3">
      <c r="AN16099">
        <v>16095</v>
      </c>
      <c r="AO16099" s="11">
        <v>27648.81</v>
      </c>
      <c r="AP16099" s="9">
        <v>3.3414260661427182</v>
      </c>
    </row>
    <row r="16100" spans="40:42" x14ac:dyDescent="0.3">
      <c r="AN16100">
        <v>16096</v>
      </c>
      <c r="AO16100" s="11">
        <v>34014.400000000001</v>
      </c>
      <c r="AP16100" s="9">
        <v>3.4558466691178147</v>
      </c>
    </row>
    <row r="16101" spans="40:42" x14ac:dyDescent="0.3">
      <c r="AN16101">
        <v>16097</v>
      </c>
      <c r="AO16101" s="11">
        <v>29050.65</v>
      </c>
      <c r="AP16101" s="9">
        <v>3.1779329843607034</v>
      </c>
    </row>
    <row r="16102" spans="40:42" x14ac:dyDescent="0.3">
      <c r="AN16102">
        <v>16098</v>
      </c>
      <c r="AO16102" s="11">
        <v>35496.01</v>
      </c>
      <c r="AP16102" s="9">
        <v>2.9329344084705591</v>
      </c>
    </row>
    <row r="16103" spans="40:42" x14ac:dyDescent="0.3">
      <c r="AN16103">
        <v>16099</v>
      </c>
      <c r="AO16103" s="11">
        <v>28135.81</v>
      </c>
      <c r="AP16103" s="9">
        <v>3.5106642546385722</v>
      </c>
    </row>
    <row r="16104" spans="40:42" x14ac:dyDescent="0.3">
      <c r="AN16104">
        <v>16100</v>
      </c>
      <c r="AO16104" s="11">
        <v>23749.75</v>
      </c>
      <c r="AP16104" s="9">
        <v>3.1287703224927723</v>
      </c>
    </row>
    <row r="16105" spans="40:42" x14ac:dyDescent="0.3">
      <c r="AN16105">
        <v>16101</v>
      </c>
      <c r="AO16105" s="11">
        <v>22024.19</v>
      </c>
      <c r="AP16105" s="9">
        <v>3.8023197011540564</v>
      </c>
    </row>
    <row r="16106" spans="40:42" x14ac:dyDescent="0.3">
      <c r="AN16106">
        <v>16102</v>
      </c>
      <c r="AO16106" s="11">
        <v>24095.22</v>
      </c>
      <c r="AP16106" s="9">
        <v>3.5937945266751474</v>
      </c>
    </row>
    <row r="16107" spans="40:42" x14ac:dyDescent="0.3">
      <c r="AN16107">
        <v>16103</v>
      </c>
      <c r="AO16107" s="11">
        <v>28176.36</v>
      </c>
      <c r="AP16107" s="9">
        <v>3.1688009802663082</v>
      </c>
    </row>
    <row r="16108" spans="40:42" x14ac:dyDescent="0.3">
      <c r="AN16108">
        <v>16104</v>
      </c>
      <c r="AO16108" s="11">
        <v>23431.25</v>
      </c>
      <c r="AP16108" s="9">
        <v>3.1075861550008055</v>
      </c>
    </row>
    <row r="16109" spans="40:42" x14ac:dyDescent="0.3">
      <c r="AN16109">
        <v>16105</v>
      </c>
      <c r="AO16109" s="11">
        <v>27401.51</v>
      </c>
      <c r="AP16109" s="9">
        <v>3.5939778055680955</v>
      </c>
    </row>
    <row r="16110" spans="40:42" x14ac:dyDescent="0.3">
      <c r="AN16110">
        <v>16106</v>
      </c>
      <c r="AO16110" s="11">
        <v>30758</v>
      </c>
      <c r="AP16110" s="9">
        <v>2.8426831378151358</v>
      </c>
    </row>
    <row r="16111" spans="40:42" x14ac:dyDescent="0.3">
      <c r="AN16111">
        <v>16107</v>
      </c>
      <c r="AO16111" s="11">
        <v>29130.78</v>
      </c>
      <c r="AP16111" s="9">
        <v>3.4811764977028345</v>
      </c>
    </row>
    <row r="16112" spans="40:42" x14ac:dyDescent="0.3">
      <c r="AN16112">
        <v>16108</v>
      </c>
      <c r="AO16112" s="11">
        <v>31081.9</v>
      </c>
      <c r="AP16112" s="9">
        <v>3.3420965870548325</v>
      </c>
    </row>
    <row r="16113" spans="40:42" x14ac:dyDescent="0.3">
      <c r="AN16113">
        <v>16109</v>
      </c>
      <c r="AO16113" s="11">
        <v>25800.13</v>
      </c>
      <c r="AP16113" s="9">
        <v>3.2474623608682398</v>
      </c>
    </row>
    <row r="16114" spans="40:42" x14ac:dyDescent="0.3">
      <c r="AN16114">
        <v>16110</v>
      </c>
      <c r="AO16114" s="11">
        <v>24194.6</v>
      </c>
      <c r="AP16114" s="9">
        <v>3.2493950916876284</v>
      </c>
    </row>
    <row r="16115" spans="40:42" x14ac:dyDescent="0.3">
      <c r="AN16115">
        <v>16111</v>
      </c>
      <c r="AO16115" s="11">
        <v>33404.6</v>
      </c>
      <c r="AP16115" s="9">
        <v>2.6628867431840386</v>
      </c>
    </row>
    <row r="16116" spans="40:42" x14ac:dyDescent="0.3">
      <c r="AN16116">
        <v>16112</v>
      </c>
      <c r="AO16116" s="11">
        <v>34376.39</v>
      </c>
      <c r="AP16116" s="9">
        <v>3.5631442571572793</v>
      </c>
    </row>
    <row r="16117" spans="40:42" x14ac:dyDescent="0.3">
      <c r="AN16117">
        <v>16113</v>
      </c>
      <c r="AO16117" s="11">
        <v>24829.46</v>
      </c>
      <c r="AP16117" s="9">
        <v>3.0527501925602731</v>
      </c>
    </row>
    <row r="16118" spans="40:42" x14ac:dyDescent="0.3">
      <c r="AN16118">
        <v>16114</v>
      </c>
      <c r="AO16118" s="11">
        <v>27639.95</v>
      </c>
      <c r="AP16118" s="9">
        <v>3.4393462492852724</v>
      </c>
    </row>
    <row r="16119" spans="40:42" x14ac:dyDescent="0.3">
      <c r="AN16119">
        <v>16115</v>
      </c>
      <c r="AO16119" s="11">
        <v>37092.18</v>
      </c>
      <c r="AP16119" s="9">
        <v>4.3630834489244297</v>
      </c>
    </row>
    <row r="16120" spans="40:42" x14ac:dyDescent="0.3">
      <c r="AN16120">
        <v>16116</v>
      </c>
      <c r="AO16120" s="11">
        <v>20490.41</v>
      </c>
      <c r="AP16120" s="9">
        <v>3.2533840424564602</v>
      </c>
    </row>
    <row r="16121" spans="40:42" x14ac:dyDescent="0.3">
      <c r="AN16121">
        <v>16117</v>
      </c>
      <c r="AO16121" s="11">
        <v>17980</v>
      </c>
      <c r="AP16121" s="9">
        <v>3.4342027210731665</v>
      </c>
    </row>
    <row r="16122" spans="40:42" x14ac:dyDescent="0.3">
      <c r="AN16122">
        <v>16118</v>
      </c>
      <c r="AO16122" s="11">
        <v>22930.62</v>
      </c>
      <c r="AP16122" s="9">
        <v>3.021847447512322</v>
      </c>
    </row>
    <row r="16123" spans="40:42" x14ac:dyDescent="0.3">
      <c r="AN16123">
        <v>16119</v>
      </c>
      <c r="AO16123" s="11">
        <v>21315.55</v>
      </c>
      <c r="AP16123" s="9">
        <v>3.7904193532706962</v>
      </c>
    </row>
    <row r="16124" spans="40:42" x14ac:dyDescent="0.3">
      <c r="AN16124">
        <v>16120</v>
      </c>
      <c r="AO16124" s="11">
        <v>17054.86</v>
      </c>
      <c r="AP16124" s="9">
        <v>2.9188677085627091</v>
      </c>
    </row>
    <row r="16125" spans="40:42" x14ac:dyDescent="0.3">
      <c r="AN16125">
        <v>16121</v>
      </c>
      <c r="AO16125" s="11">
        <v>14089.47</v>
      </c>
      <c r="AP16125" s="9">
        <v>3.077465464264372</v>
      </c>
    </row>
    <row r="16126" spans="40:42" x14ac:dyDescent="0.3">
      <c r="AN16126">
        <v>16122</v>
      </c>
      <c r="AO16126" s="11">
        <v>21047.24</v>
      </c>
      <c r="AP16126" s="9">
        <v>3.2557800908240377</v>
      </c>
    </row>
    <row r="16127" spans="40:42" x14ac:dyDescent="0.3">
      <c r="AN16127">
        <v>16123</v>
      </c>
      <c r="AO16127" s="11">
        <v>41133.949999999997</v>
      </c>
      <c r="AP16127" s="9">
        <v>3.7870131119609116</v>
      </c>
    </row>
    <row r="16128" spans="40:42" x14ac:dyDescent="0.3">
      <c r="AN16128">
        <v>16124</v>
      </c>
      <c r="AO16128" s="11">
        <v>22854.62</v>
      </c>
      <c r="AP16128" s="9">
        <v>3.20542608693665</v>
      </c>
    </row>
    <row r="16129" spans="40:42" x14ac:dyDescent="0.3">
      <c r="AN16129">
        <v>16125</v>
      </c>
      <c r="AO16129" s="11">
        <v>27782.95</v>
      </c>
      <c r="AP16129" s="9">
        <v>3.5719076217831178</v>
      </c>
    </row>
    <row r="16130" spans="40:42" x14ac:dyDescent="0.3">
      <c r="AN16130">
        <v>16126</v>
      </c>
      <c r="AO16130" s="11">
        <v>20323.27</v>
      </c>
      <c r="AP16130" s="9">
        <v>3.2868423617905154</v>
      </c>
    </row>
    <row r="16131" spans="40:42" x14ac:dyDescent="0.3">
      <c r="AN16131">
        <v>16127</v>
      </c>
      <c r="AO16131" s="11">
        <v>26161.61</v>
      </c>
      <c r="AP16131" s="9">
        <v>4.3701530304945209</v>
      </c>
    </row>
    <row r="16132" spans="40:42" x14ac:dyDescent="0.3">
      <c r="AN16132">
        <v>16128</v>
      </c>
      <c r="AO16132" s="11">
        <v>30652.69</v>
      </c>
      <c r="AP16132" s="9">
        <v>3.2531649062718735</v>
      </c>
    </row>
    <row r="16133" spans="40:42" x14ac:dyDescent="0.3">
      <c r="AN16133">
        <v>16129</v>
      </c>
      <c r="AO16133" s="11">
        <v>37055.56</v>
      </c>
      <c r="AP16133" s="9">
        <v>2.9694234183425179</v>
      </c>
    </row>
    <row r="16134" spans="40:42" x14ac:dyDescent="0.3">
      <c r="AN16134">
        <v>16130</v>
      </c>
      <c r="AO16134" s="11">
        <v>23505.69</v>
      </c>
      <c r="AP16134" s="9">
        <v>3.460517343660968</v>
      </c>
    </row>
    <row r="16135" spans="40:42" x14ac:dyDescent="0.3">
      <c r="AN16135">
        <v>16131</v>
      </c>
      <c r="AO16135" s="11">
        <v>36536.410000000003</v>
      </c>
      <c r="AP16135" s="9">
        <v>3.1841696975286373</v>
      </c>
    </row>
    <row r="16136" spans="40:42" x14ac:dyDescent="0.3">
      <c r="AN16136">
        <v>16132</v>
      </c>
      <c r="AO16136" s="11">
        <v>20584.02</v>
      </c>
      <c r="AP16136" s="9">
        <v>3.2185227311238496</v>
      </c>
    </row>
    <row r="16137" spans="40:42" x14ac:dyDescent="0.3">
      <c r="AN16137">
        <v>16133</v>
      </c>
      <c r="AO16137" s="11">
        <v>20223.080000000002</v>
      </c>
      <c r="AP16137" s="9">
        <v>2.8370241540873362</v>
      </c>
    </row>
    <row r="16138" spans="40:42" x14ac:dyDescent="0.3">
      <c r="AN16138">
        <v>16134</v>
      </c>
      <c r="AO16138" s="11">
        <v>31017.89</v>
      </c>
      <c r="AP16138" s="9">
        <v>4.6564116160898967</v>
      </c>
    </row>
    <row r="16139" spans="40:42" x14ac:dyDescent="0.3">
      <c r="AN16139">
        <v>16135</v>
      </c>
      <c r="AO16139" s="11">
        <v>27115.79</v>
      </c>
      <c r="AP16139" s="9">
        <v>3.2608342630061973</v>
      </c>
    </row>
    <row r="16140" spans="40:42" x14ac:dyDescent="0.3">
      <c r="AN16140">
        <v>16136</v>
      </c>
      <c r="AO16140" s="11">
        <v>25331.86</v>
      </c>
      <c r="AP16140" s="9">
        <v>3.897327453315941</v>
      </c>
    </row>
    <row r="16141" spans="40:42" x14ac:dyDescent="0.3">
      <c r="AN16141">
        <v>16137</v>
      </c>
      <c r="AO16141" s="11">
        <v>23689.83</v>
      </c>
      <c r="AP16141" s="9">
        <v>3.1926504545942858</v>
      </c>
    </row>
    <row r="16142" spans="40:42" x14ac:dyDescent="0.3">
      <c r="AN16142">
        <v>16138</v>
      </c>
      <c r="AO16142" s="11">
        <v>44028.959999999999</v>
      </c>
      <c r="AP16142" s="9">
        <v>3.4543832395394927</v>
      </c>
    </row>
    <row r="16143" spans="40:42" x14ac:dyDescent="0.3">
      <c r="AN16143">
        <v>16139</v>
      </c>
      <c r="AO16143" s="11">
        <v>27809.88</v>
      </c>
      <c r="AP16143" s="9">
        <v>3.9169437988283073</v>
      </c>
    </row>
    <row r="16144" spans="40:42" x14ac:dyDescent="0.3">
      <c r="AN16144">
        <v>16140</v>
      </c>
      <c r="AO16144" s="11">
        <v>21987.22</v>
      </c>
      <c r="AP16144" s="9">
        <v>3.4029476714319569</v>
      </c>
    </row>
    <row r="16145" spans="40:42" x14ac:dyDescent="0.3">
      <c r="AN16145">
        <v>16141</v>
      </c>
      <c r="AO16145" s="11">
        <v>31462.23</v>
      </c>
      <c r="AP16145" s="9">
        <v>3.2488252737314682</v>
      </c>
    </row>
    <row r="16146" spans="40:42" x14ac:dyDescent="0.3">
      <c r="AN16146">
        <v>16142</v>
      </c>
      <c r="AO16146" s="11">
        <v>17048.66</v>
      </c>
      <c r="AP16146" s="9">
        <v>3.2260480982409994</v>
      </c>
    </row>
    <row r="16147" spans="40:42" x14ac:dyDescent="0.3">
      <c r="AN16147">
        <v>16143</v>
      </c>
      <c r="AO16147" s="11">
        <v>40549.01</v>
      </c>
      <c r="AP16147" s="9">
        <v>4.3842247377134376</v>
      </c>
    </row>
    <row r="16148" spans="40:42" x14ac:dyDescent="0.3">
      <c r="AN16148">
        <v>16144</v>
      </c>
      <c r="AO16148" s="11">
        <v>25411.11</v>
      </c>
      <c r="AP16148" s="9">
        <v>3.8281702738072858</v>
      </c>
    </row>
    <row r="16149" spans="40:42" x14ac:dyDescent="0.3">
      <c r="AN16149">
        <v>16145</v>
      </c>
      <c r="AO16149" s="11">
        <v>18613.87</v>
      </c>
      <c r="AP16149" s="9">
        <v>2.7379382664367991</v>
      </c>
    </row>
    <row r="16150" spans="40:42" x14ac:dyDescent="0.3">
      <c r="AN16150">
        <v>16146</v>
      </c>
      <c r="AO16150" s="11">
        <v>26100.48</v>
      </c>
      <c r="AP16150" s="9">
        <v>3.6722321268318869</v>
      </c>
    </row>
    <row r="16151" spans="40:42" x14ac:dyDescent="0.3">
      <c r="AN16151">
        <v>16147</v>
      </c>
      <c r="AO16151" s="11">
        <v>23948.52</v>
      </c>
      <c r="AP16151" s="9">
        <v>2.8560786885549567</v>
      </c>
    </row>
    <row r="16152" spans="40:42" x14ac:dyDescent="0.3">
      <c r="AN16152">
        <v>16148</v>
      </c>
      <c r="AO16152" s="11">
        <v>30109.13</v>
      </c>
      <c r="AP16152" s="9">
        <v>3.9423356708768131</v>
      </c>
    </row>
    <row r="16153" spans="40:42" x14ac:dyDescent="0.3">
      <c r="AN16153">
        <v>16149</v>
      </c>
      <c r="AO16153" s="11">
        <v>25292.87</v>
      </c>
      <c r="AP16153" s="9">
        <v>3.5995475539772412</v>
      </c>
    </row>
    <row r="16154" spans="40:42" x14ac:dyDescent="0.3">
      <c r="AN16154">
        <v>16150</v>
      </c>
      <c r="AO16154" s="11">
        <v>29735.19</v>
      </c>
      <c r="AP16154" s="9">
        <v>4.0298683963538222</v>
      </c>
    </row>
    <row r="16155" spans="40:42" x14ac:dyDescent="0.3">
      <c r="AN16155">
        <v>16151</v>
      </c>
      <c r="AO16155" s="11">
        <v>20459.349999999999</v>
      </c>
      <c r="AP16155" s="9">
        <v>3.0637129234810412</v>
      </c>
    </row>
    <row r="16156" spans="40:42" x14ac:dyDescent="0.3">
      <c r="AN16156">
        <v>16152</v>
      </c>
      <c r="AO16156" s="11">
        <v>26174.71</v>
      </c>
      <c r="AP16156" s="9">
        <v>3.5105581411888447</v>
      </c>
    </row>
    <row r="16157" spans="40:42" x14ac:dyDescent="0.3">
      <c r="AN16157">
        <v>16153</v>
      </c>
      <c r="AO16157" s="11">
        <v>16180.67</v>
      </c>
      <c r="AP16157" s="9">
        <v>3.0317659145708897</v>
      </c>
    </row>
    <row r="16158" spans="40:42" x14ac:dyDescent="0.3">
      <c r="AN16158">
        <v>16154</v>
      </c>
      <c r="AO16158" s="11">
        <v>25870.83</v>
      </c>
      <c r="AP16158" s="9">
        <v>3.6908368719967921</v>
      </c>
    </row>
    <row r="16159" spans="40:42" x14ac:dyDescent="0.3">
      <c r="AN16159">
        <v>16155</v>
      </c>
      <c r="AO16159" s="11">
        <v>27741.68</v>
      </c>
      <c r="AP16159" s="9">
        <v>3.0396093836555904</v>
      </c>
    </row>
    <row r="16160" spans="40:42" x14ac:dyDescent="0.3">
      <c r="AN16160">
        <v>16156</v>
      </c>
      <c r="AO16160" s="11">
        <v>35299.629999999997</v>
      </c>
      <c r="AP16160" s="9">
        <v>2.9754150424565857</v>
      </c>
    </row>
    <row r="16161" spans="40:42" x14ac:dyDescent="0.3">
      <c r="AN16161">
        <v>16157</v>
      </c>
      <c r="AO16161" s="11">
        <v>35914.31</v>
      </c>
      <c r="AP16161" s="9">
        <v>3.6475862083095079</v>
      </c>
    </row>
    <row r="16162" spans="40:42" x14ac:dyDescent="0.3">
      <c r="AN16162">
        <v>16158</v>
      </c>
      <c r="AO16162" s="11">
        <v>28316.75</v>
      </c>
      <c r="AP16162" s="9">
        <v>2.9707302397634212</v>
      </c>
    </row>
    <row r="16163" spans="40:42" x14ac:dyDescent="0.3">
      <c r="AN16163">
        <v>16159</v>
      </c>
      <c r="AO16163" s="11">
        <v>24350.34</v>
      </c>
      <c r="AP16163" s="9">
        <v>3.6685688302484594</v>
      </c>
    </row>
    <row r="16164" spans="40:42" x14ac:dyDescent="0.3">
      <c r="AN16164">
        <v>16160</v>
      </c>
      <c r="AO16164" s="11">
        <v>19469.07</v>
      </c>
      <c r="AP16164" s="9">
        <v>3.5521582990242666</v>
      </c>
    </row>
    <row r="16165" spans="40:42" x14ac:dyDescent="0.3">
      <c r="AN16165">
        <v>16161</v>
      </c>
      <c r="AO16165" s="11">
        <v>23415.58</v>
      </c>
      <c r="AP16165" s="9">
        <v>3.6842753493829656</v>
      </c>
    </row>
    <row r="16166" spans="40:42" x14ac:dyDescent="0.3">
      <c r="AN16166">
        <v>16162</v>
      </c>
      <c r="AO16166" s="11">
        <v>16578.52</v>
      </c>
      <c r="AP16166" s="9">
        <v>2.9152318347627939</v>
      </c>
    </row>
    <row r="16167" spans="40:42" x14ac:dyDescent="0.3">
      <c r="AN16167">
        <v>16163</v>
      </c>
      <c r="AO16167" s="11">
        <v>17187.95</v>
      </c>
      <c r="AP16167" s="9">
        <v>3.3005094937558281</v>
      </c>
    </row>
    <row r="16168" spans="40:42" x14ac:dyDescent="0.3">
      <c r="AN16168">
        <v>16164</v>
      </c>
      <c r="AO16168" s="11">
        <v>21672.7</v>
      </c>
      <c r="AP16168" s="9">
        <v>2.7794933424617967</v>
      </c>
    </row>
    <row r="16169" spans="40:42" x14ac:dyDescent="0.3">
      <c r="AN16169">
        <v>16165</v>
      </c>
      <c r="AO16169" s="11">
        <v>40486.199999999997</v>
      </c>
      <c r="AP16169" s="9">
        <v>4.2712393431489302</v>
      </c>
    </row>
    <row r="16170" spans="40:42" x14ac:dyDescent="0.3">
      <c r="AN16170">
        <v>16166</v>
      </c>
      <c r="AO16170" s="11">
        <v>39852.28</v>
      </c>
      <c r="AP16170" s="9">
        <v>3.3833303651501412</v>
      </c>
    </row>
    <row r="16171" spans="40:42" x14ac:dyDescent="0.3">
      <c r="AN16171">
        <v>16167</v>
      </c>
      <c r="AO16171" s="11">
        <v>23971.94</v>
      </c>
      <c r="AP16171" s="9">
        <v>3.4351729246731102</v>
      </c>
    </row>
    <row r="16172" spans="40:42" x14ac:dyDescent="0.3">
      <c r="AN16172">
        <v>16168</v>
      </c>
      <c r="AO16172" s="11">
        <v>21478.93</v>
      </c>
      <c r="AP16172" s="9">
        <v>3.1749189146490187</v>
      </c>
    </row>
    <row r="16173" spans="40:42" x14ac:dyDescent="0.3">
      <c r="AN16173">
        <v>16169</v>
      </c>
      <c r="AO16173" s="11">
        <v>28040.78</v>
      </c>
      <c r="AP16173" s="9">
        <v>3.4585930900490176</v>
      </c>
    </row>
    <row r="16174" spans="40:42" x14ac:dyDescent="0.3">
      <c r="AN16174">
        <v>16170</v>
      </c>
      <c r="AO16174" s="11">
        <v>13657.46</v>
      </c>
      <c r="AP16174" s="9">
        <v>2.8759480446825028</v>
      </c>
    </row>
    <row r="16175" spans="40:42" x14ac:dyDescent="0.3">
      <c r="AN16175">
        <v>16171</v>
      </c>
      <c r="AO16175" s="11">
        <v>24565.03</v>
      </c>
      <c r="AP16175" s="9">
        <v>3.6336410664719838</v>
      </c>
    </row>
    <row r="16176" spans="40:42" x14ac:dyDescent="0.3">
      <c r="AN16176">
        <v>16172</v>
      </c>
      <c r="AO16176" s="11">
        <v>40349.870000000003</v>
      </c>
      <c r="AP16176" s="9">
        <v>4.173337315911267</v>
      </c>
    </row>
    <row r="16177" spans="40:42" x14ac:dyDescent="0.3">
      <c r="AN16177">
        <v>16173</v>
      </c>
      <c r="AO16177" s="11">
        <v>35501.449999999997</v>
      </c>
      <c r="AP16177" s="9">
        <v>3.4627354723927501</v>
      </c>
    </row>
    <row r="16178" spans="40:42" x14ac:dyDescent="0.3">
      <c r="AN16178">
        <v>16174</v>
      </c>
      <c r="AO16178" s="11">
        <v>19905.740000000002</v>
      </c>
      <c r="AP16178" s="9">
        <v>3.4688924028144972</v>
      </c>
    </row>
    <row r="16179" spans="40:42" x14ac:dyDescent="0.3">
      <c r="AN16179">
        <v>16175</v>
      </c>
      <c r="AO16179" s="11">
        <v>27503.88</v>
      </c>
      <c r="AP16179" s="9">
        <v>3.1749647107738932</v>
      </c>
    </row>
    <row r="16180" spans="40:42" x14ac:dyDescent="0.3">
      <c r="AN16180">
        <v>16176</v>
      </c>
      <c r="AO16180" s="11">
        <v>20754</v>
      </c>
      <c r="AP16180" s="9">
        <v>3.0239170839007512</v>
      </c>
    </row>
    <row r="16181" spans="40:42" x14ac:dyDescent="0.3">
      <c r="AN16181">
        <v>16177</v>
      </c>
      <c r="AO16181" s="11">
        <v>23633.52</v>
      </c>
      <c r="AP16181" s="9">
        <v>3.3489455528063203</v>
      </c>
    </row>
    <row r="16182" spans="40:42" x14ac:dyDescent="0.3">
      <c r="AN16182">
        <v>16178</v>
      </c>
      <c r="AO16182" s="11">
        <v>32104.58</v>
      </c>
      <c r="AP16182" s="9">
        <v>3.5019248396875731</v>
      </c>
    </row>
    <row r="16183" spans="40:42" x14ac:dyDescent="0.3">
      <c r="AN16183">
        <v>16179</v>
      </c>
      <c r="AO16183" s="11">
        <v>22573.200000000001</v>
      </c>
      <c r="AP16183" s="9">
        <v>4.180783342524264</v>
      </c>
    </row>
    <row r="16184" spans="40:42" x14ac:dyDescent="0.3">
      <c r="AN16184">
        <v>16180</v>
      </c>
      <c r="AO16184" s="11">
        <v>27060.45</v>
      </c>
      <c r="AP16184" s="9">
        <v>3.009709616364586</v>
      </c>
    </row>
    <row r="16185" spans="40:42" x14ac:dyDescent="0.3">
      <c r="AN16185">
        <v>16181</v>
      </c>
      <c r="AO16185" s="11">
        <v>14331.24</v>
      </c>
      <c r="AP16185" s="9">
        <v>2.8098479723541612</v>
      </c>
    </row>
    <row r="16186" spans="40:42" x14ac:dyDescent="0.3">
      <c r="AN16186">
        <v>16182</v>
      </c>
      <c r="AO16186" s="11">
        <v>23544.63</v>
      </c>
      <c r="AP16186" s="9">
        <v>3.3299217466305131</v>
      </c>
    </row>
    <row r="16187" spans="40:42" x14ac:dyDescent="0.3">
      <c r="AN16187">
        <v>16183</v>
      </c>
      <c r="AO16187" s="11">
        <v>24674.98</v>
      </c>
      <c r="AP16187" s="9">
        <v>3.5268336517651435</v>
      </c>
    </row>
    <row r="16188" spans="40:42" x14ac:dyDescent="0.3">
      <c r="AN16188">
        <v>16184</v>
      </c>
      <c r="AO16188" s="11">
        <v>35386.39</v>
      </c>
      <c r="AP16188" s="9">
        <v>3.0700673665414926</v>
      </c>
    </row>
    <row r="16189" spans="40:42" x14ac:dyDescent="0.3">
      <c r="AN16189">
        <v>16185</v>
      </c>
      <c r="AO16189" s="11">
        <v>16131.81</v>
      </c>
      <c r="AP16189" s="9">
        <v>3.6249488120070521</v>
      </c>
    </row>
    <row r="16190" spans="40:42" x14ac:dyDescent="0.3">
      <c r="AN16190">
        <v>16186</v>
      </c>
      <c r="AO16190" s="11">
        <v>25043.69</v>
      </c>
      <c r="AP16190" s="9">
        <v>3.6185515007113542</v>
      </c>
    </row>
    <row r="16191" spans="40:42" x14ac:dyDescent="0.3">
      <c r="AN16191">
        <v>16187</v>
      </c>
      <c r="AO16191" s="11">
        <v>18538.63</v>
      </c>
      <c r="AP16191" s="9">
        <v>2.9656070730998683</v>
      </c>
    </row>
    <row r="16192" spans="40:42" x14ac:dyDescent="0.3">
      <c r="AN16192">
        <v>16188</v>
      </c>
      <c r="AO16192" s="11">
        <v>33196.620000000003</v>
      </c>
      <c r="AP16192" s="9">
        <v>3.9145276016479111</v>
      </c>
    </row>
    <row r="16193" spans="40:42" x14ac:dyDescent="0.3">
      <c r="AN16193">
        <v>16189</v>
      </c>
      <c r="AO16193" s="11">
        <v>32633.38</v>
      </c>
      <c r="AP16193" s="9">
        <v>3.2165762102519375</v>
      </c>
    </row>
    <row r="16194" spans="40:42" x14ac:dyDescent="0.3">
      <c r="AN16194">
        <v>16190</v>
      </c>
      <c r="AO16194" s="11">
        <v>29394.97</v>
      </c>
      <c r="AP16194" s="9">
        <v>4.1202399592197478</v>
      </c>
    </row>
    <row r="16195" spans="40:42" x14ac:dyDescent="0.3">
      <c r="AN16195">
        <v>16191</v>
      </c>
      <c r="AO16195" s="11">
        <v>20348.18</v>
      </c>
      <c r="AP16195" s="9">
        <v>3.2144248898762524</v>
      </c>
    </row>
    <row r="16196" spans="40:42" x14ac:dyDescent="0.3">
      <c r="AN16196">
        <v>16192</v>
      </c>
      <c r="AO16196" s="11">
        <v>17939.05</v>
      </c>
      <c r="AP16196" s="9">
        <v>2.8875108562655312</v>
      </c>
    </row>
    <row r="16197" spans="40:42" x14ac:dyDescent="0.3">
      <c r="AN16197">
        <v>16193</v>
      </c>
      <c r="AO16197" s="11">
        <v>23613.06</v>
      </c>
      <c r="AP16197" s="9">
        <v>3.3881969001463914</v>
      </c>
    </row>
    <row r="16198" spans="40:42" x14ac:dyDescent="0.3">
      <c r="AN16198">
        <v>16194</v>
      </c>
      <c r="AO16198" s="11">
        <v>18939.400000000001</v>
      </c>
      <c r="AP16198" s="9">
        <v>3.3423250667740163</v>
      </c>
    </row>
    <row r="16199" spans="40:42" x14ac:dyDescent="0.3">
      <c r="AN16199">
        <v>16195</v>
      </c>
      <c r="AO16199" s="11">
        <v>21425.7</v>
      </c>
      <c r="AP16199" s="9">
        <v>3.5368641881475393</v>
      </c>
    </row>
    <row r="16200" spans="40:42" x14ac:dyDescent="0.3">
      <c r="AN16200">
        <v>16196</v>
      </c>
      <c r="AO16200" s="11">
        <v>21844.51</v>
      </c>
      <c r="AP16200" s="9">
        <v>3.0581441332444048</v>
      </c>
    </row>
    <row r="16201" spans="40:42" x14ac:dyDescent="0.3">
      <c r="AN16201">
        <v>16197</v>
      </c>
      <c r="AO16201" s="11">
        <v>17279.47</v>
      </c>
      <c r="AP16201" s="9">
        <v>2.6681415408406637</v>
      </c>
    </row>
    <row r="16202" spans="40:42" x14ac:dyDescent="0.3">
      <c r="AN16202">
        <v>16198</v>
      </c>
      <c r="AO16202" s="11">
        <v>29897.15</v>
      </c>
      <c r="AP16202" s="9">
        <v>3.6199654559465291</v>
      </c>
    </row>
    <row r="16203" spans="40:42" x14ac:dyDescent="0.3">
      <c r="AN16203">
        <v>16199</v>
      </c>
      <c r="AO16203" s="11">
        <v>31900.51</v>
      </c>
      <c r="AP16203" s="9">
        <v>3.8710661746061015</v>
      </c>
    </row>
    <row r="16204" spans="40:42" x14ac:dyDescent="0.3">
      <c r="AN16204">
        <v>16200</v>
      </c>
      <c r="AO16204" s="11">
        <v>14719.4</v>
      </c>
      <c r="AP16204" s="9">
        <v>2.650422894570744</v>
      </c>
    </row>
    <row r="16205" spans="40:42" x14ac:dyDescent="0.3">
      <c r="AN16205">
        <v>16201</v>
      </c>
      <c r="AO16205" s="11">
        <v>18875.580000000002</v>
      </c>
      <c r="AP16205" s="9">
        <v>3.0984597750133909</v>
      </c>
    </row>
    <row r="16206" spans="40:42" x14ac:dyDescent="0.3">
      <c r="AN16206">
        <v>16202</v>
      </c>
      <c r="AO16206" s="11">
        <v>23248.639999999999</v>
      </c>
      <c r="AP16206" s="9">
        <v>2.8757872200751526</v>
      </c>
    </row>
    <row r="16207" spans="40:42" x14ac:dyDescent="0.3">
      <c r="AN16207">
        <v>16203</v>
      </c>
      <c r="AO16207" s="11">
        <v>22805.97</v>
      </c>
      <c r="AP16207" s="9">
        <v>3.2510084001506465</v>
      </c>
    </row>
    <row r="16208" spans="40:42" x14ac:dyDescent="0.3">
      <c r="AN16208">
        <v>16204</v>
      </c>
      <c r="AO16208" s="11">
        <v>21449.87</v>
      </c>
      <c r="AP16208" s="9">
        <v>3.0647278119962444</v>
      </c>
    </row>
    <row r="16209" spans="40:42" x14ac:dyDescent="0.3">
      <c r="AN16209">
        <v>16205</v>
      </c>
      <c r="AO16209" s="11">
        <v>29763.96</v>
      </c>
      <c r="AP16209" s="9">
        <v>3.3776769416533847</v>
      </c>
    </row>
    <row r="16210" spans="40:42" x14ac:dyDescent="0.3">
      <c r="AN16210">
        <v>16206</v>
      </c>
      <c r="AO16210" s="11">
        <v>23909.99</v>
      </c>
      <c r="AP16210" s="9">
        <v>2.8516538187030478</v>
      </c>
    </row>
    <row r="16211" spans="40:42" x14ac:dyDescent="0.3">
      <c r="AN16211">
        <v>16207</v>
      </c>
      <c r="AO16211" s="11">
        <v>25687.46</v>
      </c>
      <c r="AP16211" s="9">
        <v>3.4317218806118692</v>
      </c>
    </row>
    <row r="16212" spans="40:42" x14ac:dyDescent="0.3">
      <c r="AN16212">
        <v>16208</v>
      </c>
      <c r="AO16212" s="11">
        <v>23629.360000000001</v>
      </c>
      <c r="AP16212" s="9">
        <v>3.4870987267497466</v>
      </c>
    </row>
    <row r="16213" spans="40:42" x14ac:dyDescent="0.3">
      <c r="AN16213">
        <v>16209</v>
      </c>
      <c r="AO16213" s="11">
        <v>27705.46</v>
      </c>
      <c r="AP16213" s="9">
        <v>3.2191233999426645</v>
      </c>
    </row>
    <row r="16214" spans="40:42" x14ac:dyDescent="0.3">
      <c r="AN16214">
        <v>16210</v>
      </c>
      <c r="AO16214" s="11">
        <v>23215.49</v>
      </c>
      <c r="AP16214" s="9">
        <v>3.4670459024288638</v>
      </c>
    </row>
    <row r="16215" spans="40:42" x14ac:dyDescent="0.3">
      <c r="AN16215">
        <v>16211</v>
      </c>
      <c r="AO16215" s="11">
        <v>19593.099999999999</v>
      </c>
      <c r="AP16215" s="9">
        <v>2.9912490810282781</v>
      </c>
    </row>
    <row r="16216" spans="40:42" x14ac:dyDescent="0.3">
      <c r="AN16216">
        <v>16212</v>
      </c>
      <c r="AO16216" s="11">
        <v>31052.68</v>
      </c>
      <c r="AP16216" s="9">
        <v>3.6729875714615363</v>
      </c>
    </row>
    <row r="16217" spans="40:42" x14ac:dyDescent="0.3">
      <c r="AN16217">
        <v>16213</v>
      </c>
      <c r="AO16217" s="11">
        <v>20503.97</v>
      </c>
      <c r="AP16217" s="9">
        <v>3.1925012572516853</v>
      </c>
    </row>
    <row r="16218" spans="40:42" x14ac:dyDescent="0.3">
      <c r="AN16218">
        <v>16214</v>
      </c>
      <c r="AO16218" s="11">
        <v>22872.5</v>
      </c>
      <c r="AP16218" s="9">
        <v>3.1182437969982475</v>
      </c>
    </row>
    <row r="16219" spans="40:42" x14ac:dyDescent="0.3">
      <c r="AN16219">
        <v>16215</v>
      </c>
      <c r="AO16219" s="11">
        <v>41277.019999999997</v>
      </c>
      <c r="AP16219" s="9">
        <v>3.8074347243148363</v>
      </c>
    </row>
    <row r="16220" spans="40:42" x14ac:dyDescent="0.3">
      <c r="AN16220">
        <v>16216</v>
      </c>
      <c r="AO16220" s="11">
        <v>25062.06</v>
      </c>
      <c r="AP16220" s="9">
        <v>4.0315065779286128</v>
      </c>
    </row>
    <row r="16221" spans="40:42" x14ac:dyDescent="0.3">
      <c r="AN16221">
        <v>16217</v>
      </c>
      <c r="AO16221" s="11">
        <v>27384.1</v>
      </c>
      <c r="AP16221" s="9">
        <v>3.9976813037446193</v>
      </c>
    </row>
    <row r="16222" spans="40:42" x14ac:dyDescent="0.3">
      <c r="AN16222">
        <v>16218</v>
      </c>
      <c r="AO16222" s="11">
        <v>28268.959999999999</v>
      </c>
      <c r="AP16222" s="9">
        <v>3.516932145402619</v>
      </c>
    </row>
    <row r="16223" spans="40:42" x14ac:dyDescent="0.3">
      <c r="AN16223">
        <v>16219</v>
      </c>
      <c r="AO16223" s="11">
        <v>26676.55</v>
      </c>
      <c r="AP16223" s="9">
        <v>2.8066360154990209</v>
      </c>
    </row>
    <row r="16224" spans="40:42" x14ac:dyDescent="0.3">
      <c r="AN16224">
        <v>16220</v>
      </c>
      <c r="AO16224" s="11">
        <v>23016.59</v>
      </c>
      <c r="AP16224" s="9">
        <v>3.4419999081957089</v>
      </c>
    </row>
    <row r="16225" spans="40:42" x14ac:dyDescent="0.3">
      <c r="AN16225">
        <v>16221</v>
      </c>
      <c r="AO16225" s="11">
        <v>22036.48</v>
      </c>
      <c r="AP16225" s="9">
        <v>3.22383851568785</v>
      </c>
    </row>
    <row r="16226" spans="40:42" x14ac:dyDescent="0.3">
      <c r="AN16226">
        <v>16222</v>
      </c>
      <c r="AO16226" s="11">
        <v>31592.91</v>
      </c>
      <c r="AP16226" s="9">
        <v>4.5607974894787837</v>
      </c>
    </row>
    <row r="16227" spans="40:42" x14ac:dyDescent="0.3">
      <c r="AN16227">
        <v>16223</v>
      </c>
      <c r="AO16227" s="11">
        <v>31086.53</v>
      </c>
      <c r="AP16227" s="9">
        <v>3.0950244232759658</v>
      </c>
    </row>
    <row r="16228" spans="40:42" x14ac:dyDescent="0.3">
      <c r="AN16228">
        <v>16224</v>
      </c>
      <c r="AO16228" s="11">
        <v>15488.9</v>
      </c>
      <c r="AP16228" s="9">
        <v>3.2563879597920682</v>
      </c>
    </row>
    <row r="16229" spans="40:42" x14ac:dyDescent="0.3">
      <c r="AN16229">
        <v>16225</v>
      </c>
      <c r="AO16229" s="11">
        <v>32979.33</v>
      </c>
      <c r="AP16229" s="9">
        <v>3.3558956513981357</v>
      </c>
    </row>
    <row r="16230" spans="40:42" x14ac:dyDescent="0.3">
      <c r="AN16230">
        <v>16226</v>
      </c>
      <c r="AO16230" s="11">
        <v>32515.19</v>
      </c>
      <c r="AP16230" s="9">
        <v>3.1889117550004991</v>
      </c>
    </row>
    <row r="16231" spans="40:42" x14ac:dyDescent="0.3">
      <c r="AN16231">
        <v>16227</v>
      </c>
      <c r="AO16231" s="11">
        <v>15108.62</v>
      </c>
      <c r="AP16231" s="9">
        <v>2.6439055948070607</v>
      </c>
    </row>
    <row r="16232" spans="40:42" x14ac:dyDescent="0.3">
      <c r="AN16232">
        <v>16228</v>
      </c>
      <c r="AO16232" s="11">
        <v>21456.55</v>
      </c>
      <c r="AP16232" s="9">
        <v>3.3544905873458561</v>
      </c>
    </row>
    <row r="16233" spans="40:42" x14ac:dyDescent="0.3">
      <c r="AN16233">
        <v>16229</v>
      </c>
      <c r="AO16233" s="11">
        <v>20511.990000000002</v>
      </c>
      <c r="AP16233" s="9">
        <v>3.1542118912898216</v>
      </c>
    </row>
    <row r="16234" spans="40:42" x14ac:dyDescent="0.3">
      <c r="AN16234">
        <v>16230</v>
      </c>
      <c r="AO16234" s="11">
        <v>19993.66</v>
      </c>
      <c r="AP16234" s="9">
        <v>3.1702005356360687</v>
      </c>
    </row>
    <row r="16235" spans="40:42" x14ac:dyDescent="0.3">
      <c r="AN16235">
        <v>16231</v>
      </c>
      <c r="AO16235" s="11">
        <v>27352.5</v>
      </c>
      <c r="AP16235" s="9">
        <v>3.2243962940078688</v>
      </c>
    </row>
    <row r="16236" spans="40:42" x14ac:dyDescent="0.3">
      <c r="AN16236">
        <v>16232</v>
      </c>
      <c r="AO16236" s="11">
        <v>26774.74</v>
      </c>
      <c r="AP16236" s="9">
        <v>3.4767568655108114</v>
      </c>
    </row>
    <row r="16237" spans="40:42" x14ac:dyDescent="0.3">
      <c r="AN16237">
        <v>16233</v>
      </c>
      <c r="AO16237" s="11">
        <v>17989.47</v>
      </c>
      <c r="AP16237" s="9">
        <v>3.3493865388649851</v>
      </c>
    </row>
    <row r="16238" spans="40:42" x14ac:dyDescent="0.3">
      <c r="AN16238">
        <v>16234</v>
      </c>
      <c r="AO16238" s="11">
        <v>25986.35</v>
      </c>
      <c r="AP16238" s="9">
        <v>3.8974720147173088</v>
      </c>
    </row>
    <row r="16239" spans="40:42" x14ac:dyDescent="0.3">
      <c r="AN16239">
        <v>16235</v>
      </c>
      <c r="AO16239" s="11">
        <v>32141.13</v>
      </c>
      <c r="AP16239" s="9">
        <v>4.1635353724456863</v>
      </c>
    </row>
    <row r="16240" spans="40:42" x14ac:dyDescent="0.3">
      <c r="AN16240">
        <v>16236</v>
      </c>
      <c r="AO16240" s="11">
        <v>27076.47</v>
      </c>
      <c r="AP16240" s="9">
        <v>3.8014270611483432</v>
      </c>
    </row>
    <row r="16241" spans="40:42" x14ac:dyDescent="0.3">
      <c r="AN16241">
        <v>16237</v>
      </c>
      <c r="AO16241" s="11">
        <v>22022.68</v>
      </c>
      <c r="AP16241" s="9">
        <v>2.7966516194228626</v>
      </c>
    </row>
    <row r="16242" spans="40:42" x14ac:dyDescent="0.3">
      <c r="AN16242">
        <v>16238</v>
      </c>
      <c r="AO16242" s="11">
        <v>24043.49</v>
      </c>
      <c r="AP16242" s="9">
        <v>2.9216943101015205</v>
      </c>
    </row>
    <row r="16243" spans="40:42" x14ac:dyDescent="0.3">
      <c r="AN16243">
        <v>16239</v>
      </c>
      <c r="AO16243" s="11">
        <v>27588.83</v>
      </c>
      <c r="AP16243" s="9">
        <v>3.0058462946149267</v>
      </c>
    </row>
    <row r="16244" spans="40:42" x14ac:dyDescent="0.3">
      <c r="AN16244">
        <v>16240</v>
      </c>
      <c r="AO16244" s="11">
        <v>30054.17</v>
      </c>
      <c r="AP16244" s="9">
        <v>3.0445660127440526</v>
      </c>
    </row>
    <row r="16245" spans="40:42" x14ac:dyDescent="0.3">
      <c r="AN16245">
        <v>16241</v>
      </c>
      <c r="AO16245" s="11">
        <v>24080.69</v>
      </c>
      <c r="AP16245" s="9">
        <v>3.2471207407950229</v>
      </c>
    </row>
    <row r="16246" spans="40:42" x14ac:dyDescent="0.3">
      <c r="AN16246">
        <v>16242</v>
      </c>
      <c r="AO16246" s="11">
        <v>18910.900000000001</v>
      </c>
      <c r="AP16246" s="9">
        <v>3.1334075049692531</v>
      </c>
    </row>
    <row r="16247" spans="40:42" x14ac:dyDescent="0.3">
      <c r="AN16247">
        <v>16243</v>
      </c>
      <c r="AO16247" s="11">
        <v>37175.46</v>
      </c>
      <c r="AP16247" s="9">
        <v>3.1066107238363325</v>
      </c>
    </row>
    <row r="16248" spans="40:42" x14ac:dyDescent="0.3">
      <c r="AN16248">
        <v>16244</v>
      </c>
      <c r="AO16248" s="11">
        <v>20899.43</v>
      </c>
      <c r="AP16248" s="9">
        <v>3.4979779871158971</v>
      </c>
    </row>
    <row r="16249" spans="40:42" x14ac:dyDescent="0.3">
      <c r="AN16249">
        <v>16245</v>
      </c>
      <c r="AO16249" s="11">
        <v>25954.54</v>
      </c>
      <c r="AP16249" s="9">
        <v>3.1363342057100887</v>
      </c>
    </row>
    <row r="16250" spans="40:42" x14ac:dyDescent="0.3">
      <c r="AN16250">
        <v>16246</v>
      </c>
      <c r="AO16250" s="11">
        <v>28752.720000000001</v>
      </c>
      <c r="AP16250" s="9">
        <v>2.8141346922989281</v>
      </c>
    </row>
    <row r="16251" spans="40:42" x14ac:dyDescent="0.3">
      <c r="AN16251">
        <v>16247</v>
      </c>
      <c r="AO16251" s="11">
        <v>33394.04</v>
      </c>
      <c r="AP16251" s="9">
        <v>4.012056082854464</v>
      </c>
    </row>
    <row r="16252" spans="40:42" x14ac:dyDescent="0.3">
      <c r="AN16252">
        <v>16248</v>
      </c>
      <c r="AO16252" s="11">
        <v>27406.21</v>
      </c>
      <c r="AP16252" s="9">
        <v>3.6659490265800643</v>
      </c>
    </row>
    <row r="16253" spans="40:42" x14ac:dyDescent="0.3">
      <c r="AN16253">
        <v>16249</v>
      </c>
      <c r="AO16253" s="11">
        <v>32467.8</v>
      </c>
      <c r="AP16253" s="9">
        <v>3.6028198844925701</v>
      </c>
    </row>
    <row r="16254" spans="40:42" x14ac:dyDescent="0.3">
      <c r="AN16254">
        <v>16250</v>
      </c>
      <c r="AO16254" s="11">
        <v>35027.15</v>
      </c>
      <c r="AP16254" s="9">
        <v>3.7252299049539714</v>
      </c>
    </row>
    <row r="16255" spans="40:42" x14ac:dyDescent="0.3">
      <c r="AN16255">
        <v>16251</v>
      </c>
      <c r="AO16255" s="11">
        <v>34689.440000000002</v>
      </c>
      <c r="AP16255" s="9">
        <v>3.8663247905449842</v>
      </c>
    </row>
    <row r="16256" spans="40:42" x14ac:dyDescent="0.3">
      <c r="AN16256">
        <v>16252</v>
      </c>
      <c r="AO16256" s="11">
        <v>27558.29</v>
      </c>
      <c r="AP16256" s="9">
        <v>3.9070913989878915</v>
      </c>
    </row>
    <row r="16257" spans="40:42" x14ac:dyDescent="0.3">
      <c r="AN16257">
        <v>16253</v>
      </c>
      <c r="AO16257" s="11">
        <v>18655.61</v>
      </c>
      <c r="AP16257" s="9">
        <v>3.0486842260055966</v>
      </c>
    </row>
    <row r="16258" spans="40:42" x14ac:dyDescent="0.3">
      <c r="AN16258">
        <v>16254</v>
      </c>
      <c r="AO16258" s="11">
        <v>36448.74</v>
      </c>
      <c r="AP16258" s="9">
        <v>3.2943560054855787</v>
      </c>
    </row>
    <row r="16259" spans="40:42" x14ac:dyDescent="0.3">
      <c r="AN16259">
        <v>16255</v>
      </c>
      <c r="AO16259" s="11">
        <v>17680.47</v>
      </c>
      <c r="AP16259" s="9">
        <v>2.8241264653368359</v>
      </c>
    </row>
    <row r="16260" spans="40:42" x14ac:dyDescent="0.3">
      <c r="AN16260">
        <v>16256</v>
      </c>
      <c r="AO16260" s="11">
        <v>24095.87</v>
      </c>
      <c r="AP16260" s="9">
        <v>3.3744129178050239</v>
      </c>
    </row>
    <row r="16261" spans="40:42" x14ac:dyDescent="0.3">
      <c r="AN16261">
        <v>16257</v>
      </c>
      <c r="AO16261" s="11">
        <v>17040.53</v>
      </c>
      <c r="AP16261" s="9">
        <v>3.0093665528877112</v>
      </c>
    </row>
    <row r="16262" spans="40:42" x14ac:dyDescent="0.3">
      <c r="AN16262">
        <v>16258</v>
      </c>
      <c r="AO16262" s="11">
        <v>26959.040000000001</v>
      </c>
      <c r="AP16262" s="9">
        <v>4.2991405511882226</v>
      </c>
    </row>
    <row r="16263" spans="40:42" x14ac:dyDescent="0.3">
      <c r="AN16263">
        <v>16259</v>
      </c>
      <c r="AO16263" s="11">
        <v>24019.17</v>
      </c>
      <c r="AP16263" s="9">
        <v>3.2859167650700134</v>
      </c>
    </row>
    <row r="16264" spans="40:42" x14ac:dyDescent="0.3">
      <c r="AN16264">
        <v>16260</v>
      </c>
      <c r="AO16264" s="11">
        <v>31487.29</v>
      </c>
      <c r="AP16264" s="9">
        <v>3.2386123910200233</v>
      </c>
    </row>
    <row r="16265" spans="40:42" x14ac:dyDescent="0.3">
      <c r="AN16265">
        <v>16261</v>
      </c>
      <c r="AO16265" s="11">
        <v>14833.4</v>
      </c>
      <c r="AP16265" s="9">
        <v>2.8194656816901258</v>
      </c>
    </row>
    <row r="16266" spans="40:42" x14ac:dyDescent="0.3">
      <c r="AN16266">
        <v>16262</v>
      </c>
      <c r="AO16266" s="11">
        <v>20486.310000000001</v>
      </c>
      <c r="AP16266" s="9">
        <v>3.1535677200367411</v>
      </c>
    </row>
    <row r="16267" spans="40:42" x14ac:dyDescent="0.3">
      <c r="AN16267">
        <v>16263</v>
      </c>
      <c r="AO16267" s="11">
        <v>20035.23</v>
      </c>
      <c r="AP16267" s="9">
        <v>3.5413865681065309</v>
      </c>
    </row>
    <row r="16268" spans="40:42" x14ac:dyDescent="0.3">
      <c r="AN16268">
        <v>16264</v>
      </c>
      <c r="AO16268" s="11">
        <v>28764.69</v>
      </c>
      <c r="AP16268" s="9">
        <v>3.4678235717762038</v>
      </c>
    </row>
    <row r="16269" spans="40:42" x14ac:dyDescent="0.3">
      <c r="AN16269">
        <v>16265</v>
      </c>
      <c r="AO16269" s="11">
        <v>24710.560000000001</v>
      </c>
      <c r="AP16269" s="9">
        <v>2.8596147096136186</v>
      </c>
    </row>
    <row r="16270" spans="40:42" x14ac:dyDescent="0.3">
      <c r="AN16270">
        <v>16266</v>
      </c>
      <c r="AO16270" s="11">
        <v>46924.81</v>
      </c>
      <c r="AP16270" s="9">
        <v>3.668449348473255</v>
      </c>
    </row>
    <row r="16271" spans="40:42" x14ac:dyDescent="0.3">
      <c r="AN16271">
        <v>16267</v>
      </c>
      <c r="AO16271" s="11">
        <v>27256.48</v>
      </c>
      <c r="AP16271" s="9">
        <v>3.0850169831171934</v>
      </c>
    </row>
    <row r="16272" spans="40:42" x14ac:dyDescent="0.3">
      <c r="AN16272">
        <v>16268</v>
      </c>
      <c r="AO16272" s="11">
        <v>32245.99</v>
      </c>
      <c r="AP16272" s="9">
        <v>3.5573515980061794</v>
      </c>
    </row>
    <row r="16273" spans="40:42" x14ac:dyDescent="0.3">
      <c r="AN16273">
        <v>16269</v>
      </c>
      <c r="AO16273" s="11">
        <v>25703.279999999999</v>
      </c>
      <c r="AP16273" s="9">
        <v>3.4082901383318078</v>
      </c>
    </row>
    <row r="16274" spans="40:42" x14ac:dyDescent="0.3">
      <c r="AN16274">
        <v>16270</v>
      </c>
      <c r="AO16274" s="11">
        <v>24184.74</v>
      </c>
      <c r="AP16274" s="9">
        <v>3.7820624854012617</v>
      </c>
    </row>
    <row r="16275" spans="40:42" x14ac:dyDescent="0.3">
      <c r="AN16275">
        <v>16271</v>
      </c>
      <c r="AO16275" s="11">
        <v>23154.43</v>
      </c>
      <c r="AP16275" s="9">
        <v>3.1537465494471508</v>
      </c>
    </row>
    <row r="16276" spans="40:42" x14ac:dyDescent="0.3">
      <c r="AN16276">
        <v>16272</v>
      </c>
      <c r="AO16276" s="11">
        <v>35458.07</v>
      </c>
      <c r="AP16276" s="9">
        <v>3.5881654049662211</v>
      </c>
    </row>
    <row r="16277" spans="40:42" x14ac:dyDescent="0.3">
      <c r="AN16277">
        <v>16273</v>
      </c>
      <c r="AO16277" s="11">
        <v>27419.79</v>
      </c>
      <c r="AP16277" s="9">
        <v>3.4049063710742762</v>
      </c>
    </row>
    <row r="16278" spans="40:42" x14ac:dyDescent="0.3">
      <c r="AN16278">
        <v>16274</v>
      </c>
      <c r="AO16278" s="11">
        <v>24292</v>
      </c>
      <c r="AP16278" s="9">
        <v>4.070299987594832</v>
      </c>
    </row>
    <row r="16279" spans="40:42" x14ac:dyDescent="0.3">
      <c r="AN16279">
        <v>16275</v>
      </c>
      <c r="AO16279" s="11">
        <v>28855.119999999999</v>
      </c>
      <c r="AP16279" s="9">
        <v>3.6613818851511666</v>
      </c>
    </row>
    <row r="16280" spans="40:42" x14ac:dyDescent="0.3">
      <c r="AN16280">
        <v>16276</v>
      </c>
      <c r="AO16280" s="11">
        <v>20290.03</v>
      </c>
      <c r="AP16280" s="9">
        <v>4.0356073730042317</v>
      </c>
    </row>
    <row r="16281" spans="40:42" x14ac:dyDescent="0.3">
      <c r="AN16281">
        <v>16277</v>
      </c>
      <c r="AO16281" s="11">
        <v>22562.21</v>
      </c>
      <c r="AP16281" s="9">
        <v>3.0375535580862154</v>
      </c>
    </row>
    <row r="16282" spans="40:42" x14ac:dyDescent="0.3">
      <c r="AN16282">
        <v>16278</v>
      </c>
      <c r="AO16282" s="11">
        <v>19404.91</v>
      </c>
      <c r="AP16282" s="9">
        <v>3.0337038003157213</v>
      </c>
    </row>
    <row r="16283" spans="40:42" x14ac:dyDescent="0.3">
      <c r="AN16283">
        <v>16279</v>
      </c>
      <c r="AO16283" s="11">
        <v>27382.959999999999</v>
      </c>
      <c r="AP16283" s="9">
        <v>3.882926023389254</v>
      </c>
    </row>
    <row r="16284" spans="40:42" x14ac:dyDescent="0.3">
      <c r="AN16284">
        <v>16280</v>
      </c>
      <c r="AO16284" s="11">
        <v>38073.410000000003</v>
      </c>
      <c r="AP16284" s="9">
        <v>3.1661528908012939</v>
      </c>
    </row>
    <row r="16285" spans="40:42" x14ac:dyDescent="0.3">
      <c r="AN16285">
        <v>16281</v>
      </c>
      <c r="AO16285" s="11">
        <v>31635.9</v>
      </c>
      <c r="AP16285" s="9">
        <v>3.768336956688719</v>
      </c>
    </row>
    <row r="16286" spans="40:42" x14ac:dyDescent="0.3">
      <c r="AN16286">
        <v>16282</v>
      </c>
      <c r="AO16286" s="11">
        <v>24684.1</v>
      </c>
      <c r="AP16286" s="9">
        <v>3.216641597662381</v>
      </c>
    </row>
    <row r="16287" spans="40:42" x14ac:dyDescent="0.3">
      <c r="AN16287">
        <v>16283</v>
      </c>
      <c r="AO16287" s="11">
        <v>20516.62</v>
      </c>
      <c r="AP16287" s="9">
        <v>3.3368546081712487</v>
      </c>
    </row>
    <row r="16288" spans="40:42" x14ac:dyDescent="0.3">
      <c r="AN16288">
        <v>16284</v>
      </c>
      <c r="AO16288" s="11">
        <v>35658.230000000003</v>
      </c>
      <c r="AP16288" s="9">
        <v>3.1614628687520394</v>
      </c>
    </row>
    <row r="16289" spans="40:42" x14ac:dyDescent="0.3">
      <c r="AN16289">
        <v>16285</v>
      </c>
      <c r="AO16289" s="11">
        <v>23609.26</v>
      </c>
      <c r="AP16289" s="9">
        <v>3.1828639607180338</v>
      </c>
    </row>
    <row r="16290" spans="40:42" x14ac:dyDescent="0.3">
      <c r="AN16290">
        <v>16286</v>
      </c>
      <c r="AO16290" s="11">
        <v>25415.14</v>
      </c>
      <c r="AP16290" s="9">
        <v>3.5262898795459083</v>
      </c>
    </row>
    <row r="16291" spans="40:42" x14ac:dyDescent="0.3">
      <c r="AN16291">
        <v>16287</v>
      </c>
      <c r="AO16291" s="11">
        <v>19156.900000000001</v>
      </c>
      <c r="AP16291" s="9">
        <v>3.5180817686157932</v>
      </c>
    </row>
    <row r="16292" spans="40:42" x14ac:dyDescent="0.3">
      <c r="AN16292">
        <v>16288</v>
      </c>
      <c r="AO16292" s="11">
        <v>24098.06</v>
      </c>
      <c r="AP16292" s="9">
        <v>3.057181619931955</v>
      </c>
    </row>
    <row r="16293" spans="40:42" x14ac:dyDescent="0.3">
      <c r="AN16293">
        <v>16289</v>
      </c>
      <c r="AO16293" s="11">
        <v>36714.57</v>
      </c>
      <c r="AP16293" s="9">
        <v>3.2700973040445933</v>
      </c>
    </row>
    <row r="16294" spans="40:42" x14ac:dyDescent="0.3">
      <c r="AN16294">
        <v>16290</v>
      </c>
      <c r="AO16294" s="11">
        <v>21109.72</v>
      </c>
      <c r="AP16294" s="9">
        <v>3.0718685196131781</v>
      </c>
    </row>
    <row r="16295" spans="40:42" x14ac:dyDescent="0.3">
      <c r="AN16295">
        <v>16291</v>
      </c>
      <c r="AO16295" s="11">
        <v>34734.51</v>
      </c>
      <c r="AP16295" s="9">
        <v>3.9978731119989916</v>
      </c>
    </row>
    <row r="16296" spans="40:42" x14ac:dyDescent="0.3">
      <c r="AN16296">
        <v>16292</v>
      </c>
      <c r="AO16296" s="11">
        <v>20580.72</v>
      </c>
      <c r="AP16296" s="9">
        <v>3.4202495093466037</v>
      </c>
    </row>
    <row r="16297" spans="40:42" x14ac:dyDescent="0.3">
      <c r="AN16297">
        <v>16293</v>
      </c>
      <c r="AO16297" s="11">
        <v>27867.66</v>
      </c>
      <c r="AP16297" s="9">
        <v>3.7005067668826439</v>
      </c>
    </row>
    <row r="16298" spans="40:42" x14ac:dyDescent="0.3">
      <c r="AN16298">
        <v>16294</v>
      </c>
      <c r="AO16298" s="11">
        <v>21458.09</v>
      </c>
      <c r="AP16298" s="9">
        <v>3.2361493777173793</v>
      </c>
    </row>
    <row r="16299" spans="40:42" x14ac:dyDescent="0.3">
      <c r="AN16299">
        <v>16295</v>
      </c>
      <c r="AO16299" s="11">
        <v>40754.36</v>
      </c>
      <c r="AP16299" s="9">
        <v>3.8841465177615158</v>
      </c>
    </row>
    <row r="16300" spans="40:42" x14ac:dyDescent="0.3">
      <c r="AN16300">
        <v>16296</v>
      </c>
      <c r="AO16300" s="11">
        <v>40362.97</v>
      </c>
      <c r="AP16300" s="9">
        <v>3.6184219800500261</v>
      </c>
    </row>
    <row r="16301" spans="40:42" x14ac:dyDescent="0.3">
      <c r="AN16301">
        <v>16297</v>
      </c>
      <c r="AO16301" s="11">
        <v>24305.63</v>
      </c>
      <c r="AP16301" s="9">
        <v>4.1489688535116258</v>
      </c>
    </row>
    <row r="16302" spans="40:42" x14ac:dyDescent="0.3">
      <c r="AN16302">
        <v>16298</v>
      </c>
      <c r="AO16302" s="11">
        <v>52999.05</v>
      </c>
      <c r="AP16302" s="9">
        <v>3.9979908703052867</v>
      </c>
    </row>
    <row r="16303" spans="40:42" x14ac:dyDescent="0.3">
      <c r="AN16303">
        <v>16299</v>
      </c>
      <c r="AO16303" s="11">
        <v>22403.71</v>
      </c>
      <c r="AP16303" s="9">
        <v>3.6273442738330739</v>
      </c>
    </row>
    <row r="16304" spans="40:42" x14ac:dyDescent="0.3">
      <c r="AN16304">
        <v>16300</v>
      </c>
      <c r="AO16304" s="11">
        <v>23091.53</v>
      </c>
      <c r="AP16304" s="9">
        <v>3.2591982800808394</v>
      </c>
    </row>
    <row r="16305" spans="40:42" x14ac:dyDescent="0.3">
      <c r="AN16305">
        <v>16301</v>
      </c>
      <c r="AO16305" s="11">
        <v>31907.87</v>
      </c>
      <c r="AP16305" s="9">
        <v>4.0904353976597667</v>
      </c>
    </row>
    <row r="16306" spans="40:42" x14ac:dyDescent="0.3">
      <c r="AN16306">
        <v>16302</v>
      </c>
      <c r="AO16306" s="11">
        <v>22978.37</v>
      </c>
      <c r="AP16306" s="9">
        <v>4.2512529177119864</v>
      </c>
    </row>
    <row r="16307" spans="40:42" x14ac:dyDescent="0.3">
      <c r="AN16307">
        <v>16303</v>
      </c>
      <c r="AO16307" s="11">
        <v>19697.060000000001</v>
      </c>
      <c r="AP16307" s="9">
        <v>3.5435124055916023</v>
      </c>
    </row>
    <row r="16308" spans="40:42" x14ac:dyDescent="0.3">
      <c r="AN16308">
        <v>16304</v>
      </c>
      <c r="AO16308" s="11">
        <v>22187.78</v>
      </c>
      <c r="AP16308" s="9">
        <v>3.1909933266703723</v>
      </c>
    </row>
    <row r="16309" spans="40:42" x14ac:dyDescent="0.3">
      <c r="AN16309">
        <v>16305</v>
      </c>
      <c r="AO16309" s="11">
        <v>60035.49</v>
      </c>
      <c r="AP16309" s="9">
        <v>4.3272517396891859</v>
      </c>
    </row>
    <row r="16310" spans="40:42" x14ac:dyDescent="0.3">
      <c r="AN16310">
        <v>16306</v>
      </c>
      <c r="AO16310" s="11">
        <v>26620.78</v>
      </c>
      <c r="AP16310" s="9">
        <v>3.4128027433422985</v>
      </c>
    </row>
    <row r="16311" spans="40:42" x14ac:dyDescent="0.3">
      <c r="AN16311">
        <v>16307</v>
      </c>
      <c r="AO16311" s="11">
        <v>31208.99</v>
      </c>
      <c r="AP16311" s="9">
        <v>3.2482396213233815</v>
      </c>
    </row>
    <row r="16312" spans="40:42" x14ac:dyDescent="0.3">
      <c r="AN16312">
        <v>16308</v>
      </c>
      <c r="AO16312" s="11">
        <v>24530.34</v>
      </c>
      <c r="AP16312" s="9">
        <v>3.8558973232936271</v>
      </c>
    </row>
    <row r="16313" spans="40:42" x14ac:dyDescent="0.3">
      <c r="AN16313">
        <v>16309</v>
      </c>
      <c r="AO16313" s="11">
        <v>33297.07</v>
      </c>
      <c r="AP16313" s="9">
        <v>3.9448880456312447</v>
      </c>
    </row>
    <row r="16314" spans="40:42" x14ac:dyDescent="0.3">
      <c r="AN16314">
        <v>16310</v>
      </c>
      <c r="AO16314" s="11">
        <v>20377.48</v>
      </c>
      <c r="AP16314" s="9">
        <v>3.3832657483476405</v>
      </c>
    </row>
    <row r="16315" spans="40:42" x14ac:dyDescent="0.3">
      <c r="AN16315">
        <v>16311</v>
      </c>
      <c r="AO16315" s="11">
        <v>13145.14</v>
      </c>
      <c r="AP16315" s="9">
        <v>2.7583647071589583</v>
      </c>
    </row>
    <row r="16316" spans="40:42" x14ac:dyDescent="0.3">
      <c r="AN16316">
        <v>16312</v>
      </c>
      <c r="AO16316" s="11">
        <v>37829.800000000003</v>
      </c>
      <c r="AP16316" s="9">
        <v>3.8584807482254173</v>
      </c>
    </row>
    <row r="16317" spans="40:42" x14ac:dyDescent="0.3">
      <c r="AN16317">
        <v>16313</v>
      </c>
      <c r="AO16317" s="11">
        <v>19216</v>
      </c>
      <c r="AP16317" s="9">
        <v>2.7702436101132708</v>
      </c>
    </row>
    <row r="16318" spans="40:42" x14ac:dyDescent="0.3">
      <c r="AN16318">
        <v>16314</v>
      </c>
      <c r="AO16318" s="11">
        <v>37284.269999999997</v>
      </c>
      <c r="AP16318" s="9">
        <v>4.5263949528810894</v>
      </c>
    </row>
    <row r="16319" spans="40:42" x14ac:dyDescent="0.3">
      <c r="AN16319">
        <v>16315</v>
      </c>
      <c r="AO16319" s="11">
        <v>22414.2</v>
      </c>
      <c r="AP16319" s="9">
        <v>3.3380701568562214</v>
      </c>
    </row>
    <row r="16320" spans="40:42" x14ac:dyDescent="0.3">
      <c r="AN16320">
        <v>16316</v>
      </c>
      <c r="AO16320" s="11">
        <v>20598.23</v>
      </c>
      <c r="AP16320" s="9">
        <v>3.5508777643276472</v>
      </c>
    </row>
    <row r="16321" spans="40:42" x14ac:dyDescent="0.3">
      <c r="AN16321">
        <v>16317</v>
      </c>
      <c r="AO16321" s="11">
        <v>26358.22</v>
      </c>
      <c r="AP16321" s="9">
        <v>2.778996453182673</v>
      </c>
    </row>
    <row r="16322" spans="40:42" x14ac:dyDescent="0.3">
      <c r="AN16322">
        <v>16318</v>
      </c>
      <c r="AO16322" s="11">
        <v>24545.23</v>
      </c>
      <c r="AP16322" s="9">
        <v>3.3372349036605096</v>
      </c>
    </row>
    <row r="16323" spans="40:42" x14ac:dyDescent="0.3">
      <c r="AN16323">
        <v>16319</v>
      </c>
      <c r="AO16323" s="11">
        <v>25015.42</v>
      </c>
      <c r="AP16323" s="9">
        <v>3.3811600287447843</v>
      </c>
    </row>
    <row r="16324" spans="40:42" x14ac:dyDescent="0.3">
      <c r="AN16324">
        <v>16320</v>
      </c>
      <c r="AO16324" s="11">
        <v>28250.76</v>
      </c>
      <c r="AP16324" s="9">
        <v>3.6782907456317058</v>
      </c>
    </row>
    <row r="16325" spans="40:42" x14ac:dyDescent="0.3">
      <c r="AN16325">
        <v>16321</v>
      </c>
      <c r="AO16325" s="11">
        <v>25017.93</v>
      </c>
      <c r="AP16325" s="9">
        <v>3.3029587048583093</v>
      </c>
    </row>
    <row r="16326" spans="40:42" x14ac:dyDescent="0.3">
      <c r="AN16326">
        <v>16322</v>
      </c>
      <c r="AO16326" s="11">
        <v>24503.57</v>
      </c>
      <c r="AP16326" s="9">
        <v>3.3583731479683516</v>
      </c>
    </row>
    <row r="16327" spans="40:42" x14ac:dyDescent="0.3">
      <c r="AN16327">
        <v>16323</v>
      </c>
      <c r="AO16327" s="11">
        <v>43276.56</v>
      </c>
      <c r="AP16327" s="9">
        <v>3.6682917994822333</v>
      </c>
    </row>
    <row r="16328" spans="40:42" x14ac:dyDescent="0.3">
      <c r="AN16328">
        <v>16324</v>
      </c>
      <c r="AO16328" s="11">
        <v>23736.52</v>
      </c>
      <c r="AP16328" s="9">
        <v>3.3162947943453474</v>
      </c>
    </row>
    <row r="16329" spans="40:42" x14ac:dyDescent="0.3">
      <c r="AN16329">
        <v>16325</v>
      </c>
      <c r="AO16329" s="11">
        <v>28633.69</v>
      </c>
      <c r="AP16329" s="9">
        <v>4.1578601991645581</v>
      </c>
    </row>
    <row r="16330" spans="40:42" x14ac:dyDescent="0.3">
      <c r="AN16330">
        <v>16326</v>
      </c>
      <c r="AO16330" s="11">
        <v>24844.67</v>
      </c>
      <c r="AP16330" s="9">
        <v>3.7963968258143259</v>
      </c>
    </row>
    <row r="16331" spans="40:42" x14ac:dyDescent="0.3">
      <c r="AN16331">
        <v>16327</v>
      </c>
      <c r="AO16331" s="11">
        <v>30348.62</v>
      </c>
      <c r="AP16331" s="9">
        <v>3.6890437384274364</v>
      </c>
    </row>
    <row r="16332" spans="40:42" x14ac:dyDescent="0.3">
      <c r="AN16332">
        <v>16328</v>
      </c>
      <c r="AO16332" s="11">
        <v>25945.599999999999</v>
      </c>
      <c r="AP16332" s="9">
        <v>3.7275352241642201</v>
      </c>
    </row>
    <row r="16333" spans="40:42" x14ac:dyDescent="0.3">
      <c r="AN16333">
        <v>16329</v>
      </c>
      <c r="AO16333" s="11">
        <v>24483.63</v>
      </c>
      <c r="AP16333" s="9">
        <v>3.0856289654939593</v>
      </c>
    </row>
    <row r="16334" spans="40:42" x14ac:dyDescent="0.3">
      <c r="AN16334">
        <v>16330</v>
      </c>
      <c r="AO16334" s="11">
        <v>27613.62</v>
      </c>
      <c r="AP16334" s="9">
        <v>3.399962683567733</v>
      </c>
    </row>
    <row r="16335" spans="40:42" x14ac:dyDescent="0.3">
      <c r="AN16335">
        <v>16331</v>
      </c>
      <c r="AO16335" s="11">
        <v>33854.639999999999</v>
      </c>
      <c r="AP16335" s="9">
        <v>3.5760553884676725</v>
      </c>
    </row>
    <row r="16336" spans="40:42" x14ac:dyDescent="0.3">
      <c r="AN16336">
        <v>16332</v>
      </c>
      <c r="AO16336" s="11">
        <v>40269.53</v>
      </c>
      <c r="AP16336" s="9">
        <v>2.952249484972699</v>
      </c>
    </row>
    <row r="16337" spans="40:42" x14ac:dyDescent="0.3">
      <c r="AN16337">
        <v>16333</v>
      </c>
      <c r="AO16337" s="11">
        <v>31943.14</v>
      </c>
      <c r="AP16337" s="9">
        <v>4.0532735672911047</v>
      </c>
    </row>
    <row r="16338" spans="40:42" x14ac:dyDescent="0.3">
      <c r="AN16338">
        <v>16334</v>
      </c>
      <c r="AO16338" s="11">
        <v>26276.1</v>
      </c>
      <c r="AP16338" s="9">
        <v>3.100122430998562</v>
      </c>
    </row>
    <row r="16339" spans="40:42" x14ac:dyDescent="0.3">
      <c r="AN16339">
        <v>16335</v>
      </c>
      <c r="AO16339" s="11">
        <v>26241.759999999998</v>
      </c>
      <c r="AP16339" s="9">
        <v>3.0755490842981836</v>
      </c>
    </row>
    <row r="16340" spans="40:42" x14ac:dyDescent="0.3">
      <c r="AN16340">
        <v>16336</v>
      </c>
      <c r="AO16340" s="11">
        <v>16886.41</v>
      </c>
      <c r="AP16340" s="9">
        <v>2.8597532685831588</v>
      </c>
    </row>
    <row r="16341" spans="40:42" x14ac:dyDescent="0.3">
      <c r="AN16341">
        <v>16337</v>
      </c>
      <c r="AO16341" s="11">
        <v>34045.78</v>
      </c>
      <c r="AP16341" s="9">
        <v>3.0599282033335964</v>
      </c>
    </row>
    <row r="16342" spans="40:42" x14ac:dyDescent="0.3">
      <c r="AN16342">
        <v>16338</v>
      </c>
      <c r="AO16342" s="11">
        <v>21943.53</v>
      </c>
      <c r="AP16342" s="9">
        <v>3.3687585986369428</v>
      </c>
    </row>
    <row r="16343" spans="40:42" x14ac:dyDescent="0.3">
      <c r="AN16343">
        <v>16339</v>
      </c>
      <c r="AO16343" s="11">
        <v>15862.32</v>
      </c>
      <c r="AP16343" s="9">
        <v>2.6309930242813109</v>
      </c>
    </row>
    <row r="16344" spans="40:42" x14ac:dyDescent="0.3">
      <c r="AN16344">
        <v>16340</v>
      </c>
      <c r="AO16344" s="11">
        <v>23275.34</v>
      </c>
      <c r="AP16344" s="9">
        <v>3.0223700485796074</v>
      </c>
    </row>
    <row r="16345" spans="40:42" x14ac:dyDescent="0.3">
      <c r="AN16345">
        <v>16341</v>
      </c>
      <c r="AO16345" s="11">
        <v>21263.37</v>
      </c>
      <c r="AP16345" s="9">
        <v>2.9799404736468724</v>
      </c>
    </row>
    <row r="16346" spans="40:42" x14ac:dyDescent="0.3">
      <c r="AN16346">
        <v>16342</v>
      </c>
      <c r="AO16346" s="11">
        <v>33235.54</v>
      </c>
      <c r="AP16346" s="9">
        <v>3.6680876541767211</v>
      </c>
    </row>
    <row r="16347" spans="40:42" x14ac:dyDescent="0.3">
      <c r="AN16347">
        <v>16343</v>
      </c>
      <c r="AO16347" s="11">
        <v>25223.94</v>
      </c>
      <c r="AP16347" s="9">
        <v>3.9778747181983269</v>
      </c>
    </row>
    <row r="16348" spans="40:42" x14ac:dyDescent="0.3">
      <c r="AN16348">
        <v>16344</v>
      </c>
      <c r="AO16348" s="11">
        <v>24158.37</v>
      </c>
      <c r="AP16348" s="9">
        <v>3.3198886681193391</v>
      </c>
    </row>
    <row r="16349" spans="40:42" x14ac:dyDescent="0.3">
      <c r="AN16349">
        <v>16345</v>
      </c>
      <c r="AO16349" s="11">
        <v>25092.34</v>
      </c>
      <c r="AP16349" s="9">
        <v>3.5542646443534038</v>
      </c>
    </row>
    <row r="16350" spans="40:42" x14ac:dyDescent="0.3">
      <c r="AN16350">
        <v>16346</v>
      </c>
      <c r="AO16350" s="11">
        <v>29078.6</v>
      </c>
      <c r="AP16350" s="9">
        <v>3.3092360895659869</v>
      </c>
    </row>
    <row r="16351" spans="40:42" x14ac:dyDescent="0.3">
      <c r="AN16351">
        <v>16347</v>
      </c>
      <c r="AO16351" s="11">
        <v>29647.77</v>
      </c>
      <c r="AP16351" s="9">
        <v>3.0813114184016759</v>
      </c>
    </row>
    <row r="16352" spans="40:42" x14ac:dyDescent="0.3">
      <c r="AN16352">
        <v>16348</v>
      </c>
      <c r="AO16352" s="11">
        <v>37956.9</v>
      </c>
      <c r="AP16352" s="9">
        <v>4.1235600781378521</v>
      </c>
    </row>
    <row r="16353" spans="40:42" x14ac:dyDescent="0.3">
      <c r="AN16353">
        <v>16349</v>
      </c>
      <c r="AO16353" s="11">
        <v>27126.12</v>
      </c>
      <c r="AP16353" s="9">
        <v>3.0876640155187705</v>
      </c>
    </row>
    <row r="16354" spans="40:42" x14ac:dyDescent="0.3">
      <c r="AN16354">
        <v>16350</v>
      </c>
      <c r="AO16354" s="11">
        <v>19420.57</v>
      </c>
      <c r="AP16354" s="9">
        <v>3.0138669767477424</v>
      </c>
    </row>
    <row r="16355" spans="40:42" x14ac:dyDescent="0.3">
      <c r="AN16355">
        <v>16351</v>
      </c>
      <c r="AO16355" s="11">
        <v>19596.13</v>
      </c>
      <c r="AP16355" s="9">
        <v>3.9379831213425529</v>
      </c>
    </row>
    <row r="16356" spans="40:42" x14ac:dyDescent="0.3">
      <c r="AN16356">
        <v>16352</v>
      </c>
      <c r="AO16356" s="11">
        <v>20352.27</v>
      </c>
      <c r="AP16356" s="9">
        <v>3.1914616370515207</v>
      </c>
    </row>
    <row r="16357" spans="40:42" x14ac:dyDescent="0.3">
      <c r="AN16357">
        <v>16353</v>
      </c>
      <c r="AO16357" s="11">
        <v>31350.9</v>
      </c>
      <c r="AP16357" s="9">
        <v>3.9894733496286756</v>
      </c>
    </row>
    <row r="16358" spans="40:42" x14ac:dyDescent="0.3">
      <c r="AN16358">
        <v>16354</v>
      </c>
      <c r="AO16358" s="11">
        <v>18054.57</v>
      </c>
      <c r="AP16358" s="9">
        <v>3.045044053587465</v>
      </c>
    </row>
    <row r="16359" spans="40:42" x14ac:dyDescent="0.3">
      <c r="AN16359">
        <v>16355</v>
      </c>
      <c r="AO16359" s="11">
        <v>39152.720000000001</v>
      </c>
      <c r="AP16359" s="9">
        <v>3.7390513039507822</v>
      </c>
    </row>
    <row r="16360" spans="40:42" x14ac:dyDescent="0.3">
      <c r="AN16360">
        <v>16356</v>
      </c>
      <c r="AO16360" s="11">
        <v>20616.419999999998</v>
      </c>
      <c r="AP16360" s="9">
        <v>2.7961911815098186</v>
      </c>
    </row>
    <row r="16361" spans="40:42" x14ac:dyDescent="0.3">
      <c r="AN16361">
        <v>16357</v>
      </c>
      <c r="AO16361" s="11">
        <v>32550.75</v>
      </c>
      <c r="AP16361" s="9">
        <v>2.9751790682567401</v>
      </c>
    </row>
    <row r="16362" spans="40:42" x14ac:dyDescent="0.3">
      <c r="AN16362">
        <v>16358</v>
      </c>
      <c r="AO16362" s="11">
        <v>29671.42</v>
      </c>
      <c r="AP16362" s="9">
        <v>3.0904913570415427</v>
      </c>
    </row>
    <row r="16363" spans="40:42" x14ac:dyDescent="0.3">
      <c r="AN16363">
        <v>16359</v>
      </c>
      <c r="AO16363" s="11">
        <v>24215.11</v>
      </c>
      <c r="AP16363" s="9">
        <v>3.5947756904115171</v>
      </c>
    </row>
    <row r="16364" spans="40:42" x14ac:dyDescent="0.3">
      <c r="AN16364">
        <v>16360</v>
      </c>
      <c r="AO16364" s="11">
        <v>14301.1</v>
      </c>
      <c r="AP16364" s="9">
        <v>3.2843557517394233</v>
      </c>
    </row>
    <row r="16365" spans="40:42" x14ac:dyDescent="0.3">
      <c r="AN16365">
        <v>16361</v>
      </c>
      <c r="AO16365" s="11">
        <v>27397.22</v>
      </c>
      <c r="AP16365" s="9">
        <v>3.8581261927046375</v>
      </c>
    </row>
    <row r="16366" spans="40:42" x14ac:dyDescent="0.3">
      <c r="AN16366">
        <v>16362</v>
      </c>
      <c r="AO16366" s="11">
        <v>25158.18</v>
      </c>
      <c r="AP16366" s="9">
        <v>3.2278162135416903</v>
      </c>
    </row>
    <row r="16367" spans="40:42" x14ac:dyDescent="0.3">
      <c r="AN16367">
        <v>16363</v>
      </c>
      <c r="AO16367" s="11">
        <v>24787.599999999999</v>
      </c>
      <c r="AP16367" s="9">
        <v>3.3869379315631947</v>
      </c>
    </row>
    <row r="16368" spans="40:42" x14ac:dyDescent="0.3">
      <c r="AN16368">
        <v>16364</v>
      </c>
      <c r="AO16368" s="11">
        <v>28890.44</v>
      </c>
      <c r="AP16368" s="9">
        <v>3.8451636712789146</v>
      </c>
    </row>
    <row r="16369" spans="40:42" x14ac:dyDescent="0.3">
      <c r="AN16369">
        <v>16365</v>
      </c>
      <c r="AO16369" s="11">
        <v>48919.85</v>
      </c>
      <c r="AP16369" s="9">
        <v>4.0051496084538956</v>
      </c>
    </row>
    <row r="16370" spans="40:42" x14ac:dyDescent="0.3">
      <c r="AN16370">
        <v>16366</v>
      </c>
      <c r="AO16370" s="11">
        <v>26443.01</v>
      </c>
      <c r="AP16370" s="9">
        <v>3.2683454441691282</v>
      </c>
    </row>
    <row r="16371" spans="40:42" x14ac:dyDescent="0.3">
      <c r="AN16371">
        <v>16367</v>
      </c>
      <c r="AO16371" s="11">
        <v>20356.68</v>
      </c>
      <c r="AP16371" s="9">
        <v>3.5051718858769223</v>
      </c>
    </row>
    <row r="16372" spans="40:42" x14ac:dyDescent="0.3">
      <c r="AN16372">
        <v>16368</v>
      </c>
      <c r="AO16372" s="11">
        <v>37886.19</v>
      </c>
      <c r="AP16372" s="9">
        <v>3.9785277508905073</v>
      </c>
    </row>
    <row r="16373" spans="40:42" x14ac:dyDescent="0.3">
      <c r="AN16373">
        <v>16369</v>
      </c>
      <c r="AO16373" s="11">
        <v>35547.629999999997</v>
      </c>
      <c r="AP16373" s="9">
        <v>3.1753854833647646</v>
      </c>
    </row>
    <row r="16374" spans="40:42" x14ac:dyDescent="0.3">
      <c r="AN16374">
        <v>16370</v>
      </c>
      <c r="AO16374" s="11">
        <v>26573.3</v>
      </c>
      <c r="AP16374" s="9">
        <v>3.5244101719041168</v>
      </c>
    </row>
    <row r="16375" spans="40:42" x14ac:dyDescent="0.3">
      <c r="AN16375">
        <v>16371</v>
      </c>
      <c r="AO16375" s="11">
        <v>18547.12</v>
      </c>
      <c r="AP16375" s="9">
        <v>2.9830597920070914</v>
      </c>
    </row>
    <row r="16376" spans="40:42" x14ac:dyDescent="0.3">
      <c r="AN16376">
        <v>16372</v>
      </c>
      <c r="AO16376" s="11">
        <v>30980.52</v>
      </c>
      <c r="AP16376" s="9">
        <v>3.896424854468405</v>
      </c>
    </row>
    <row r="16377" spans="40:42" x14ac:dyDescent="0.3">
      <c r="AN16377">
        <v>16373</v>
      </c>
      <c r="AO16377" s="11">
        <v>30716.53</v>
      </c>
      <c r="AP16377" s="9">
        <v>3.4468242053438467</v>
      </c>
    </row>
    <row r="16378" spans="40:42" x14ac:dyDescent="0.3">
      <c r="AN16378">
        <v>16374</v>
      </c>
      <c r="AO16378" s="11">
        <v>13937.86</v>
      </c>
      <c r="AP16378" s="9">
        <v>3.9636923670026527</v>
      </c>
    </row>
    <row r="16379" spans="40:42" x14ac:dyDescent="0.3">
      <c r="AN16379">
        <v>16375</v>
      </c>
      <c r="AO16379" s="11">
        <v>43771.79</v>
      </c>
      <c r="AP16379" s="9">
        <v>3.4765268225528492</v>
      </c>
    </row>
    <row r="16380" spans="40:42" x14ac:dyDescent="0.3">
      <c r="AN16380">
        <v>16376</v>
      </c>
      <c r="AO16380" s="11">
        <v>23508.06</v>
      </c>
      <c r="AP16380" s="9">
        <v>2.7774632170180125</v>
      </c>
    </row>
    <row r="16381" spans="40:42" x14ac:dyDescent="0.3">
      <c r="AN16381">
        <v>16377</v>
      </c>
      <c r="AO16381" s="11">
        <v>51814.8</v>
      </c>
      <c r="AP16381" s="9">
        <v>3.9447538063319345</v>
      </c>
    </row>
    <row r="16382" spans="40:42" x14ac:dyDescent="0.3">
      <c r="AN16382">
        <v>16378</v>
      </c>
      <c r="AO16382" s="11">
        <v>37553.79</v>
      </c>
      <c r="AP16382" s="9">
        <v>3.5609779811332789</v>
      </c>
    </row>
    <row r="16383" spans="40:42" x14ac:dyDescent="0.3">
      <c r="AN16383">
        <v>16379</v>
      </c>
      <c r="AO16383" s="11">
        <v>29823.03</v>
      </c>
      <c r="AP16383" s="9">
        <v>3.5343520349878785</v>
      </c>
    </row>
    <row r="16384" spans="40:42" x14ac:dyDescent="0.3">
      <c r="AN16384">
        <v>16380</v>
      </c>
      <c r="AO16384" s="11">
        <v>29560.77</v>
      </c>
      <c r="AP16384" s="9">
        <v>3.4846248555998187</v>
      </c>
    </row>
    <row r="16385" spans="40:42" x14ac:dyDescent="0.3">
      <c r="AN16385">
        <v>16381</v>
      </c>
      <c r="AO16385" s="11">
        <v>19569.810000000001</v>
      </c>
      <c r="AP16385" s="9">
        <v>3.0672064857901495</v>
      </c>
    </row>
    <row r="16386" spans="40:42" x14ac:dyDescent="0.3">
      <c r="AN16386">
        <v>16382</v>
      </c>
      <c r="AO16386" s="11">
        <v>24359.040000000001</v>
      </c>
      <c r="AP16386" s="9">
        <v>3.4963174832623354</v>
      </c>
    </row>
    <row r="16387" spans="40:42" x14ac:dyDescent="0.3">
      <c r="AN16387">
        <v>16383</v>
      </c>
      <c r="AO16387" s="11">
        <v>23537.47</v>
      </c>
      <c r="AP16387" s="9">
        <v>2.9947388692203112</v>
      </c>
    </row>
    <row r="16388" spans="40:42" x14ac:dyDescent="0.3">
      <c r="AN16388">
        <v>16384</v>
      </c>
      <c r="AO16388" s="11">
        <v>21648.12</v>
      </c>
      <c r="AP16388" s="9">
        <v>3.2015737874796883</v>
      </c>
    </row>
    <row r="16389" spans="40:42" x14ac:dyDescent="0.3">
      <c r="AN16389">
        <v>16385</v>
      </c>
      <c r="AO16389" s="11">
        <v>35947.31</v>
      </c>
      <c r="AP16389" s="9">
        <v>4.1452034224378398</v>
      </c>
    </row>
    <row r="16390" spans="40:42" x14ac:dyDescent="0.3">
      <c r="AN16390">
        <v>16386</v>
      </c>
      <c r="AO16390" s="11">
        <v>39774.39</v>
      </c>
      <c r="AP16390" s="9">
        <v>3.7233486043516892</v>
      </c>
    </row>
    <row r="16391" spans="40:42" x14ac:dyDescent="0.3">
      <c r="AN16391">
        <v>16387</v>
      </c>
      <c r="AO16391" s="11">
        <v>20398.060000000001</v>
      </c>
      <c r="AP16391" s="9">
        <v>3.0337319807638701</v>
      </c>
    </row>
    <row r="16392" spans="40:42" x14ac:dyDescent="0.3">
      <c r="AN16392">
        <v>16388</v>
      </c>
      <c r="AO16392" s="11">
        <v>16892.849999999999</v>
      </c>
      <c r="AP16392" s="9">
        <v>2.840962309525914</v>
      </c>
    </row>
    <row r="16393" spans="40:42" x14ac:dyDescent="0.3">
      <c r="AN16393">
        <v>16389</v>
      </c>
      <c r="AO16393" s="11">
        <v>21949.98</v>
      </c>
      <c r="AP16393" s="9">
        <v>3.0439868709934124</v>
      </c>
    </row>
    <row r="16394" spans="40:42" x14ac:dyDescent="0.3">
      <c r="AN16394">
        <v>16390</v>
      </c>
      <c r="AO16394" s="11">
        <v>18481.990000000002</v>
      </c>
      <c r="AP16394" s="9">
        <v>2.901489051147538</v>
      </c>
    </row>
    <row r="16395" spans="40:42" x14ac:dyDescent="0.3">
      <c r="AN16395">
        <v>16391</v>
      </c>
      <c r="AO16395" s="11">
        <v>16294.85</v>
      </c>
      <c r="AP16395" s="9">
        <v>2.5183241917548895</v>
      </c>
    </row>
    <row r="16396" spans="40:42" x14ac:dyDescent="0.3">
      <c r="AN16396">
        <v>16392</v>
      </c>
      <c r="AO16396" s="11">
        <v>45993.04</v>
      </c>
      <c r="AP16396" s="9">
        <v>3.0646497366035708</v>
      </c>
    </row>
    <row r="16397" spans="40:42" x14ac:dyDescent="0.3">
      <c r="AN16397">
        <v>16393</v>
      </c>
      <c r="AO16397" s="11">
        <v>43140.84</v>
      </c>
      <c r="AP16397" s="9">
        <v>4.1753095701666183</v>
      </c>
    </row>
    <row r="16398" spans="40:42" x14ac:dyDescent="0.3">
      <c r="AN16398">
        <v>16394</v>
      </c>
      <c r="AO16398" s="11">
        <v>24005.57</v>
      </c>
      <c r="AP16398" s="9">
        <v>3.050312763307264</v>
      </c>
    </row>
    <row r="16399" spans="40:42" x14ac:dyDescent="0.3">
      <c r="AN16399">
        <v>16395</v>
      </c>
      <c r="AO16399" s="11">
        <v>29676.04</v>
      </c>
      <c r="AP16399" s="9">
        <v>3.537810682675103</v>
      </c>
    </row>
    <row r="16400" spans="40:42" x14ac:dyDescent="0.3">
      <c r="AN16400">
        <v>16396</v>
      </c>
      <c r="AO16400" s="11">
        <v>40592.75</v>
      </c>
      <c r="AP16400" s="9">
        <v>3.7599414405309286</v>
      </c>
    </row>
    <row r="16401" spans="40:42" x14ac:dyDescent="0.3">
      <c r="AN16401">
        <v>16397</v>
      </c>
      <c r="AO16401" s="11">
        <v>25551.08</v>
      </c>
      <c r="AP16401" s="9">
        <v>3.0347074754541508</v>
      </c>
    </row>
    <row r="16402" spans="40:42" x14ac:dyDescent="0.3">
      <c r="AN16402">
        <v>16398</v>
      </c>
      <c r="AO16402" s="11">
        <v>18785.650000000001</v>
      </c>
      <c r="AP16402" s="9">
        <v>2.5873073568855602</v>
      </c>
    </row>
    <row r="16403" spans="40:42" x14ac:dyDescent="0.3">
      <c r="AN16403">
        <v>16399</v>
      </c>
      <c r="AO16403" s="11">
        <v>31265.23</v>
      </c>
      <c r="AP16403" s="9">
        <v>2.9888766046618351</v>
      </c>
    </row>
    <row r="16404" spans="40:42" x14ac:dyDescent="0.3">
      <c r="AN16404">
        <v>16400</v>
      </c>
      <c r="AO16404" s="11">
        <v>21105.84</v>
      </c>
      <c r="AP16404" s="9">
        <v>3.718738397337451</v>
      </c>
    </row>
    <row r="16405" spans="40:42" x14ac:dyDescent="0.3">
      <c r="AN16405">
        <v>16401</v>
      </c>
      <c r="AO16405" s="11">
        <v>26576.37</v>
      </c>
      <c r="AP16405" s="9">
        <v>3.3265831477172392</v>
      </c>
    </row>
    <row r="16406" spans="40:42" x14ac:dyDescent="0.3">
      <c r="AN16406">
        <v>16402</v>
      </c>
      <c r="AO16406" s="11">
        <v>39849.410000000003</v>
      </c>
      <c r="AP16406" s="9">
        <v>3.6300135439672507</v>
      </c>
    </row>
    <row r="16407" spans="40:42" x14ac:dyDescent="0.3">
      <c r="AN16407">
        <v>16403</v>
      </c>
      <c r="AO16407" s="11">
        <v>25602.13</v>
      </c>
      <c r="AP16407" s="9">
        <v>3.2734328259056094</v>
      </c>
    </row>
    <row r="16408" spans="40:42" x14ac:dyDescent="0.3">
      <c r="AN16408">
        <v>16404</v>
      </c>
      <c r="AO16408" s="11">
        <v>27202.79</v>
      </c>
      <c r="AP16408" s="9">
        <v>3.1385622577306749</v>
      </c>
    </row>
    <row r="16409" spans="40:42" x14ac:dyDescent="0.3">
      <c r="AN16409">
        <v>16405</v>
      </c>
      <c r="AO16409" s="11">
        <v>26567.279999999999</v>
      </c>
      <c r="AP16409" s="9">
        <v>3.4654528498151738</v>
      </c>
    </row>
    <row r="16410" spans="40:42" x14ac:dyDescent="0.3">
      <c r="AN16410">
        <v>16406</v>
      </c>
      <c r="AO16410" s="11">
        <v>38934.21</v>
      </c>
      <c r="AP16410" s="9">
        <v>3.7423551259148478</v>
      </c>
    </row>
    <row r="16411" spans="40:42" x14ac:dyDescent="0.3">
      <c r="AN16411">
        <v>16407</v>
      </c>
      <c r="AO16411" s="11">
        <v>19601.3</v>
      </c>
      <c r="AP16411" s="9">
        <v>3.3385132242711761</v>
      </c>
    </row>
    <row r="16412" spans="40:42" x14ac:dyDescent="0.3">
      <c r="AN16412">
        <v>16408</v>
      </c>
      <c r="AO16412" s="11">
        <v>23458.1</v>
      </c>
      <c r="AP16412" s="9">
        <v>3.5385489118973532</v>
      </c>
    </row>
    <row r="16413" spans="40:42" x14ac:dyDescent="0.3">
      <c r="AN16413">
        <v>16409</v>
      </c>
      <c r="AO16413" s="11">
        <v>22475.79</v>
      </c>
      <c r="AP16413" s="9">
        <v>3.2746991348263799</v>
      </c>
    </row>
    <row r="16414" spans="40:42" x14ac:dyDescent="0.3">
      <c r="AN16414">
        <v>16410</v>
      </c>
      <c r="AO16414" s="11">
        <v>31234.53</v>
      </c>
      <c r="AP16414" s="9">
        <v>3.0699781014716336</v>
      </c>
    </row>
    <row r="16415" spans="40:42" x14ac:dyDescent="0.3">
      <c r="AN16415">
        <v>16411</v>
      </c>
      <c r="AO16415" s="11">
        <v>19374.349999999999</v>
      </c>
      <c r="AP16415" s="9">
        <v>3.3358996645986152</v>
      </c>
    </row>
    <row r="16416" spans="40:42" x14ac:dyDescent="0.3">
      <c r="AN16416">
        <v>16412</v>
      </c>
      <c r="AO16416" s="11">
        <v>20517.09</v>
      </c>
      <c r="AP16416" s="9">
        <v>3.0950122277296361</v>
      </c>
    </row>
    <row r="16417" spans="40:42" x14ac:dyDescent="0.3">
      <c r="AN16417">
        <v>16413</v>
      </c>
      <c r="AO16417" s="11">
        <v>28495.360000000001</v>
      </c>
      <c r="AP16417" s="9">
        <v>4.016911121946463</v>
      </c>
    </row>
    <row r="16418" spans="40:42" x14ac:dyDescent="0.3">
      <c r="AN16418">
        <v>16414</v>
      </c>
      <c r="AO16418" s="11">
        <v>33097.4</v>
      </c>
      <c r="AP16418" s="9">
        <v>3.3378266503070049</v>
      </c>
    </row>
    <row r="16419" spans="40:42" x14ac:dyDescent="0.3">
      <c r="AN16419">
        <v>16415</v>
      </c>
      <c r="AO16419" s="11">
        <v>17926.91</v>
      </c>
      <c r="AP16419" s="9">
        <v>2.9623801718568643</v>
      </c>
    </row>
    <row r="16420" spans="40:42" x14ac:dyDescent="0.3">
      <c r="AN16420">
        <v>16416</v>
      </c>
      <c r="AO16420" s="11">
        <v>18844.400000000001</v>
      </c>
      <c r="AP16420" s="9">
        <v>2.8705177388278402</v>
      </c>
    </row>
    <row r="16421" spans="40:42" x14ac:dyDescent="0.3">
      <c r="AN16421">
        <v>16417</v>
      </c>
      <c r="AO16421" s="11">
        <v>24155.71</v>
      </c>
      <c r="AP16421" s="9">
        <v>3.7791868801692203</v>
      </c>
    </row>
    <row r="16422" spans="40:42" x14ac:dyDescent="0.3">
      <c r="AN16422">
        <v>16418</v>
      </c>
      <c r="AO16422" s="11">
        <v>28928.02</v>
      </c>
      <c r="AP16422" s="9">
        <v>3.9692483060891268</v>
      </c>
    </row>
    <row r="16423" spans="40:42" x14ac:dyDescent="0.3">
      <c r="AN16423">
        <v>16419</v>
      </c>
      <c r="AO16423" s="11">
        <v>16864.009999999998</v>
      </c>
      <c r="AP16423" s="9">
        <v>2.967434834772309</v>
      </c>
    </row>
    <row r="16424" spans="40:42" x14ac:dyDescent="0.3">
      <c r="AN16424">
        <v>16420</v>
      </c>
      <c r="AO16424" s="11">
        <v>24946.7</v>
      </c>
      <c r="AP16424" s="9">
        <v>2.9812742426234973</v>
      </c>
    </row>
    <row r="16425" spans="40:42" x14ac:dyDescent="0.3">
      <c r="AN16425">
        <v>16421</v>
      </c>
      <c r="AO16425" s="11">
        <v>23558.18</v>
      </c>
      <c r="AP16425" s="9">
        <v>3.3415439206299467</v>
      </c>
    </row>
    <row r="16426" spans="40:42" x14ac:dyDescent="0.3">
      <c r="AN16426">
        <v>16422</v>
      </c>
      <c r="AO16426" s="11">
        <v>23518.42</v>
      </c>
      <c r="AP16426" s="9">
        <v>3.19532358184654</v>
      </c>
    </row>
    <row r="16427" spans="40:42" x14ac:dyDescent="0.3">
      <c r="AN16427">
        <v>16423</v>
      </c>
      <c r="AO16427" s="11">
        <v>18730.310000000001</v>
      </c>
      <c r="AP16427" s="9">
        <v>2.5815218046821093</v>
      </c>
    </row>
    <row r="16428" spans="40:42" x14ac:dyDescent="0.3">
      <c r="AN16428">
        <v>16424</v>
      </c>
      <c r="AO16428" s="11">
        <v>20154.990000000002</v>
      </c>
      <c r="AP16428" s="9">
        <v>3.0793001651627452</v>
      </c>
    </row>
    <row r="16429" spans="40:42" x14ac:dyDescent="0.3">
      <c r="AN16429">
        <v>16425</v>
      </c>
      <c r="AO16429" s="11">
        <v>36312.99</v>
      </c>
      <c r="AP16429" s="9">
        <v>3.5895355430274418</v>
      </c>
    </row>
    <row r="16430" spans="40:42" x14ac:dyDescent="0.3">
      <c r="AN16430">
        <v>16426</v>
      </c>
      <c r="AO16430" s="11">
        <v>27456.13</v>
      </c>
      <c r="AP16430" s="9">
        <v>2.9994900603452366</v>
      </c>
    </row>
    <row r="16431" spans="40:42" x14ac:dyDescent="0.3">
      <c r="AN16431">
        <v>16427</v>
      </c>
      <c r="AO16431" s="11">
        <v>30865.1</v>
      </c>
      <c r="AP16431" s="9">
        <v>4.4168718693551954</v>
      </c>
    </row>
    <row r="16432" spans="40:42" x14ac:dyDescent="0.3">
      <c r="AN16432">
        <v>16428</v>
      </c>
      <c r="AO16432" s="11">
        <v>33185.269999999997</v>
      </c>
      <c r="AP16432" s="9">
        <v>4.1553441583628921</v>
      </c>
    </row>
    <row r="16433" spans="40:42" x14ac:dyDescent="0.3">
      <c r="AN16433">
        <v>16429</v>
      </c>
      <c r="AO16433" s="11">
        <v>21424.04</v>
      </c>
      <c r="AP16433" s="9">
        <v>4.0174730371627856</v>
      </c>
    </row>
    <row r="16434" spans="40:42" x14ac:dyDescent="0.3">
      <c r="AN16434">
        <v>16430</v>
      </c>
      <c r="AO16434" s="11">
        <v>33239.760000000002</v>
      </c>
      <c r="AP16434" s="9">
        <v>3.3830644610726397</v>
      </c>
    </row>
    <row r="16435" spans="40:42" x14ac:dyDescent="0.3">
      <c r="AN16435">
        <v>16431</v>
      </c>
      <c r="AO16435" s="11">
        <v>42412.45</v>
      </c>
      <c r="AP16435" s="9">
        <v>4.2845370163714458</v>
      </c>
    </row>
    <row r="16436" spans="40:42" x14ac:dyDescent="0.3">
      <c r="AN16436">
        <v>16432</v>
      </c>
      <c r="AO16436" s="11">
        <v>27376.799999999999</v>
      </c>
      <c r="AP16436" s="9">
        <v>3.7210656388978154</v>
      </c>
    </row>
    <row r="16437" spans="40:42" x14ac:dyDescent="0.3">
      <c r="AN16437">
        <v>16433</v>
      </c>
      <c r="AO16437" s="11">
        <v>29746.91</v>
      </c>
      <c r="AP16437" s="9">
        <v>3.5663148773132716</v>
      </c>
    </row>
    <row r="16438" spans="40:42" x14ac:dyDescent="0.3">
      <c r="AN16438">
        <v>16434</v>
      </c>
      <c r="AO16438" s="11">
        <v>33986.74</v>
      </c>
      <c r="AP16438" s="9">
        <v>3.5983287274998452</v>
      </c>
    </row>
    <row r="16439" spans="40:42" x14ac:dyDescent="0.3">
      <c r="AN16439">
        <v>16435</v>
      </c>
      <c r="AO16439" s="11">
        <v>24077.46</v>
      </c>
      <c r="AP16439" s="9">
        <v>3.5914681818716652</v>
      </c>
    </row>
    <row r="16440" spans="40:42" x14ac:dyDescent="0.3">
      <c r="AN16440">
        <v>16436</v>
      </c>
      <c r="AO16440" s="11">
        <v>25714.54</v>
      </c>
      <c r="AP16440" s="9">
        <v>3.1872469311995819</v>
      </c>
    </row>
    <row r="16441" spans="40:42" x14ac:dyDescent="0.3">
      <c r="AN16441">
        <v>16437</v>
      </c>
      <c r="AO16441" s="11">
        <v>31140.66</v>
      </c>
      <c r="AP16441" s="9">
        <v>3.6426310465478506</v>
      </c>
    </row>
    <row r="16442" spans="40:42" x14ac:dyDescent="0.3">
      <c r="AN16442">
        <v>16438</v>
      </c>
      <c r="AO16442" s="11">
        <v>52820.9</v>
      </c>
      <c r="AP16442" s="9">
        <v>4.1268819371729775</v>
      </c>
    </row>
    <row r="16443" spans="40:42" x14ac:dyDescent="0.3">
      <c r="AN16443">
        <v>16439</v>
      </c>
      <c r="AO16443" s="11">
        <v>21905.47</v>
      </c>
      <c r="AP16443" s="9">
        <v>3.3204364092009819</v>
      </c>
    </row>
    <row r="16444" spans="40:42" x14ac:dyDescent="0.3">
      <c r="AN16444">
        <v>16440</v>
      </c>
      <c r="AO16444" s="11">
        <v>21445.41</v>
      </c>
      <c r="AP16444" s="9">
        <v>2.8720302393567927</v>
      </c>
    </row>
    <row r="16445" spans="40:42" x14ac:dyDescent="0.3">
      <c r="AN16445">
        <v>16441</v>
      </c>
      <c r="AO16445" s="11">
        <v>20066.439999999999</v>
      </c>
      <c r="AP16445" s="9">
        <v>3.3611273188458508</v>
      </c>
    </row>
    <row r="16446" spans="40:42" x14ac:dyDescent="0.3">
      <c r="AN16446">
        <v>16442</v>
      </c>
      <c r="AO16446" s="11">
        <v>19244.78</v>
      </c>
      <c r="AP16446" s="9">
        <v>3.062298464124503</v>
      </c>
    </row>
    <row r="16447" spans="40:42" x14ac:dyDescent="0.3">
      <c r="AN16447">
        <v>16443</v>
      </c>
      <c r="AO16447" s="11">
        <v>30513.84</v>
      </c>
      <c r="AP16447" s="9">
        <v>3.0727876555114291</v>
      </c>
    </row>
    <row r="16448" spans="40:42" x14ac:dyDescent="0.3">
      <c r="AN16448">
        <v>16444</v>
      </c>
      <c r="AO16448" s="11">
        <v>32048.93</v>
      </c>
      <c r="AP16448" s="9">
        <v>2.9840415861110019</v>
      </c>
    </row>
    <row r="16449" spans="40:42" x14ac:dyDescent="0.3">
      <c r="AN16449">
        <v>16445</v>
      </c>
      <c r="AO16449" s="11">
        <v>30482.78</v>
      </c>
      <c r="AP16449" s="9">
        <v>3.6475606135265384</v>
      </c>
    </row>
    <row r="16450" spans="40:42" x14ac:dyDescent="0.3">
      <c r="AN16450">
        <v>16446</v>
      </c>
      <c r="AO16450" s="11">
        <v>22249.54</v>
      </c>
      <c r="AP16450" s="9">
        <v>3.0953577054412316</v>
      </c>
    </row>
    <row r="16451" spans="40:42" x14ac:dyDescent="0.3">
      <c r="AN16451">
        <v>16447</v>
      </c>
      <c r="AO16451" s="11">
        <v>26630.31</v>
      </c>
      <c r="AP16451" s="9">
        <v>3.2823350626677295</v>
      </c>
    </row>
    <row r="16452" spans="40:42" x14ac:dyDescent="0.3">
      <c r="AN16452">
        <v>16448</v>
      </c>
      <c r="AO16452" s="11">
        <v>27902.22</v>
      </c>
      <c r="AP16452" s="9">
        <v>3.4049819929984704</v>
      </c>
    </row>
    <row r="16453" spans="40:42" x14ac:dyDescent="0.3">
      <c r="AN16453">
        <v>16449</v>
      </c>
      <c r="AO16453" s="11">
        <v>37294.699999999997</v>
      </c>
      <c r="AP16453" s="9">
        <v>3.3652869067535995</v>
      </c>
    </row>
    <row r="16454" spans="40:42" x14ac:dyDescent="0.3">
      <c r="AN16454">
        <v>16450</v>
      </c>
      <c r="AO16454" s="11">
        <v>14034.67</v>
      </c>
      <c r="AP16454" s="9">
        <v>2.9760630619006214</v>
      </c>
    </row>
    <row r="16455" spans="40:42" x14ac:dyDescent="0.3">
      <c r="AN16455">
        <v>16451</v>
      </c>
      <c r="AO16455" s="11">
        <v>25713.02</v>
      </c>
      <c r="AP16455" s="9">
        <v>3.2009491819063784</v>
      </c>
    </row>
    <row r="16456" spans="40:42" x14ac:dyDescent="0.3">
      <c r="AN16456">
        <v>16452</v>
      </c>
      <c r="AO16456" s="11">
        <v>27774.68</v>
      </c>
      <c r="AP16456" s="9">
        <v>2.9584762151240649</v>
      </c>
    </row>
    <row r="16457" spans="40:42" x14ac:dyDescent="0.3">
      <c r="AN16457">
        <v>16453</v>
      </c>
      <c r="AO16457" s="11">
        <v>30222.82</v>
      </c>
      <c r="AP16457" s="9">
        <v>3.4559000777687845</v>
      </c>
    </row>
    <row r="16458" spans="40:42" x14ac:dyDescent="0.3">
      <c r="AN16458">
        <v>16454</v>
      </c>
      <c r="AO16458" s="11">
        <v>47647.53</v>
      </c>
      <c r="AP16458" s="9">
        <v>3.4274625770756768</v>
      </c>
    </row>
    <row r="16459" spans="40:42" x14ac:dyDescent="0.3">
      <c r="AN16459">
        <v>16455</v>
      </c>
      <c r="AO16459" s="11">
        <v>29638.25</v>
      </c>
      <c r="AP16459" s="9">
        <v>3.4912897870594364</v>
      </c>
    </row>
    <row r="16460" spans="40:42" x14ac:dyDescent="0.3">
      <c r="AN16460">
        <v>16456</v>
      </c>
      <c r="AO16460" s="11">
        <v>21127.57</v>
      </c>
      <c r="AP16460" s="9">
        <v>3.1000143891255494</v>
      </c>
    </row>
    <row r="16461" spans="40:42" x14ac:dyDescent="0.3">
      <c r="AN16461">
        <v>16457</v>
      </c>
      <c r="AO16461" s="11">
        <v>25024.55</v>
      </c>
      <c r="AP16461" s="9">
        <v>2.5844200168547737</v>
      </c>
    </row>
    <row r="16462" spans="40:42" x14ac:dyDescent="0.3">
      <c r="AN16462">
        <v>16458</v>
      </c>
      <c r="AO16462" s="11">
        <v>20829.75</v>
      </c>
      <c r="AP16462" s="9">
        <v>3.3536822010270488</v>
      </c>
    </row>
    <row r="16463" spans="40:42" x14ac:dyDescent="0.3">
      <c r="AN16463">
        <v>16459</v>
      </c>
      <c r="AO16463" s="11">
        <v>36572.339999999997</v>
      </c>
      <c r="AP16463" s="9">
        <v>4.02438002329606</v>
      </c>
    </row>
    <row r="16464" spans="40:42" x14ac:dyDescent="0.3">
      <c r="AN16464">
        <v>16460</v>
      </c>
      <c r="AO16464" s="11">
        <v>19119.060000000001</v>
      </c>
      <c r="AP16464" s="9">
        <v>3.5561996939465126</v>
      </c>
    </row>
    <row r="16465" spans="40:42" x14ac:dyDescent="0.3">
      <c r="AN16465">
        <v>16461</v>
      </c>
      <c r="AO16465" s="11">
        <v>23401.79</v>
      </c>
      <c r="AP16465" s="9">
        <v>4.027294365345008</v>
      </c>
    </row>
    <row r="16466" spans="40:42" x14ac:dyDescent="0.3">
      <c r="AN16466">
        <v>16462</v>
      </c>
      <c r="AO16466" s="11">
        <v>25358.76</v>
      </c>
      <c r="AP16466" s="9">
        <v>3.2221195602732084</v>
      </c>
    </row>
    <row r="16467" spans="40:42" x14ac:dyDescent="0.3">
      <c r="AN16467">
        <v>16463</v>
      </c>
      <c r="AO16467" s="11">
        <v>31168.2</v>
      </c>
      <c r="AP16467" s="9">
        <v>2.9453533687818338</v>
      </c>
    </row>
    <row r="16468" spans="40:42" x14ac:dyDescent="0.3">
      <c r="AN16468">
        <v>16464</v>
      </c>
      <c r="AO16468" s="11">
        <v>17717.259999999998</v>
      </c>
      <c r="AP16468" s="9">
        <v>3.3875517011856955</v>
      </c>
    </row>
    <row r="16469" spans="40:42" x14ac:dyDescent="0.3">
      <c r="AN16469">
        <v>16465</v>
      </c>
      <c r="AO16469" s="11">
        <v>27698.240000000002</v>
      </c>
      <c r="AP16469" s="9">
        <v>3.1377043476796689</v>
      </c>
    </row>
    <row r="16470" spans="40:42" x14ac:dyDescent="0.3">
      <c r="AN16470">
        <v>16466</v>
      </c>
      <c r="AO16470" s="11">
        <v>28580.66</v>
      </c>
      <c r="AP16470" s="9">
        <v>3.6383452351103296</v>
      </c>
    </row>
    <row r="16471" spans="40:42" x14ac:dyDescent="0.3">
      <c r="AN16471">
        <v>16467</v>
      </c>
      <c r="AO16471" s="11">
        <v>27716.04</v>
      </c>
      <c r="AP16471" s="9">
        <v>3.1958264724494474</v>
      </c>
    </row>
    <row r="16472" spans="40:42" x14ac:dyDescent="0.3">
      <c r="AN16472">
        <v>16468</v>
      </c>
      <c r="AO16472" s="11">
        <v>25956.53</v>
      </c>
      <c r="AP16472" s="9">
        <v>3.1244753075386713</v>
      </c>
    </row>
    <row r="16473" spans="40:42" x14ac:dyDescent="0.3">
      <c r="AN16473">
        <v>16469</v>
      </c>
      <c r="AO16473" s="11">
        <v>17363.73</v>
      </c>
      <c r="AP16473" s="9">
        <v>2.7850006648471353</v>
      </c>
    </row>
    <row r="16474" spans="40:42" x14ac:dyDescent="0.3">
      <c r="AN16474">
        <v>16470</v>
      </c>
      <c r="AO16474" s="11">
        <v>16698.61</v>
      </c>
      <c r="AP16474" s="9">
        <v>3.0224100722557425</v>
      </c>
    </row>
    <row r="16475" spans="40:42" x14ac:dyDescent="0.3">
      <c r="AN16475">
        <v>16471</v>
      </c>
      <c r="AO16475" s="11">
        <v>23725.94</v>
      </c>
      <c r="AP16475" s="9">
        <v>3.1444106291034037</v>
      </c>
    </row>
    <row r="16476" spans="40:42" x14ac:dyDescent="0.3">
      <c r="AN16476">
        <v>16472</v>
      </c>
      <c r="AO16476" s="11">
        <v>25077.919999999998</v>
      </c>
      <c r="AP16476" s="9">
        <v>3.7675362109667887</v>
      </c>
    </row>
    <row r="16477" spans="40:42" x14ac:dyDescent="0.3">
      <c r="AN16477">
        <v>16473</v>
      </c>
      <c r="AO16477" s="11">
        <v>28064.25</v>
      </c>
      <c r="AP16477" s="9">
        <v>3.4193506177752231</v>
      </c>
    </row>
    <row r="16478" spans="40:42" x14ac:dyDescent="0.3">
      <c r="AN16478">
        <v>16474</v>
      </c>
      <c r="AO16478" s="11">
        <v>24654.01</v>
      </c>
      <c r="AP16478" s="9">
        <v>3.2289470492469889</v>
      </c>
    </row>
    <row r="16479" spans="40:42" x14ac:dyDescent="0.3">
      <c r="AN16479">
        <v>16475</v>
      </c>
      <c r="AO16479" s="11">
        <v>23046.55</v>
      </c>
      <c r="AP16479" s="9">
        <v>3.4528274912060226</v>
      </c>
    </row>
    <row r="16480" spans="40:42" x14ac:dyDescent="0.3">
      <c r="AN16480">
        <v>16476</v>
      </c>
      <c r="AO16480" s="11">
        <v>23323.3</v>
      </c>
      <c r="AP16480" s="9">
        <v>3.8452079045376166</v>
      </c>
    </row>
    <row r="16481" spans="40:42" x14ac:dyDescent="0.3">
      <c r="AN16481">
        <v>16477</v>
      </c>
      <c r="AO16481" s="11">
        <v>25975.360000000001</v>
      </c>
      <c r="AP16481" s="9">
        <v>3.2377359009419697</v>
      </c>
    </row>
    <row r="16482" spans="40:42" x14ac:dyDescent="0.3">
      <c r="AN16482">
        <v>16478</v>
      </c>
      <c r="AO16482" s="11">
        <v>64813.62</v>
      </c>
      <c r="AP16482" s="9">
        <v>3.6465922598143279</v>
      </c>
    </row>
    <row r="16483" spans="40:42" x14ac:dyDescent="0.3">
      <c r="AN16483">
        <v>16479</v>
      </c>
      <c r="AO16483" s="11">
        <v>26386.5</v>
      </c>
      <c r="AP16483" s="9">
        <v>3.0752023746992929</v>
      </c>
    </row>
    <row r="16484" spans="40:42" x14ac:dyDescent="0.3">
      <c r="AN16484">
        <v>16480</v>
      </c>
      <c r="AO16484" s="11">
        <v>24601.41</v>
      </c>
      <c r="AP16484" s="9">
        <v>3.5516678288977075</v>
      </c>
    </row>
    <row r="16485" spans="40:42" x14ac:dyDescent="0.3">
      <c r="AN16485">
        <v>16481</v>
      </c>
      <c r="AO16485" s="11">
        <v>17803.16</v>
      </c>
      <c r="AP16485" s="9">
        <v>4.3580401731451364</v>
      </c>
    </row>
    <row r="16486" spans="40:42" x14ac:dyDescent="0.3">
      <c r="AN16486">
        <v>16482</v>
      </c>
      <c r="AO16486" s="11">
        <v>31897.52</v>
      </c>
      <c r="AP16486" s="9">
        <v>3.7147083653747259</v>
      </c>
    </row>
    <row r="16487" spans="40:42" x14ac:dyDescent="0.3">
      <c r="AN16487">
        <v>16483</v>
      </c>
      <c r="AO16487" s="11">
        <v>20695.53</v>
      </c>
      <c r="AP16487" s="9">
        <v>3.0701917240079664</v>
      </c>
    </row>
    <row r="16488" spans="40:42" x14ac:dyDescent="0.3">
      <c r="AN16488">
        <v>16484</v>
      </c>
      <c r="AO16488" s="11">
        <v>26919.64</v>
      </c>
      <c r="AP16488" s="9">
        <v>3.3347036174011091</v>
      </c>
    </row>
    <row r="16489" spans="40:42" x14ac:dyDescent="0.3">
      <c r="AN16489">
        <v>16485</v>
      </c>
      <c r="AO16489" s="11">
        <v>16423.95</v>
      </c>
      <c r="AP16489" s="9">
        <v>2.8935528678649831</v>
      </c>
    </row>
    <row r="16490" spans="40:42" x14ac:dyDescent="0.3">
      <c r="AN16490">
        <v>16486</v>
      </c>
      <c r="AO16490" s="11">
        <v>25082.77</v>
      </c>
      <c r="AP16490" s="9">
        <v>3.2807366548759802</v>
      </c>
    </row>
    <row r="16491" spans="40:42" x14ac:dyDescent="0.3">
      <c r="AN16491">
        <v>16487</v>
      </c>
      <c r="AO16491" s="11">
        <v>19637.73</v>
      </c>
      <c r="AP16491" s="9">
        <v>3.6526461485701764</v>
      </c>
    </row>
    <row r="16492" spans="40:42" x14ac:dyDescent="0.3">
      <c r="AN16492">
        <v>16488</v>
      </c>
      <c r="AO16492" s="11">
        <v>22566.58</v>
      </c>
      <c r="AP16492" s="9">
        <v>3.3479688331632529</v>
      </c>
    </row>
    <row r="16493" spans="40:42" x14ac:dyDescent="0.3">
      <c r="AN16493">
        <v>16489</v>
      </c>
      <c r="AO16493" s="11">
        <v>18711.28</v>
      </c>
      <c r="AP16493" s="9">
        <v>3.4591439801036268</v>
      </c>
    </row>
    <row r="16494" spans="40:42" x14ac:dyDescent="0.3">
      <c r="AN16494">
        <v>16490</v>
      </c>
      <c r="AO16494" s="11">
        <v>26852.75</v>
      </c>
      <c r="AP16494" s="9">
        <v>3.6210019729973255</v>
      </c>
    </row>
    <row r="16495" spans="40:42" x14ac:dyDescent="0.3">
      <c r="AN16495">
        <v>16491</v>
      </c>
      <c r="AO16495" s="11">
        <v>29372.89</v>
      </c>
      <c r="AP16495" s="9">
        <v>3.7595934711640644</v>
      </c>
    </row>
    <row r="16496" spans="40:42" x14ac:dyDescent="0.3">
      <c r="AN16496">
        <v>16492</v>
      </c>
      <c r="AO16496" s="11">
        <v>22596.89</v>
      </c>
      <c r="AP16496" s="9">
        <v>3.4610717030261835</v>
      </c>
    </row>
    <row r="16497" spans="40:42" x14ac:dyDescent="0.3">
      <c r="AN16497">
        <v>16493</v>
      </c>
      <c r="AO16497" s="11">
        <v>45143.39</v>
      </c>
      <c r="AP16497" s="9">
        <v>3.4177844287382744</v>
      </c>
    </row>
    <row r="16498" spans="40:42" x14ac:dyDescent="0.3">
      <c r="AN16498">
        <v>16494</v>
      </c>
      <c r="AO16498" s="11">
        <v>26692.46</v>
      </c>
      <c r="AP16498" s="9">
        <v>2.9029942009329033</v>
      </c>
    </row>
    <row r="16499" spans="40:42" x14ac:dyDescent="0.3">
      <c r="AN16499">
        <v>16495</v>
      </c>
      <c r="AO16499" s="11">
        <v>22366.55</v>
      </c>
      <c r="AP16499" s="9">
        <v>3.2555709836982785</v>
      </c>
    </row>
    <row r="16500" spans="40:42" x14ac:dyDescent="0.3">
      <c r="AN16500">
        <v>16496</v>
      </c>
      <c r="AO16500" s="11">
        <v>28187.4</v>
      </c>
      <c r="AP16500" s="9">
        <v>3.0547921416411548</v>
      </c>
    </row>
    <row r="16501" spans="40:42" x14ac:dyDescent="0.3">
      <c r="AN16501">
        <v>16497</v>
      </c>
      <c r="AO16501" s="11">
        <v>19730.439999999999</v>
      </c>
      <c r="AP16501" s="9">
        <v>3.23969194735675</v>
      </c>
    </row>
    <row r="16502" spans="40:42" x14ac:dyDescent="0.3">
      <c r="AN16502">
        <v>16498</v>
      </c>
      <c r="AO16502" s="11">
        <v>20788.97</v>
      </c>
      <c r="AP16502" s="9">
        <v>2.8366085032298729</v>
      </c>
    </row>
    <row r="16503" spans="40:42" x14ac:dyDescent="0.3">
      <c r="AN16503">
        <v>16499</v>
      </c>
      <c r="AO16503" s="11">
        <v>20338.97</v>
      </c>
      <c r="AP16503" s="9">
        <v>3.2795679780883877</v>
      </c>
    </row>
    <row r="16504" spans="40:42" x14ac:dyDescent="0.3">
      <c r="AN16504">
        <v>16500</v>
      </c>
      <c r="AO16504" s="11">
        <v>35675.46</v>
      </c>
      <c r="AP16504" s="9">
        <v>4.1038646365592211</v>
      </c>
    </row>
    <row r="16505" spans="40:42" x14ac:dyDescent="0.3">
      <c r="AN16505">
        <v>16501</v>
      </c>
      <c r="AO16505" s="11">
        <v>19367.439999999999</v>
      </c>
      <c r="AP16505" s="9">
        <v>3.2574944834848352</v>
      </c>
    </row>
    <row r="16506" spans="40:42" x14ac:dyDescent="0.3">
      <c r="AN16506">
        <v>16502</v>
      </c>
      <c r="AO16506" s="11">
        <v>27030.89</v>
      </c>
      <c r="AP16506" s="9">
        <v>3.5705354965284593</v>
      </c>
    </row>
    <row r="16507" spans="40:42" x14ac:dyDescent="0.3">
      <c r="AN16507">
        <v>16503</v>
      </c>
      <c r="AO16507" s="11">
        <v>21828.53</v>
      </c>
      <c r="AP16507" s="9">
        <v>3.2098875911291311</v>
      </c>
    </row>
    <row r="16508" spans="40:42" x14ac:dyDescent="0.3">
      <c r="AN16508">
        <v>16504</v>
      </c>
      <c r="AO16508" s="11">
        <v>33990.57</v>
      </c>
      <c r="AP16508" s="9">
        <v>3.8648573189756705</v>
      </c>
    </row>
    <row r="16509" spans="40:42" x14ac:dyDescent="0.3">
      <c r="AN16509">
        <v>16505</v>
      </c>
      <c r="AO16509" s="11">
        <v>21414.27</v>
      </c>
      <c r="AP16509" s="9">
        <v>2.7799128371600896</v>
      </c>
    </row>
    <row r="16510" spans="40:42" x14ac:dyDescent="0.3">
      <c r="AN16510">
        <v>16506</v>
      </c>
      <c r="AO16510" s="11">
        <v>19558.79</v>
      </c>
      <c r="AP16510" s="9">
        <v>3.5233160617762995</v>
      </c>
    </row>
    <row r="16511" spans="40:42" x14ac:dyDescent="0.3">
      <c r="AN16511">
        <v>16507</v>
      </c>
      <c r="AO16511" s="11">
        <v>23676.79</v>
      </c>
      <c r="AP16511" s="9">
        <v>3.3291162845930451</v>
      </c>
    </row>
    <row r="16512" spans="40:42" x14ac:dyDescent="0.3">
      <c r="AN16512">
        <v>16508</v>
      </c>
      <c r="AO16512" s="11">
        <v>22799.27</v>
      </c>
      <c r="AP16512" s="9">
        <v>3.0537324949504447</v>
      </c>
    </row>
    <row r="16513" spans="40:42" x14ac:dyDescent="0.3">
      <c r="AN16513">
        <v>16509</v>
      </c>
      <c r="AO16513" s="11">
        <v>27306.29</v>
      </c>
      <c r="AP16513" s="9">
        <v>3.5332752484185392</v>
      </c>
    </row>
    <row r="16514" spans="40:42" x14ac:dyDescent="0.3">
      <c r="AN16514">
        <v>16510</v>
      </c>
      <c r="AO16514" s="11">
        <v>20727.09</v>
      </c>
      <c r="AP16514" s="9">
        <v>3.4758735324192203</v>
      </c>
    </row>
    <row r="16515" spans="40:42" x14ac:dyDescent="0.3">
      <c r="AN16515">
        <v>16511</v>
      </c>
      <c r="AO16515" s="11">
        <v>22287.279999999999</v>
      </c>
      <c r="AP16515" s="9">
        <v>2.7155872869438373</v>
      </c>
    </row>
    <row r="16516" spans="40:42" x14ac:dyDescent="0.3">
      <c r="AN16516">
        <v>16512</v>
      </c>
      <c r="AO16516" s="11">
        <v>29820.38</v>
      </c>
      <c r="AP16516" s="9">
        <v>3.6065248851297533</v>
      </c>
    </row>
    <row r="16517" spans="40:42" x14ac:dyDescent="0.3">
      <c r="AN16517">
        <v>16513</v>
      </c>
      <c r="AO16517" s="11">
        <v>16191.23</v>
      </c>
      <c r="AP16517" s="9">
        <v>3.5160159299087961</v>
      </c>
    </row>
    <row r="16518" spans="40:42" x14ac:dyDescent="0.3">
      <c r="AN16518">
        <v>16514</v>
      </c>
      <c r="AO16518" s="11">
        <v>16895.86</v>
      </c>
      <c r="AP16518" s="9">
        <v>2.9074481295613164</v>
      </c>
    </row>
    <row r="16519" spans="40:42" x14ac:dyDescent="0.3">
      <c r="AN16519">
        <v>16515</v>
      </c>
      <c r="AO16519" s="11">
        <v>33338.83</v>
      </c>
      <c r="AP16519" s="9">
        <v>3.5749535992316108</v>
      </c>
    </row>
    <row r="16520" spans="40:42" x14ac:dyDescent="0.3">
      <c r="AN16520">
        <v>16516</v>
      </c>
      <c r="AO16520" s="11">
        <v>12076.26</v>
      </c>
      <c r="AP16520" s="9">
        <v>3.6665280011358083</v>
      </c>
    </row>
    <row r="16521" spans="40:42" x14ac:dyDescent="0.3">
      <c r="AN16521">
        <v>16517</v>
      </c>
      <c r="AO16521" s="11">
        <v>25182.76</v>
      </c>
      <c r="AP16521" s="9">
        <v>3.2423827892032371</v>
      </c>
    </row>
    <row r="16522" spans="40:42" x14ac:dyDescent="0.3">
      <c r="AN16522">
        <v>16518</v>
      </c>
      <c r="AO16522" s="11">
        <v>31875.74</v>
      </c>
      <c r="AP16522" s="9">
        <v>3.0855105161052774</v>
      </c>
    </row>
    <row r="16523" spans="40:42" x14ac:dyDescent="0.3">
      <c r="AN16523">
        <v>16519</v>
      </c>
      <c r="AO16523" s="11">
        <v>36250.949999999997</v>
      </c>
      <c r="AP16523" s="9">
        <v>3.8512303078721954</v>
      </c>
    </row>
    <row r="16524" spans="40:42" x14ac:dyDescent="0.3">
      <c r="AN16524">
        <v>16520</v>
      </c>
      <c r="AO16524" s="11">
        <v>28733.71</v>
      </c>
      <c r="AP16524" s="9">
        <v>3.9656385346995773</v>
      </c>
    </row>
    <row r="16525" spans="40:42" x14ac:dyDescent="0.3">
      <c r="AN16525">
        <v>16521</v>
      </c>
      <c r="AO16525" s="11">
        <v>22230.52</v>
      </c>
      <c r="AP16525" s="9">
        <v>3.2086934815320771</v>
      </c>
    </row>
    <row r="16526" spans="40:42" x14ac:dyDescent="0.3">
      <c r="AN16526">
        <v>16522</v>
      </c>
      <c r="AO16526" s="11">
        <v>15804.59</v>
      </c>
      <c r="AP16526" s="9">
        <v>2.7801020193879351</v>
      </c>
    </row>
    <row r="16527" spans="40:42" x14ac:dyDescent="0.3">
      <c r="AN16527">
        <v>16523</v>
      </c>
      <c r="AO16527" s="11">
        <v>42992.01</v>
      </c>
      <c r="AP16527" s="9">
        <v>3.3369222046259046</v>
      </c>
    </row>
    <row r="16528" spans="40:42" x14ac:dyDescent="0.3">
      <c r="AN16528">
        <v>16524</v>
      </c>
      <c r="AO16528" s="11">
        <v>34506.370000000003</v>
      </c>
      <c r="AP16528" s="9">
        <v>3.62872479000487</v>
      </c>
    </row>
    <row r="16529" spans="40:42" x14ac:dyDescent="0.3">
      <c r="AN16529">
        <v>16525</v>
      </c>
      <c r="AO16529" s="11">
        <v>29231.52</v>
      </c>
      <c r="AP16529" s="9">
        <v>3.2189336824075703</v>
      </c>
    </row>
    <row r="16530" spans="40:42" x14ac:dyDescent="0.3">
      <c r="AN16530">
        <v>16526</v>
      </c>
      <c r="AO16530" s="11">
        <v>16110.89</v>
      </c>
      <c r="AP16530" s="9">
        <v>2.5730565442502917</v>
      </c>
    </row>
    <row r="16531" spans="40:42" x14ac:dyDescent="0.3">
      <c r="AN16531">
        <v>16527</v>
      </c>
      <c r="AO16531" s="11">
        <v>23496.59</v>
      </c>
      <c r="AP16531" s="9">
        <v>3.3758846437480274</v>
      </c>
    </row>
    <row r="16532" spans="40:42" x14ac:dyDescent="0.3">
      <c r="AN16532">
        <v>16528</v>
      </c>
      <c r="AO16532" s="11">
        <v>24932.240000000002</v>
      </c>
      <c r="AP16532" s="9">
        <v>3.2091209029077459</v>
      </c>
    </row>
    <row r="16533" spans="40:42" x14ac:dyDescent="0.3">
      <c r="AN16533">
        <v>16529</v>
      </c>
      <c r="AO16533" s="11">
        <v>17331.990000000002</v>
      </c>
      <c r="AP16533" s="9">
        <v>3.0600367690361381</v>
      </c>
    </row>
    <row r="16534" spans="40:42" x14ac:dyDescent="0.3">
      <c r="AN16534">
        <v>16530</v>
      </c>
      <c r="AO16534" s="11">
        <v>22692.6</v>
      </c>
      <c r="AP16534" s="9">
        <v>3.4138375774329099</v>
      </c>
    </row>
    <row r="16535" spans="40:42" x14ac:dyDescent="0.3">
      <c r="AN16535">
        <v>16531</v>
      </c>
      <c r="AO16535" s="11">
        <v>25987.13</v>
      </c>
      <c r="AP16535" s="9">
        <v>3.462809294500599</v>
      </c>
    </row>
    <row r="16536" spans="40:42" x14ac:dyDescent="0.3">
      <c r="AN16536">
        <v>16532</v>
      </c>
      <c r="AO16536" s="11">
        <v>23267.81</v>
      </c>
      <c r="AP16536" s="9">
        <v>2.9264374969197009</v>
      </c>
    </row>
    <row r="16537" spans="40:42" x14ac:dyDescent="0.3">
      <c r="AN16537">
        <v>16533</v>
      </c>
      <c r="AO16537" s="11">
        <v>15832.69</v>
      </c>
      <c r="AP16537" s="9">
        <v>3.2588645932543709</v>
      </c>
    </row>
    <row r="16538" spans="40:42" x14ac:dyDescent="0.3">
      <c r="AN16538">
        <v>16534</v>
      </c>
      <c r="AO16538" s="11">
        <v>33998.5</v>
      </c>
      <c r="AP16538" s="9">
        <v>4.3212129299855944</v>
      </c>
    </row>
    <row r="16539" spans="40:42" x14ac:dyDescent="0.3">
      <c r="AN16539">
        <v>16535</v>
      </c>
      <c r="AO16539" s="11">
        <v>34535.69</v>
      </c>
      <c r="AP16539" s="9">
        <v>3.6427408602480971</v>
      </c>
    </row>
    <row r="16540" spans="40:42" x14ac:dyDescent="0.3">
      <c r="AN16540">
        <v>16536</v>
      </c>
      <c r="AO16540" s="11">
        <v>22070.32</v>
      </c>
      <c r="AP16540" s="9">
        <v>3.2058729381364213</v>
      </c>
    </row>
    <row r="16541" spans="40:42" x14ac:dyDescent="0.3">
      <c r="AN16541">
        <v>16537</v>
      </c>
      <c r="AO16541" s="11">
        <v>33896.49</v>
      </c>
      <c r="AP16541" s="9">
        <v>3.2795291152650625</v>
      </c>
    </row>
    <row r="16542" spans="40:42" x14ac:dyDescent="0.3">
      <c r="AN16542">
        <v>16538</v>
      </c>
      <c r="AO16542" s="11">
        <v>29776.51</v>
      </c>
      <c r="AP16542" s="9">
        <v>4.1319390306756398</v>
      </c>
    </row>
    <row r="16543" spans="40:42" x14ac:dyDescent="0.3">
      <c r="AN16543">
        <v>16539</v>
      </c>
      <c r="AO16543" s="11">
        <v>24738.11</v>
      </c>
      <c r="AP16543" s="9">
        <v>3.2398609205372773</v>
      </c>
    </row>
    <row r="16544" spans="40:42" x14ac:dyDescent="0.3">
      <c r="AN16544">
        <v>16540</v>
      </c>
      <c r="AO16544" s="11">
        <v>19241.740000000002</v>
      </c>
      <c r="AP16544" s="9">
        <v>3.1798442895501293</v>
      </c>
    </row>
    <row r="16545" spans="40:42" x14ac:dyDescent="0.3">
      <c r="AN16545">
        <v>16541</v>
      </c>
      <c r="AO16545" s="11">
        <v>29054.75</v>
      </c>
      <c r="AP16545" s="9">
        <v>3.8577676832690497</v>
      </c>
    </row>
    <row r="16546" spans="40:42" x14ac:dyDescent="0.3">
      <c r="AN16546">
        <v>16542</v>
      </c>
      <c r="AO16546" s="11">
        <v>23947.3</v>
      </c>
      <c r="AP16546" s="9">
        <v>3.4521494079850497</v>
      </c>
    </row>
    <row r="16547" spans="40:42" x14ac:dyDescent="0.3">
      <c r="AN16547">
        <v>16543</v>
      </c>
      <c r="AO16547" s="11">
        <v>40296.31</v>
      </c>
      <c r="AP16547" s="9">
        <v>3.3765187943574571</v>
      </c>
    </row>
    <row r="16548" spans="40:42" x14ac:dyDescent="0.3">
      <c r="AN16548">
        <v>16544</v>
      </c>
      <c r="AO16548" s="11">
        <v>24782.45</v>
      </c>
      <c r="AP16548" s="9">
        <v>2.8774776695929343</v>
      </c>
    </row>
    <row r="16549" spans="40:42" x14ac:dyDescent="0.3">
      <c r="AN16549">
        <v>16545</v>
      </c>
      <c r="AO16549" s="11">
        <v>22332.25</v>
      </c>
      <c r="AP16549" s="9">
        <v>3.1087905506119493</v>
      </c>
    </row>
    <row r="16550" spans="40:42" x14ac:dyDescent="0.3">
      <c r="AN16550">
        <v>16546</v>
      </c>
      <c r="AO16550" s="11">
        <v>22644.35</v>
      </c>
      <c r="AP16550" s="9">
        <v>3.194484192170894</v>
      </c>
    </row>
    <row r="16551" spans="40:42" x14ac:dyDescent="0.3">
      <c r="AN16551">
        <v>16547</v>
      </c>
      <c r="AO16551" s="11">
        <v>22861.06</v>
      </c>
      <c r="AP16551" s="9">
        <v>3.1813999537847359</v>
      </c>
    </row>
    <row r="16552" spans="40:42" x14ac:dyDescent="0.3">
      <c r="AN16552">
        <v>16548</v>
      </c>
      <c r="AO16552" s="11">
        <v>16647.66</v>
      </c>
      <c r="AP16552" s="9">
        <v>3.3485023104235654</v>
      </c>
    </row>
    <row r="16553" spans="40:42" x14ac:dyDescent="0.3">
      <c r="AN16553">
        <v>16549</v>
      </c>
      <c r="AO16553" s="11">
        <v>32393.75</v>
      </c>
      <c r="AP16553" s="9">
        <v>3.5504221955611448</v>
      </c>
    </row>
    <row r="16554" spans="40:42" x14ac:dyDescent="0.3">
      <c r="AN16554">
        <v>16550</v>
      </c>
      <c r="AO16554" s="11">
        <v>24221.25</v>
      </c>
      <c r="AP16554" s="9">
        <v>3.3739329000748666</v>
      </c>
    </row>
    <row r="16555" spans="40:42" x14ac:dyDescent="0.3">
      <c r="AN16555">
        <v>16551</v>
      </c>
      <c r="AO16555" s="11">
        <v>26885.94</v>
      </c>
      <c r="AP16555" s="9">
        <v>3.4266156432629775</v>
      </c>
    </row>
    <row r="16556" spans="40:42" x14ac:dyDescent="0.3">
      <c r="AN16556">
        <v>16552</v>
      </c>
      <c r="AO16556" s="11">
        <v>24154.37</v>
      </c>
      <c r="AP16556" s="9">
        <v>2.853970230938101</v>
      </c>
    </row>
    <row r="16557" spans="40:42" x14ac:dyDescent="0.3">
      <c r="AN16557">
        <v>16553</v>
      </c>
      <c r="AO16557" s="11">
        <v>40300.79</v>
      </c>
      <c r="AP16557" s="9">
        <v>3.5578614350279243</v>
      </c>
    </row>
    <row r="16558" spans="40:42" x14ac:dyDescent="0.3">
      <c r="AN16558">
        <v>16554</v>
      </c>
      <c r="AO16558" s="11">
        <v>30396.57</v>
      </c>
      <c r="AP16558" s="9">
        <v>3.1774026846041208</v>
      </c>
    </row>
    <row r="16559" spans="40:42" x14ac:dyDescent="0.3">
      <c r="AN16559">
        <v>16555</v>
      </c>
      <c r="AO16559" s="11">
        <v>21161.02</v>
      </c>
      <c r="AP16559" s="9">
        <v>2.9509677434252737</v>
      </c>
    </row>
    <row r="16560" spans="40:42" x14ac:dyDescent="0.3">
      <c r="AN16560">
        <v>16556</v>
      </c>
      <c r="AO16560" s="11">
        <v>21522.11</v>
      </c>
      <c r="AP16560" s="9">
        <v>4.0977254167773216</v>
      </c>
    </row>
    <row r="16561" spans="40:42" x14ac:dyDescent="0.3">
      <c r="AN16561">
        <v>16557</v>
      </c>
      <c r="AO16561" s="11">
        <v>30732.15</v>
      </c>
      <c r="AP16561" s="9">
        <v>3.5875948441818708</v>
      </c>
    </row>
    <row r="16562" spans="40:42" x14ac:dyDescent="0.3">
      <c r="AN16562">
        <v>16558</v>
      </c>
      <c r="AO16562" s="11">
        <v>17655.32</v>
      </c>
      <c r="AP16562" s="9">
        <v>3.5905222603885698</v>
      </c>
    </row>
    <row r="16563" spans="40:42" x14ac:dyDescent="0.3">
      <c r="AN16563">
        <v>16559</v>
      </c>
      <c r="AO16563" s="11">
        <v>20105.330000000002</v>
      </c>
      <c r="AP16563" s="9">
        <v>2.6642614256856718</v>
      </c>
    </row>
    <row r="16564" spans="40:42" x14ac:dyDescent="0.3">
      <c r="AN16564">
        <v>16560</v>
      </c>
      <c r="AO16564" s="11">
        <v>20035.41</v>
      </c>
      <c r="AP16564" s="9">
        <v>3.4991110091970605</v>
      </c>
    </row>
    <row r="16565" spans="40:42" x14ac:dyDescent="0.3">
      <c r="AN16565">
        <v>16561</v>
      </c>
      <c r="AO16565" s="11">
        <v>16582.5</v>
      </c>
      <c r="AP16565" s="9">
        <v>3.03114465421227</v>
      </c>
    </row>
    <row r="16566" spans="40:42" x14ac:dyDescent="0.3">
      <c r="AN16566">
        <v>16562</v>
      </c>
      <c r="AO16566" s="11">
        <v>23055.43</v>
      </c>
      <c r="AP16566" s="9">
        <v>3.2816921601499343</v>
      </c>
    </row>
    <row r="16567" spans="40:42" x14ac:dyDescent="0.3">
      <c r="AN16567">
        <v>16563</v>
      </c>
      <c r="AO16567" s="11">
        <v>21581.759999999998</v>
      </c>
      <c r="AP16567" s="9">
        <v>3.4871494437221506</v>
      </c>
    </row>
    <row r="16568" spans="40:42" x14ac:dyDescent="0.3">
      <c r="AN16568">
        <v>16564</v>
      </c>
      <c r="AO16568" s="11">
        <v>40405.89</v>
      </c>
      <c r="AP16568" s="9">
        <v>3.6961526506490436</v>
      </c>
    </row>
    <row r="16569" spans="40:42" x14ac:dyDescent="0.3">
      <c r="AN16569">
        <v>16565</v>
      </c>
      <c r="AO16569" s="11">
        <v>19004.400000000001</v>
      </c>
      <c r="AP16569" s="9">
        <v>2.6712578547287129</v>
      </c>
    </row>
    <row r="16570" spans="40:42" x14ac:dyDescent="0.3">
      <c r="AN16570">
        <v>16566</v>
      </c>
      <c r="AO16570" s="11">
        <v>40202.089999999997</v>
      </c>
      <c r="AP16570" s="9">
        <v>3.9591967052466526</v>
      </c>
    </row>
    <row r="16571" spans="40:42" x14ac:dyDescent="0.3">
      <c r="AN16571">
        <v>16567</v>
      </c>
      <c r="AO16571" s="11">
        <v>29900.47</v>
      </c>
      <c r="AP16571" s="9">
        <v>3.4681727400102234</v>
      </c>
    </row>
    <row r="16572" spans="40:42" x14ac:dyDescent="0.3">
      <c r="AN16572">
        <v>16568</v>
      </c>
      <c r="AO16572" s="11">
        <v>19939.86</v>
      </c>
      <c r="AP16572" s="9">
        <v>3.2124729992420002</v>
      </c>
    </row>
    <row r="16573" spans="40:42" x14ac:dyDescent="0.3">
      <c r="AN16573">
        <v>16569</v>
      </c>
      <c r="AO16573" s="11">
        <v>23431.35</v>
      </c>
      <c r="AP16573" s="9">
        <v>3.0831346594533144</v>
      </c>
    </row>
    <row r="16574" spans="40:42" x14ac:dyDescent="0.3">
      <c r="AN16574">
        <v>16570</v>
      </c>
      <c r="AO16574" s="11">
        <v>15762.56</v>
      </c>
      <c r="AP16574" s="9">
        <v>3.2907320986550546</v>
      </c>
    </row>
    <row r="16575" spans="40:42" x14ac:dyDescent="0.3">
      <c r="AN16575">
        <v>16571</v>
      </c>
      <c r="AO16575" s="11">
        <v>34416.04</v>
      </c>
      <c r="AP16575" s="9">
        <v>3.7006226589206013</v>
      </c>
    </row>
    <row r="16576" spans="40:42" x14ac:dyDescent="0.3">
      <c r="AN16576">
        <v>16572</v>
      </c>
      <c r="AO16576" s="11">
        <v>49640.17</v>
      </c>
      <c r="AP16576" s="9">
        <v>3.3750616634921213</v>
      </c>
    </row>
    <row r="16577" spans="40:42" x14ac:dyDescent="0.3">
      <c r="AN16577">
        <v>16573</v>
      </c>
      <c r="AO16577" s="11">
        <v>38050.6</v>
      </c>
      <c r="AP16577" s="9">
        <v>3.7041356000381866</v>
      </c>
    </row>
    <row r="16578" spans="40:42" x14ac:dyDescent="0.3">
      <c r="AN16578">
        <v>16574</v>
      </c>
      <c r="AO16578" s="11">
        <v>29953.81</v>
      </c>
      <c r="AP16578" s="9">
        <v>3.0502232318378919</v>
      </c>
    </row>
    <row r="16579" spans="40:42" x14ac:dyDescent="0.3">
      <c r="AN16579">
        <v>16575</v>
      </c>
      <c r="AO16579" s="11">
        <v>24364.1</v>
      </c>
      <c r="AP16579" s="9">
        <v>3.2198671387929294</v>
      </c>
    </row>
    <row r="16580" spans="40:42" x14ac:dyDescent="0.3">
      <c r="AN16580">
        <v>16576</v>
      </c>
      <c r="AO16580" s="11">
        <v>26880.45</v>
      </c>
      <c r="AP16580" s="9">
        <v>3.8315605212161086</v>
      </c>
    </row>
    <row r="16581" spans="40:42" x14ac:dyDescent="0.3">
      <c r="AN16581">
        <v>16577</v>
      </c>
      <c r="AO16581" s="11">
        <v>20521.18</v>
      </c>
      <c r="AP16581" s="9">
        <v>3.5052362165378836</v>
      </c>
    </row>
    <row r="16582" spans="40:42" x14ac:dyDescent="0.3">
      <c r="AN16582">
        <v>16578</v>
      </c>
      <c r="AO16582" s="11">
        <v>25442.400000000001</v>
      </c>
      <c r="AP16582" s="9">
        <v>3.5092147836975638</v>
      </c>
    </row>
    <row r="16583" spans="40:42" x14ac:dyDescent="0.3">
      <c r="AN16583">
        <v>16579</v>
      </c>
      <c r="AO16583" s="11">
        <v>16051.27</v>
      </c>
      <c r="AP16583" s="9">
        <v>3.1468447130885484</v>
      </c>
    </row>
    <row r="16584" spans="40:42" x14ac:dyDescent="0.3">
      <c r="AN16584">
        <v>16580</v>
      </c>
      <c r="AO16584" s="11">
        <v>35211.93</v>
      </c>
      <c r="AP16584" s="9">
        <v>3.8119369782118784</v>
      </c>
    </row>
    <row r="16585" spans="40:42" x14ac:dyDescent="0.3">
      <c r="AN16585">
        <v>16581</v>
      </c>
      <c r="AO16585" s="11">
        <v>23830.32</v>
      </c>
      <c r="AP16585" s="9">
        <v>3.3950857571334798</v>
      </c>
    </row>
    <row r="16586" spans="40:42" x14ac:dyDescent="0.3">
      <c r="AN16586">
        <v>16582</v>
      </c>
      <c r="AO16586" s="11">
        <v>25343.43</v>
      </c>
      <c r="AP16586" s="9">
        <v>3.5121809547103782</v>
      </c>
    </row>
    <row r="16587" spans="40:42" x14ac:dyDescent="0.3">
      <c r="AN16587">
        <v>16583</v>
      </c>
      <c r="AO16587" s="11">
        <v>16682.77</v>
      </c>
      <c r="AP16587" s="9">
        <v>3.0199416060769821</v>
      </c>
    </row>
    <row r="16588" spans="40:42" x14ac:dyDescent="0.3">
      <c r="AN16588">
        <v>16584</v>
      </c>
      <c r="AO16588" s="11">
        <v>26810.85</v>
      </c>
      <c r="AP16588" s="9">
        <v>3.1411423489176062</v>
      </c>
    </row>
    <row r="16589" spans="40:42" x14ac:dyDescent="0.3">
      <c r="AN16589">
        <v>16585</v>
      </c>
      <c r="AO16589" s="11">
        <v>27267.99</v>
      </c>
      <c r="AP16589" s="9">
        <v>3.139796935734855</v>
      </c>
    </row>
    <row r="16590" spans="40:42" x14ac:dyDescent="0.3">
      <c r="AN16590">
        <v>16586</v>
      </c>
      <c r="AO16590" s="11">
        <v>25505.77</v>
      </c>
      <c r="AP16590" s="9">
        <v>3.3882421990729501</v>
      </c>
    </row>
    <row r="16591" spans="40:42" x14ac:dyDescent="0.3">
      <c r="AN16591">
        <v>16587</v>
      </c>
      <c r="AO16591" s="11">
        <v>30786.959999999999</v>
      </c>
      <c r="AP16591" s="9">
        <v>3.4390636034079867</v>
      </c>
    </row>
    <row r="16592" spans="40:42" x14ac:dyDescent="0.3">
      <c r="AN16592">
        <v>16588</v>
      </c>
      <c r="AO16592" s="11">
        <v>13760.24</v>
      </c>
      <c r="AP16592" s="9">
        <v>2.8776605070790864</v>
      </c>
    </row>
    <row r="16593" spans="40:42" x14ac:dyDescent="0.3">
      <c r="AN16593">
        <v>16589</v>
      </c>
      <c r="AO16593" s="11">
        <v>30851.71</v>
      </c>
      <c r="AP16593" s="9">
        <v>3.5578238439272996</v>
      </c>
    </row>
    <row r="16594" spans="40:42" x14ac:dyDescent="0.3">
      <c r="AN16594">
        <v>16590</v>
      </c>
      <c r="AO16594" s="11">
        <v>29701.25</v>
      </c>
      <c r="AP16594" s="9">
        <v>3.136798414949002</v>
      </c>
    </row>
    <row r="16595" spans="40:42" x14ac:dyDescent="0.3">
      <c r="AN16595">
        <v>16591</v>
      </c>
      <c r="AO16595" s="11">
        <v>32269.84</v>
      </c>
      <c r="AP16595" s="9">
        <v>3.4736741105105104</v>
      </c>
    </row>
    <row r="16596" spans="40:42" x14ac:dyDescent="0.3">
      <c r="AN16596">
        <v>16592</v>
      </c>
      <c r="AO16596" s="11">
        <v>22206.38</v>
      </c>
      <c r="AP16596" s="9">
        <v>3.6697815214990785</v>
      </c>
    </row>
    <row r="16597" spans="40:42" x14ac:dyDescent="0.3">
      <c r="AN16597">
        <v>16593</v>
      </c>
      <c r="AO16597" s="11">
        <v>32844.199999999997</v>
      </c>
      <c r="AP16597" s="9">
        <v>3.3321032494535991</v>
      </c>
    </row>
    <row r="16598" spans="40:42" x14ac:dyDescent="0.3">
      <c r="AN16598">
        <v>16594</v>
      </c>
      <c r="AO16598" s="11">
        <v>16889.509999999998</v>
      </c>
      <c r="AP16598" s="9">
        <v>2.9388660551378387</v>
      </c>
    </row>
    <row r="16599" spans="40:42" x14ac:dyDescent="0.3">
      <c r="AN16599">
        <v>16595</v>
      </c>
      <c r="AO16599" s="11">
        <v>37204.949999999997</v>
      </c>
      <c r="AP16599" s="9">
        <v>3.5872521616208393</v>
      </c>
    </row>
    <row r="16600" spans="40:42" x14ac:dyDescent="0.3">
      <c r="AN16600">
        <v>16596</v>
      </c>
      <c r="AO16600" s="11">
        <v>42604.06</v>
      </c>
      <c r="AP16600" s="9">
        <v>4.2177305141870756</v>
      </c>
    </row>
    <row r="16601" spans="40:42" x14ac:dyDescent="0.3">
      <c r="AN16601">
        <v>16597</v>
      </c>
      <c r="AO16601" s="11">
        <v>42198.99</v>
      </c>
      <c r="AP16601" s="9">
        <v>4.127639606768077</v>
      </c>
    </row>
    <row r="16602" spans="40:42" x14ac:dyDescent="0.3">
      <c r="AN16602">
        <v>16598</v>
      </c>
      <c r="AO16602" s="11">
        <v>29469.95</v>
      </c>
      <c r="AP16602" s="9">
        <v>3.6252686360844724</v>
      </c>
    </row>
    <row r="16603" spans="40:42" x14ac:dyDescent="0.3">
      <c r="AN16603">
        <v>16599</v>
      </c>
      <c r="AO16603" s="11">
        <v>23500.36</v>
      </c>
      <c r="AP16603" s="9">
        <v>3.7921495644528505</v>
      </c>
    </row>
    <row r="16604" spans="40:42" x14ac:dyDescent="0.3">
      <c r="AN16604">
        <v>16600</v>
      </c>
      <c r="AO16604" s="11">
        <v>30999.57</v>
      </c>
      <c r="AP16604" s="9">
        <v>4.1153010885298942</v>
      </c>
    </row>
    <row r="16605" spans="40:42" x14ac:dyDescent="0.3">
      <c r="AN16605">
        <v>16601</v>
      </c>
      <c r="AO16605" s="11">
        <v>20040.72</v>
      </c>
      <c r="AP16605" s="9">
        <v>3.6784079059004871</v>
      </c>
    </row>
    <row r="16606" spans="40:42" x14ac:dyDescent="0.3">
      <c r="AN16606">
        <v>16602</v>
      </c>
      <c r="AO16606" s="11">
        <v>30257.05</v>
      </c>
      <c r="AP16606" s="9">
        <v>3.6908119189922526</v>
      </c>
    </row>
    <row r="16607" spans="40:42" x14ac:dyDescent="0.3">
      <c r="AN16607">
        <v>16603</v>
      </c>
      <c r="AO16607" s="11">
        <v>20714.5</v>
      </c>
      <c r="AP16607" s="9">
        <v>3.7171476579114606</v>
      </c>
    </row>
    <row r="16608" spans="40:42" x14ac:dyDescent="0.3">
      <c r="AN16608">
        <v>16604</v>
      </c>
      <c r="AO16608" s="11">
        <v>19273.87</v>
      </c>
      <c r="AP16608" s="9">
        <v>2.9005839966641425</v>
      </c>
    </row>
    <row r="16609" spans="40:42" x14ac:dyDescent="0.3">
      <c r="AN16609">
        <v>16605</v>
      </c>
      <c r="AO16609" s="11">
        <v>25592.83</v>
      </c>
      <c r="AP16609" s="9">
        <v>3.0886962986220925</v>
      </c>
    </row>
    <row r="16610" spans="40:42" x14ac:dyDescent="0.3">
      <c r="AN16610">
        <v>16606</v>
      </c>
      <c r="AO16610" s="11">
        <v>29476.73</v>
      </c>
      <c r="AP16610" s="9">
        <v>3.277421407341464</v>
      </c>
    </row>
    <row r="16611" spans="40:42" x14ac:dyDescent="0.3">
      <c r="AN16611">
        <v>16607</v>
      </c>
      <c r="AO16611" s="11">
        <v>33321.129999999997</v>
      </c>
      <c r="AP16611" s="9">
        <v>3.6965673042581697</v>
      </c>
    </row>
    <row r="16612" spans="40:42" x14ac:dyDescent="0.3">
      <c r="AN16612">
        <v>16608</v>
      </c>
      <c r="AO16612" s="11">
        <v>53540.52</v>
      </c>
      <c r="AP16612" s="9">
        <v>4.622705504903923</v>
      </c>
    </row>
    <row r="16613" spans="40:42" x14ac:dyDescent="0.3">
      <c r="AN16613">
        <v>16609</v>
      </c>
      <c r="AO16613" s="11">
        <v>43981.86</v>
      </c>
      <c r="AP16613" s="9">
        <v>3.4687265181765885</v>
      </c>
    </row>
    <row r="16614" spans="40:42" x14ac:dyDescent="0.3">
      <c r="AN16614">
        <v>16610</v>
      </c>
      <c r="AO16614" s="11">
        <v>25748.2</v>
      </c>
      <c r="AP16614" s="9">
        <v>2.9954908758290788</v>
      </c>
    </row>
    <row r="16615" spans="40:42" x14ac:dyDescent="0.3">
      <c r="AN16615">
        <v>16611</v>
      </c>
      <c r="AO16615" s="11">
        <v>25796.62</v>
      </c>
      <c r="AP16615" s="9">
        <v>3.4289245267352992</v>
      </c>
    </row>
    <row r="16616" spans="40:42" x14ac:dyDescent="0.3">
      <c r="AN16616">
        <v>16612</v>
      </c>
      <c r="AO16616" s="11">
        <v>16557.55</v>
      </c>
      <c r="AP16616" s="9">
        <v>2.6757190702135358</v>
      </c>
    </row>
    <row r="16617" spans="40:42" x14ac:dyDescent="0.3">
      <c r="AN16617">
        <v>16613</v>
      </c>
      <c r="AO16617" s="11">
        <v>27199.439999999999</v>
      </c>
      <c r="AP16617" s="9">
        <v>3.2674222793134078</v>
      </c>
    </row>
    <row r="16618" spans="40:42" x14ac:dyDescent="0.3">
      <c r="AN16618">
        <v>16614</v>
      </c>
      <c r="AO16618" s="11">
        <v>17429.41</v>
      </c>
      <c r="AP16618" s="9">
        <v>3.0295407805527246</v>
      </c>
    </row>
    <row r="16619" spans="40:42" x14ac:dyDescent="0.3">
      <c r="AN16619">
        <v>16615</v>
      </c>
      <c r="AO16619" s="11">
        <v>20163.11</v>
      </c>
      <c r="AP16619" s="9">
        <v>2.8755693162762972</v>
      </c>
    </row>
    <row r="16620" spans="40:42" x14ac:dyDescent="0.3">
      <c r="AN16620">
        <v>16616</v>
      </c>
      <c r="AO16620" s="11">
        <v>35778.18</v>
      </c>
      <c r="AP16620" s="9">
        <v>4.0435519869468735</v>
      </c>
    </row>
    <row r="16621" spans="40:42" x14ac:dyDescent="0.3">
      <c r="AN16621">
        <v>16617</v>
      </c>
      <c r="AO16621" s="11">
        <v>34261.300000000003</v>
      </c>
      <c r="AP16621" s="9">
        <v>3.6393342630708791</v>
      </c>
    </row>
    <row r="16622" spans="40:42" x14ac:dyDescent="0.3">
      <c r="AN16622">
        <v>16618</v>
      </c>
      <c r="AO16622" s="11">
        <v>33169.360000000001</v>
      </c>
      <c r="AP16622" s="9">
        <v>3.3867936658947508</v>
      </c>
    </row>
    <row r="16623" spans="40:42" x14ac:dyDescent="0.3">
      <c r="AN16623">
        <v>16619</v>
      </c>
      <c r="AO16623" s="11">
        <v>22626.68</v>
      </c>
      <c r="AP16623" s="9">
        <v>3.5740686759938463</v>
      </c>
    </row>
    <row r="16624" spans="40:42" x14ac:dyDescent="0.3">
      <c r="AN16624">
        <v>16620</v>
      </c>
      <c r="AO16624" s="11">
        <v>37837.71</v>
      </c>
      <c r="AP16624" s="9">
        <v>3.0899027366552567</v>
      </c>
    </row>
    <row r="16625" spans="40:42" x14ac:dyDescent="0.3">
      <c r="AN16625">
        <v>16621</v>
      </c>
      <c r="AO16625" s="11">
        <v>36295.74</v>
      </c>
      <c r="AP16625" s="9">
        <v>3.2633722227876492</v>
      </c>
    </row>
    <row r="16626" spans="40:42" x14ac:dyDescent="0.3">
      <c r="AN16626">
        <v>16622</v>
      </c>
      <c r="AO16626" s="11">
        <v>24388.14</v>
      </c>
      <c r="AP16626" s="9">
        <v>3.4153372846003056</v>
      </c>
    </row>
    <row r="16627" spans="40:42" x14ac:dyDescent="0.3">
      <c r="AN16627">
        <v>16623</v>
      </c>
      <c r="AO16627" s="11">
        <v>33714.11</v>
      </c>
      <c r="AP16627" s="9">
        <v>3.7401981822565036</v>
      </c>
    </row>
    <row r="16628" spans="40:42" x14ac:dyDescent="0.3">
      <c r="AN16628">
        <v>16624</v>
      </c>
      <c r="AO16628" s="11">
        <v>17281.54</v>
      </c>
      <c r="AP16628" s="9">
        <v>2.7836374394619745</v>
      </c>
    </row>
    <row r="16629" spans="40:42" x14ac:dyDescent="0.3">
      <c r="AN16629">
        <v>16625</v>
      </c>
      <c r="AO16629" s="11">
        <v>32678.240000000002</v>
      </c>
      <c r="AP16629" s="9">
        <v>3.4530936077964673</v>
      </c>
    </row>
    <row r="16630" spans="40:42" x14ac:dyDescent="0.3">
      <c r="AN16630">
        <v>16626</v>
      </c>
      <c r="AO16630" s="11">
        <v>26506.87</v>
      </c>
      <c r="AP16630" s="9">
        <v>3.2538172042015043</v>
      </c>
    </row>
    <row r="16631" spans="40:42" x14ac:dyDescent="0.3">
      <c r="AN16631">
        <v>16627</v>
      </c>
      <c r="AO16631" s="11">
        <v>21693.55</v>
      </c>
      <c r="AP16631" s="9">
        <v>3.2494206243846917</v>
      </c>
    </row>
    <row r="16632" spans="40:42" x14ac:dyDescent="0.3">
      <c r="AN16632">
        <v>16628</v>
      </c>
      <c r="AO16632" s="11">
        <v>28153.1</v>
      </c>
      <c r="AP16632" s="9">
        <v>3.9355448227124379</v>
      </c>
    </row>
    <row r="16633" spans="40:42" x14ac:dyDescent="0.3">
      <c r="AN16633">
        <v>16629</v>
      </c>
      <c r="AO16633" s="11">
        <v>21693.49</v>
      </c>
      <c r="AP16633" s="9">
        <v>3.4491764688110633</v>
      </c>
    </row>
    <row r="16634" spans="40:42" x14ac:dyDescent="0.3">
      <c r="AN16634">
        <v>16630</v>
      </c>
      <c r="AO16634" s="11">
        <v>25042.62</v>
      </c>
      <c r="AP16634" s="9">
        <v>3.3307719073150928</v>
      </c>
    </row>
    <row r="16635" spans="40:42" x14ac:dyDescent="0.3">
      <c r="AN16635">
        <v>16631</v>
      </c>
      <c r="AO16635" s="11">
        <v>26175.98</v>
      </c>
      <c r="AP16635" s="9">
        <v>3.2472483385817275</v>
      </c>
    </row>
    <row r="16636" spans="40:42" x14ac:dyDescent="0.3">
      <c r="AN16636">
        <v>16632</v>
      </c>
      <c r="AO16636" s="11">
        <v>28551.94</v>
      </c>
      <c r="AP16636" s="9">
        <v>3.611157145644861</v>
      </c>
    </row>
    <row r="16637" spans="40:42" x14ac:dyDescent="0.3">
      <c r="AN16637">
        <v>16633</v>
      </c>
      <c r="AO16637" s="11">
        <v>21339.25</v>
      </c>
      <c r="AP16637" s="9">
        <v>3.5111379836230552</v>
      </c>
    </row>
    <row r="16638" spans="40:42" x14ac:dyDescent="0.3">
      <c r="AN16638">
        <v>16634</v>
      </c>
      <c r="AO16638" s="11">
        <v>20394.03</v>
      </c>
      <c r="AP16638" s="9">
        <v>3.0099307657475203</v>
      </c>
    </row>
    <row r="16639" spans="40:42" x14ac:dyDescent="0.3">
      <c r="AN16639">
        <v>16635</v>
      </c>
      <c r="AO16639" s="11">
        <v>43481.87</v>
      </c>
      <c r="AP16639" s="9">
        <v>3.7729250955789131</v>
      </c>
    </row>
    <row r="16640" spans="40:42" x14ac:dyDescent="0.3">
      <c r="AN16640">
        <v>16636</v>
      </c>
      <c r="AO16640" s="11">
        <v>27294.86</v>
      </c>
      <c r="AP16640" s="9">
        <v>3.6289443137397206</v>
      </c>
    </row>
    <row r="16641" spans="40:42" x14ac:dyDescent="0.3">
      <c r="AN16641">
        <v>16637</v>
      </c>
      <c r="AO16641" s="11">
        <v>32999.120000000003</v>
      </c>
      <c r="AP16641" s="9">
        <v>3.7165549753650109</v>
      </c>
    </row>
    <row r="16642" spans="40:42" x14ac:dyDescent="0.3">
      <c r="AN16642">
        <v>16638</v>
      </c>
      <c r="AO16642" s="11">
        <v>23618.400000000001</v>
      </c>
      <c r="AP16642" s="9">
        <v>3.5406548040681951</v>
      </c>
    </row>
    <row r="16643" spans="40:42" x14ac:dyDescent="0.3">
      <c r="AN16643">
        <v>16639</v>
      </c>
      <c r="AO16643" s="11">
        <v>25643.19</v>
      </c>
      <c r="AP16643" s="9">
        <v>2.935476093629521</v>
      </c>
    </row>
    <row r="16644" spans="40:42" x14ac:dyDescent="0.3">
      <c r="AN16644">
        <v>16640</v>
      </c>
      <c r="AO16644" s="11">
        <v>34540.06</v>
      </c>
      <c r="AP16644" s="9">
        <v>3.6480745915197148</v>
      </c>
    </row>
    <row r="16645" spans="40:42" x14ac:dyDescent="0.3">
      <c r="AN16645">
        <v>16641</v>
      </c>
      <c r="AO16645" s="11">
        <v>28487.58</v>
      </c>
      <c r="AP16645" s="9">
        <v>3.2348695121055342</v>
      </c>
    </row>
    <row r="16646" spans="40:42" x14ac:dyDescent="0.3">
      <c r="AN16646">
        <v>16642</v>
      </c>
      <c r="AO16646" s="11">
        <v>28457.85</v>
      </c>
      <c r="AP16646" s="9">
        <v>2.9208150879633452</v>
      </c>
    </row>
    <row r="16647" spans="40:42" x14ac:dyDescent="0.3">
      <c r="AN16647">
        <v>16643</v>
      </c>
      <c r="AO16647" s="11">
        <v>14536.89</v>
      </c>
      <c r="AP16647" s="9">
        <v>3.4638801037396982</v>
      </c>
    </row>
    <row r="16648" spans="40:42" x14ac:dyDescent="0.3">
      <c r="AN16648">
        <v>16644</v>
      </c>
      <c r="AO16648" s="11">
        <v>24029.83</v>
      </c>
      <c r="AP16648" s="9">
        <v>2.9992469911027073</v>
      </c>
    </row>
    <row r="16649" spans="40:42" x14ac:dyDescent="0.3">
      <c r="AN16649">
        <v>16645</v>
      </c>
      <c r="AO16649" s="11">
        <v>32408.41</v>
      </c>
      <c r="AP16649" s="9">
        <v>3.7194389794847198</v>
      </c>
    </row>
    <row r="16650" spans="40:42" x14ac:dyDescent="0.3">
      <c r="AN16650">
        <v>16646</v>
      </c>
      <c r="AO16650" s="11">
        <v>21436.09</v>
      </c>
      <c r="AP16650" s="9">
        <v>3.4446265191798089</v>
      </c>
    </row>
    <row r="16651" spans="40:42" x14ac:dyDescent="0.3">
      <c r="AN16651">
        <v>16647</v>
      </c>
      <c r="AO16651" s="11">
        <v>20632.21</v>
      </c>
      <c r="AP16651" s="9">
        <v>3.7154633736982952</v>
      </c>
    </row>
    <row r="16652" spans="40:42" x14ac:dyDescent="0.3">
      <c r="AN16652">
        <v>16648</v>
      </c>
      <c r="AO16652" s="11">
        <v>32526.03</v>
      </c>
      <c r="AP16652" s="9">
        <v>3.8999680777213626</v>
      </c>
    </row>
    <row r="16653" spans="40:42" x14ac:dyDescent="0.3">
      <c r="AN16653">
        <v>16649</v>
      </c>
      <c r="AO16653" s="11">
        <v>14681.35</v>
      </c>
      <c r="AP16653" s="9">
        <v>3.0725118764959989</v>
      </c>
    </row>
    <row r="16654" spans="40:42" x14ac:dyDescent="0.3">
      <c r="AN16654">
        <v>16650</v>
      </c>
      <c r="AO16654" s="11">
        <v>33155.24</v>
      </c>
      <c r="AP16654" s="9">
        <v>3.1317934188564123</v>
      </c>
    </row>
    <row r="16655" spans="40:42" x14ac:dyDescent="0.3">
      <c r="AN16655">
        <v>16651</v>
      </c>
      <c r="AO16655" s="11">
        <v>20007.87</v>
      </c>
      <c r="AP16655" s="9">
        <v>3.086126749671799</v>
      </c>
    </row>
    <row r="16656" spans="40:42" x14ac:dyDescent="0.3">
      <c r="AN16656">
        <v>16652</v>
      </c>
      <c r="AO16656" s="11">
        <v>40195.919999999998</v>
      </c>
      <c r="AP16656" s="9">
        <v>4.0802800381351343</v>
      </c>
    </row>
    <row r="16657" spans="40:42" x14ac:dyDescent="0.3">
      <c r="AN16657">
        <v>16653</v>
      </c>
      <c r="AO16657" s="11">
        <v>25405.08</v>
      </c>
      <c r="AP16657" s="9">
        <v>2.7520382517917827</v>
      </c>
    </row>
    <row r="16658" spans="40:42" x14ac:dyDescent="0.3">
      <c r="AN16658">
        <v>16654</v>
      </c>
      <c r="AO16658" s="11">
        <v>45130.77</v>
      </c>
      <c r="AP16658" s="9">
        <v>3.8833418741150889</v>
      </c>
    </row>
    <row r="16659" spans="40:42" x14ac:dyDescent="0.3">
      <c r="AN16659">
        <v>16655</v>
      </c>
      <c r="AO16659" s="11">
        <v>25232.9</v>
      </c>
      <c r="AP16659" s="9">
        <v>3.8594958744562571</v>
      </c>
    </row>
    <row r="16660" spans="40:42" x14ac:dyDescent="0.3">
      <c r="AN16660">
        <v>16656</v>
      </c>
      <c r="AO16660" s="11">
        <v>28609.98</v>
      </c>
      <c r="AP16660" s="9">
        <v>3.8246436923867315</v>
      </c>
    </row>
    <row r="16661" spans="40:42" x14ac:dyDescent="0.3">
      <c r="AN16661">
        <v>16657</v>
      </c>
      <c r="AO16661" s="11">
        <v>36444.78</v>
      </c>
      <c r="AP16661" s="9">
        <v>3.1342717424308248</v>
      </c>
    </row>
    <row r="16662" spans="40:42" x14ac:dyDescent="0.3">
      <c r="AN16662">
        <v>16658</v>
      </c>
      <c r="AO16662" s="11">
        <v>24989.06</v>
      </c>
      <c r="AP16662" s="9">
        <v>3.3327336753918804</v>
      </c>
    </row>
    <row r="16663" spans="40:42" x14ac:dyDescent="0.3">
      <c r="AN16663">
        <v>16659</v>
      </c>
      <c r="AO16663" s="11">
        <v>12097.8</v>
      </c>
      <c r="AP16663" s="9">
        <v>3.1056224303708304</v>
      </c>
    </row>
    <row r="16664" spans="40:42" x14ac:dyDescent="0.3">
      <c r="AN16664">
        <v>16660</v>
      </c>
      <c r="AO16664" s="11">
        <v>25063.82</v>
      </c>
      <c r="AP16664" s="9">
        <v>3.0495250364182165</v>
      </c>
    </row>
    <row r="16665" spans="40:42" x14ac:dyDescent="0.3">
      <c r="AN16665">
        <v>16661</v>
      </c>
      <c r="AO16665" s="11">
        <v>33248.769999999997</v>
      </c>
      <c r="AP16665" s="9">
        <v>3.6491430881682843</v>
      </c>
    </row>
    <row r="16666" spans="40:42" x14ac:dyDescent="0.3">
      <c r="AN16666">
        <v>16662</v>
      </c>
      <c r="AO16666" s="11">
        <v>30808.87</v>
      </c>
      <c r="AP16666" s="9">
        <v>3.9866360031515993</v>
      </c>
    </row>
    <row r="16667" spans="40:42" x14ac:dyDescent="0.3">
      <c r="AN16667">
        <v>16663</v>
      </c>
      <c r="AO16667" s="11">
        <v>30198.73</v>
      </c>
      <c r="AP16667" s="9">
        <v>4.2130384092231541</v>
      </c>
    </row>
    <row r="16668" spans="40:42" x14ac:dyDescent="0.3">
      <c r="AN16668">
        <v>16664</v>
      </c>
      <c r="AO16668" s="11">
        <v>16832.669999999998</v>
      </c>
      <c r="AP16668" s="9">
        <v>3.0242981981952424</v>
      </c>
    </row>
    <row r="16669" spans="40:42" x14ac:dyDescent="0.3">
      <c r="AN16669">
        <v>16665</v>
      </c>
      <c r="AO16669" s="11">
        <v>18961.45</v>
      </c>
      <c r="AP16669" s="9">
        <v>2.7750824491626385</v>
      </c>
    </row>
    <row r="16670" spans="40:42" x14ac:dyDescent="0.3">
      <c r="AN16670">
        <v>16666</v>
      </c>
      <c r="AO16670" s="11">
        <v>40930.68</v>
      </c>
      <c r="AP16670" s="9">
        <v>3.7646978085315044</v>
      </c>
    </row>
    <row r="16671" spans="40:42" x14ac:dyDescent="0.3">
      <c r="AN16671">
        <v>16667</v>
      </c>
      <c r="AO16671" s="11">
        <v>31595.83</v>
      </c>
      <c r="AP16671" s="9">
        <v>3.0086351769734376</v>
      </c>
    </row>
    <row r="16672" spans="40:42" x14ac:dyDescent="0.3">
      <c r="AN16672">
        <v>16668</v>
      </c>
      <c r="AO16672" s="11">
        <v>18646.009999999998</v>
      </c>
      <c r="AP16672" s="9">
        <v>3.3996201435068403</v>
      </c>
    </row>
    <row r="16673" spans="40:42" x14ac:dyDescent="0.3">
      <c r="AN16673">
        <v>16669</v>
      </c>
      <c r="AO16673" s="11">
        <v>19959.25</v>
      </c>
      <c r="AP16673" s="9">
        <v>3.0020545301640951</v>
      </c>
    </row>
    <row r="16674" spans="40:42" x14ac:dyDescent="0.3">
      <c r="AN16674">
        <v>16670</v>
      </c>
      <c r="AO16674" s="11">
        <v>20592.16</v>
      </c>
      <c r="AP16674" s="9">
        <v>3.0089529812339917</v>
      </c>
    </row>
    <row r="16675" spans="40:42" x14ac:dyDescent="0.3">
      <c r="AN16675">
        <v>16671</v>
      </c>
      <c r="AO16675" s="11">
        <v>24556.62</v>
      </c>
      <c r="AP16675" s="9">
        <v>2.9552143272887763</v>
      </c>
    </row>
    <row r="16676" spans="40:42" x14ac:dyDescent="0.3">
      <c r="AN16676">
        <v>16672</v>
      </c>
      <c r="AO16676" s="11">
        <v>18345.27</v>
      </c>
      <c r="AP16676" s="9">
        <v>3.0397223633268271</v>
      </c>
    </row>
    <row r="16677" spans="40:42" x14ac:dyDescent="0.3">
      <c r="AN16677">
        <v>16673</v>
      </c>
      <c r="AO16677" s="11">
        <v>50028.5</v>
      </c>
      <c r="AP16677" s="9">
        <v>4.7107707153466345</v>
      </c>
    </row>
    <row r="16678" spans="40:42" x14ac:dyDescent="0.3">
      <c r="AN16678">
        <v>16674</v>
      </c>
      <c r="AO16678" s="11">
        <v>37234.379999999997</v>
      </c>
      <c r="AP16678" s="9">
        <v>3.6926539883649623</v>
      </c>
    </row>
    <row r="16679" spans="40:42" x14ac:dyDescent="0.3">
      <c r="AN16679">
        <v>16675</v>
      </c>
      <c r="AO16679" s="11">
        <v>19238.650000000001</v>
      </c>
      <c r="AP16679" s="9">
        <v>3.0557204936572733</v>
      </c>
    </row>
    <row r="16680" spans="40:42" x14ac:dyDescent="0.3">
      <c r="AN16680">
        <v>16676</v>
      </c>
      <c r="AO16680" s="11">
        <v>22760.99</v>
      </c>
      <c r="AP16680" s="9">
        <v>3.6356545311174449</v>
      </c>
    </row>
    <row r="16681" spans="40:42" x14ac:dyDescent="0.3">
      <c r="AN16681">
        <v>16677</v>
      </c>
      <c r="AO16681" s="11">
        <v>28143.78</v>
      </c>
      <c r="AP16681" s="9">
        <v>3.0073661071364195</v>
      </c>
    </row>
    <row r="16682" spans="40:42" x14ac:dyDescent="0.3">
      <c r="AN16682">
        <v>16678</v>
      </c>
      <c r="AO16682" s="11">
        <v>22891.38</v>
      </c>
      <c r="AP16682" s="9">
        <v>3.188103056342197</v>
      </c>
    </row>
    <row r="16683" spans="40:42" x14ac:dyDescent="0.3">
      <c r="AN16683">
        <v>16679</v>
      </c>
      <c r="AO16683" s="11">
        <v>26621.89</v>
      </c>
      <c r="AP16683" s="9">
        <v>3.6468953632237389</v>
      </c>
    </row>
    <row r="16684" spans="40:42" x14ac:dyDescent="0.3">
      <c r="AN16684">
        <v>16680</v>
      </c>
      <c r="AO16684" s="11">
        <v>25484.31</v>
      </c>
      <c r="AP16684" s="9">
        <v>3.3015223987592841</v>
      </c>
    </row>
    <row r="16685" spans="40:42" x14ac:dyDescent="0.3">
      <c r="AN16685">
        <v>16681</v>
      </c>
      <c r="AO16685" s="11">
        <v>26745.78</v>
      </c>
      <c r="AP16685" s="9">
        <v>3.635950800611472</v>
      </c>
    </row>
    <row r="16686" spans="40:42" x14ac:dyDescent="0.3">
      <c r="AN16686">
        <v>16682</v>
      </c>
      <c r="AO16686" s="11">
        <v>29698.46</v>
      </c>
      <c r="AP16686" s="9">
        <v>4.4364691372241101</v>
      </c>
    </row>
    <row r="16687" spans="40:42" x14ac:dyDescent="0.3">
      <c r="AN16687">
        <v>16683</v>
      </c>
      <c r="AO16687" s="11">
        <v>22593.29</v>
      </c>
      <c r="AP16687" s="9">
        <v>2.7036473302333017</v>
      </c>
    </row>
    <row r="16688" spans="40:42" x14ac:dyDescent="0.3">
      <c r="AN16688">
        <v>16684</v>
      </c>
      <c r="AO16688" s="11">
        <v>29307.97</v>
      </c>
      <c r="AP16688" s="9">
        <v>3.309576532602124</v>
      </c>
    </row>
    <row r="16689" spans="40:42" x14ac:dyDescent="0.3">
      <c r="AN16689">
        <v>16685</v>
      </c>
      <c r="AO16689" s="11">
        <v>16613.05</v>
      </c>
      <c r="AP16689" s="9">
        <v>3.8360195829725066</v>
      </c>
    </row>
    <row r="16690" spans="40:42" x14ac:dyDescent="0.3">
      <c r="AN16690">
        <v>16686</v>
      </c>
      <c r="AO16690" s="11">
        <v>39187.22</v>
      </c>
      <c r="AP16690" s="9">
        <v>3.6859953207032898</v>
      </c>
    </row>
    <row r="16691" spans="40:42" x14ac:dyDescent="0.3">
      <c r="AN16691">
        <v>16687</v>
      </c>
      <c r="AO16691" s="11">
        <v>24232.59</v>
      </c>
      <c r="AP16691" s="9">
        <v>3.0863147702201865</v>
      </c>
    </row>
    <row r="16692" spans="40:42" x14ac:dyDescent="0.3">
      <c r="AN16692">
        <v>16688</v>
      </c>
      <c r="AO16692" s="11">
        <v>28772.74</v>
      </c>
      <c r="AP16692" s="9">
        <v>3.3282255983970912</v>
      </c>
    </row>
    <row r="16693" spans="40:42" x14ac:dyDescent="0.3">
      <c r="AN16693">
        <v>16689</v>
      </c>
      <c r="AO16693" s="11">
        <v>30391.62</v>
      </c>
      <c r="AP16693" s="9">
        <v>3.0093164205120564</v>
      </c>
    </row>
    <row r="16694" spans="40:42" x14ac:dyDescent="0.3">
      <c r="AN16694">
        <v>16690</v>
      </c>
      <c r="AO16694" s="11">
        <v>26512.76</v>
      </c>
      <c r="AP16694" s="9">
        <v>3.7738026576098007</v>
      </c>
    </row>
    <row r="16695" spans="40:42" x14ac:dyDescent="0.3">
      <c r="AN16695">
        <v>16691</v>
      </c>
      <c r="AO16695" s="11">
        <v>33168.28</v>
      </c>
      <c r="AP16695" s="9">
        <v>3.1144335015966269</v>
      </c>
    </row>
    <row r="16696" spans="40:42" x14ac:dyDescent="0.3">
      <c r="AN16696">
        <v>16692</v>
      </c>
      <c r="AO16696" s="11">
        <v>23352.16</v>
      </c>
      <c r="AP16696" s="9">
        <v>3.4503817651922741</v>
      </c>
    </row>
    <row r="16697" spans="40:42" x14ac:dyDescent="0.3">
      <c r="AN16697">
        <v>16693</v>
      </c>
      <c r="AO16697" s="11">
        <v>33734.44</v>
      </c>
      <c r="AP16697" s="9">
        <v>3.8236875055391142</v>
      </c>
    </row>
    <row r="16698" spans="40:42" x14ac:dyDescent="0.3">
      <c r="AN16698">
        <v>16694</v>
      </c>
      <c r="AO16698" s="11">
        <v>25285.45</v>
      </c>
      <c r="AP16698" s="9">
        <v>3.2410875078470394</v>
      </c>
    </row>
    <row r="16699" spans="40:42" x14ac:dyDescent="0.3">
      <c r="AN16699">
        <v>16695</v>
      </c>
      <c r="AO16699" s="11">
        <v>26669.84</v>
      </c>
      <c r="AP16699" s="9">
        <v>3.3459887058544333</v>
      </c>
    </row>
    <row r="16700" spans="40:42" x14ac:dyDescent="0.3">
      <c r="AN16700">
        <v>16696</v>
      </c>
      <c r="AO16700" s="11">
        <v>21718.94</v>
      </c>
      <c r="AP16700" s="9">
        <v>2.8905663548331106</v>
      </c>
    </row>
    <row r="16701" spans="40:42" x14ac:dyDescent="0.3">
      <c r="AN16701">
        <v>16697</v>
      </c>
      <c r="AO16701" s="11">
        <v>23611.279999999999</v>
      </c>
      <c r="AP16701" s="9">
        <v>3.049129153414234</v>
      </c>
    </row>
    <row r="16702" spans="40:42" x14ac:dyDescent="0.3">
      <c r="AN16702">
        <v>16698</v>
      </c>
      <c r="AO16702" s="11">
        <v>30737.71</v>
      </c>
      <c r="AP16702" s="9">
        <v>3.5866853875031386</v>
      </c>
    </row>
    <row r="16703" spans="40:42" x14ac:dyDescent="0.3">
      <c r="AN16703">
        <v>16699</v>
      </c>
      <c r="AO16703" s="11">
        <v>37783.79</v>
      </c>
      <c r="AP16703" s="9">
        <v>4.6634237104316361</v>
      </c>
    </row>
    <row r="16704" spans="40:42" x14ac:dyDescent="0.3">
      <c r="AN16704">
        <v>16700</v>
      </c>
      <c r="AO16704" s="11">
        <v>29506.720000000001</v>
      </c>
      <c r="AP16704" s="9">
        <v>4.0284170789546474</v>
      </c>
    </row>
    <row r="16705" spans="40:42" x14ac:dyDescent="0.3">
      <c r="AN16705">
        <v>16701</v>
      </c>
      <c r="AO16705" s="11">
        <v>20050.48</v>
      </c>
      <c r="AP16705" s="9">
        <v>3.2793931330121167</v>
      </c>
    </row>
    <row r="16706" spans="40:42" x14ac:dyDescent="0.3">
      <c r="AN16706">
        <v>16702</v>
      </c>
      <c r="AO16706" s="11">
        <v>21443.05</v>
      </c>
      <c r="AP16706" s="9">
        <v>2.9695538589299391</v>
      </c>
    </row>
    <row r="16707" spans="40:42" x14ac:dyDescent="0.3">
      <c r="AN16707">
        <v>16703</v>
      </c>
      <c r="AO16707" s="11">
        <v>22633.34</v>
      </c>
      <c r="AP16707" s="9">
        <v>2.5421317012466473</v>
      </c>
    </row>
    <row r="16708" spans="40:42" x14ac:dyDescent="0.3">
      <c r="AN16708">
        <v>16704</v>
      </c>
      <c r="AO16708" s="11">
        <v>26198.36</v>
      </c>
      <c r="AP16708" s="9">
        <v>3.2394015015049349</v>
      </c>
    </row>
    <row r="16709" spans="40:42" x14ac:dyDescent="0.3">
      <c r="AN16709">
        <v>16705</v>
      </c>
      <c r="AO16709" s="11">
        <v>19867.02</v>
      </c>
      <c r="AP16709" s="9">
        <v>3.1238411700042854</v>
      </c>
    </row>
    <row r="16710" spans="40:42" x14ac:dyDescent="0.3">
      <c r="AN16710">
        <v>16706</v>
      </c>
      <c r="AO16710" s="11">
        <v>34173.379999999997</v>
      </c>
      <c r="AP16710" s="9">
        <v>3.6554304454339364</v>
      </c>
    </row>
    <row r="16711" spans="40:42" x14ac:dyDescent="0.3">
      <c r="AN16711">
        <v>16707</v>
      </c>
      <c r="AO16711" s="11">
        <v>30653.07</v>
      </c>
      <c r="AP16711" s="9">
        <v>3.0692270926863947</v>
      </c>
    </row>
    <row r="16712" spans="40:42" x14ac:dyDescent="0.3">
      <c r="AN16712">
        <v>16708</v>
      </c>
      <c r="AO16712" s="11">
        <v>27704</v>
      </c>
      <c r="AP16712" s="9">
        <v>3.1795295491975351</v>
      </c>
    </row>
    <row r="16713" spans="40:42" x14ac:dyDescent="0.3">
      <c r="AN16713">
        <v>16709</v>
      </c>
      <c r="AO16713" s="11">
        <v>32414.41</v>
      </c>
      <c r="AP16713" s="9">
        <v>3.2467789876796989</v>
      </c>
    </row>
    <row r="16714" spans="40:42" x14ac:dyDescent="0.3">
      <c r="AN16714">
        <v>16710</v>
      </c>
      <c r="AO16714" s="11">
        <v>39592.93</v>
      </c>
      <c r="AP16714" s="9">
        <v>3.5013673688623754</v>
      </c>
    </row>
    <row r="16715" spans="40:42" x14ac:dyDescent="0.3">
      <c r="AN16715">
        <v>16711</v>
      </c>
      <c r="AO16715" s="11">
        <v>18545.18</v>
      </c>
      <c r="AP16715" s="9">
        <v>3.1364284375877252</v>
      </c>
    </row>
    <row r="16716" spans="40:42" x14ac:dyDescent="0.3">
      <c r="AN16716">
        <v>16712</v>
      </c>
      <c r="AO16716" s="11">
        <v>20859.28</v>
      </c>
      <c r="AP16716" s="9">
        <v>3.1940953489002233</v>
      </c>
    </row>
    <row r="16717" spans="40:42" x14ac:dyDescent="0.3">
      <c r="AN16717">
        <v>16713</v>
      </c>
      <c r="AO16717" s="11">
        <v>36145.199999999997</v>
      </c>
      <c r="AP16717" s="9">
        <v>3.5144250337087635</v>
      </c>
    </row>
    <row r="16718" spans="40:42" x14ac:dyDescent="0.3">
      <c r="AN16718">
        <v>16714</v>
      </c>
      <c r="AO16718" s="11">
        <v>34083.879999999997</v>
      </c>
      <c r="AP16718" s="9">
        <v>3.5371352240123022</v>
      </c>
    </row>
    <row r="16719" spans="40:42" x14ac:dyDescent="0.3">
      <c r="AN16719">
        <v>16715</v>
      </c>
      <c r="AO16719" s="11">
        <v>17573.259999999998</v>
      </c>
      <c r="AP16719" s="9">
        <v>3.337340730895098</v>
      </c>
    </row>
    <row r="16720" spans="40:42" x14ac:dyDescent="0.3">
      <c r="AN16720">
        <v>16716</v>
      </c>
      <c r="AO16720" s="11">
        <v>26880.52</v>
      </c>
      <c r="AP16720" s="9">
        <v>3.3701458913557736</v>
      </c>
    </row>
    <row r="16721" spans="40:42" x14ac:dyDescent="0.3">
      <c r="AN16721">
        <v>16717</v>
      </c>
      <c r="AO16721" s="11">
        <v>21370.84</v>
      </c>
      <c r="AP16721" s="9">
        <v>2.9651043574816911</v>
      </c>
    </row>
    <row r="16722" spans="40:42" x14ac:dyDescent="0.3">
      <c r="AN16722">
        <v>16718</v>
      </c>
      <c r="AO16722" s="11">
        <v>30778.02</v>
      </c>
      <c r="AP16722" s="9">
        <v>3.341740039189161</v>
      </c>
    </row>
    <row r="16723" spans="40:42" x14ac:dyDescent="0.3">
      <c r="AN16723">
        <v>16719</v>
      </c>
      <c r="AO16723" s="11">
        <v>28519.65</v>
      </c>
      <c r="AP16723" s="9">
        <v>4.1661802297051089</v>
      </c>
    </row>
    <row r="16724" spans="40:42" x14ac:dyDescent="0.3">
      <c r="AN16724">
        <v>16720</v>
      </c>
      <c r="AO16724" s="11">
        <v>19635.11</v>
      </c>
      <c r="AP16724" s="9">
        <v>3.0343270719071942</v>
      </c>
    </row>
    <row r="16725" spans="40:42" x14ac:dyDescent="0.3">
      <c r="AN16725">
        <v>16721</v>
      </c>
      <c r="AO16725" s="11">
        <v>24596.23</v>
      </c>
      <c r="AP16725" s="9">
        <v>3.317315946151064</v>
      </c>
    </row>
    <row r="16726" spans="40:42" x14ac:dyDescent="0.3">
      <c r="AN16726">
        <v>16722</v>
      </c>
      <c r="AO16726" s="11">
        <v>37571.730000000003</v>
      </c>
      <c r="AP16726" s="9">
        <v>3.6435288614149619</v>
      </c>
    </row>
    <row r="16727" spans="40:42" x14ac:dyDescent="0.3">
      <c r="AN16727">
        <v>16723</v>
      </c>
      <c r="AO16727" s="11">
        <v>33487.57</v>
      </c>
      <c r="AP16727" s="9">
        <v>3.6101139333167542</v>
      </c>
    </row>
    <row r="16728" spans="40:42" x14ac:dyDescent="0.3">
      <c r="AN16728">
        <v>16724</v>
      </c>
      <c r="AO16728" s="11">
        <v>24703.8</v>
      </c>
      <c r="AP16728" s="9">
        <v>3.6435096339644728</v>
      </c>
    </row>
    <row r="16729" spans="40:42" x14ac:dyDescent="0.3">
      <c r="AN16729">
        <v>16725</v>
      </c>
      <c r="AO16729" s="11">
        <v>34998.160000000003</v>
      </c>
      <c r="AP16729" s="9">
        <v>3.8732257755870858</v>
      </c>
    </row>
    <row r="16730" spans="40:42" x14ac:dyDescent="0.3">
      <c r="AN16730">
        <v>16726</v>
      </c>
      <c r="AO16730" s="11">
        <v>51985.7</v>
      </c>
      <c r="AP16730" s="9">
        <v>4.0902208235277087</v>
      </c>
    </row>
    <row r="16731" spans="40:42" x14ac:dyDescent="0.3">
      <c r="AN16731">
        <v>16727</v>
      </c>
      <c r="AO16731" s="11">
        <v>20377.48</v>
      </c>
      <c r="AP16731" s="9">
        <v>3.4903222056980354</v>
      </c>
    </row>
    <row r="16732" spans="40:42" x14ac:dyDescent="0.3">
      <c r="AN16732">
        <v>16728</v>
      </c>
      <c r="AO16732" s="11">
        <v>26450.14</v>
      </c>
      <c r="AP16732" s="9">
        <v>2.9422170906813441</v>
      </c>
    </row>
    <row r="16733" spans="40:42" x14ac:dyDescent="0.3">
      <c r="AN16733">
        <v>16729</v>
      </c>
      <c r="AO16733" s="11">
        <v>21297.86</v>
      </c>
      <c r="AP16733" s="9">
        <v>2.9714362830460623</v>
      </c>
    </row>
    <row r="16734" spans="40:42" x14ac:dyDescent="0.3">
      <c r="AN16734">
        <v>16730</v>
      </c>
      <c r="AO16734" s="11">
        <v>31032.52</v>
      </c>
      <c r="AP16734" s="9">
        <v>3.8126097504421526</v>
      </c>
    </row>
    <row r="16735" spans="40:42" x14ac:dyDescent="0.3">
      <c r="AN16735">
        <v>16731</v>
      </c>
      <c r="AO16735" s="11">
        <v>23397</v>
      </c>
      <c r="AP16735" s="9">
        <v>2.8415830641373967</v>
      </c>
    </row>
    <row r="16736" spans="40:42" x14ac:dyDescent="0.3">
      <c r="AN16736">
        <v>16732</v>
      </c>
      <c r="AO16736" s="11">
        <v>25679.19</v>
      </c>
      <c r="AP16736" s="9">
        <v>4.2053215486053848</v>
      </c>
    </row>
    <row r="16737" spans="40:42" x14ac:dyDescent="0.3">
      <c r="AN16737">
        <v>16733</v>
      </c>
      <c r="AO16737" s="11">
        <v>33486.49</v>
      </c>
      <c r="AP16737" s="9">
        <v>3.2031510935346756</v>
      </c>
    </row>
    <row r="16738" spans="40:42" x14ac:dyDescent="0.3">
      <c r="AN16738">
        <v>16734</v>
      </c>
      <c r="AO16738" s="11">
        <v>31189.34</v>
      </c>
      <c r="AP16738" s="9">
        <v>3.3651661250510445</v>
      </c>
    </row>
    <row r="16739" spans="40:42" x14ac:dyDescent="0.3">
      <c r="AN16739">
        <v>16735</v>
      </c>
      <c r="AO16739" s="11">
        <v>41056.79</v>
      </c>
      <c r="AP16739" s="9">
        <v>3.8717329929467064</v>
      </c>
    </row>
    <row r="16740" spans="40:42" x14ac:dyDescent="0.3">
      <c r="AN16740">
        <v>16736</v>
      </c>
      <c r="AO16740" s="11">
        <v>53140.37</v>
      </c>
      <c r="AP16740" s="9">
        <v>4.4011119664516096</v>
      </c>
    </row>
    <row r="16741" spans="40:42" x14ac:dyDescent="0.3">
      <c r="AN16741">
        <v>16737</v>
      </c>
      <c r="AO16741" s="11">
        <v>16126.71</v>
      </c>
      <c r="AP16741" s="9">
        <v>3.2023359155697868</v>
      </c>
    </row>
    <row r="16742" spans="40:42" x14ac:dyDescent="0.3">
      <c r="AN16742">
        <v>16738</v>
      </c>
      <c r="AO16742" s="11">
        <v>19202.939999999999</v>
      </c>
      <c r="AP16742" s="9">
        <v>3.6327148224416326</v>
      </c>
    </row>
    <row r="16743" spans="40:42" x14ac:dyDescent="0.3">
      <c r="AN16743">
        <v>16739</v>
      </c>
      <c r="AO16743" s="11">
        <v>28585.88</v>
      </c>
      <c r="AP16743" s="9">
        <v>3.4259594027257663</v>
      </c>
    </row>
    <row r="16744" spans="40:42" x14ac:dyDescent="0.3">
      <c r="AN16744">
        <v>16740</v>
      </c>
      <c r="AO16744" s="11">
        <v>26860.51</v>
      </c>
      <c r="AP16744" s="9">
        <v>3.2383919008191517</v>
      </c>
    </row>
    <row r="16745" spans="40:42" x14ac:dyDescent="0.3">
      <c r="AN16745">
        <v>16741</v>
      </c>
      <c r="AO16745" s="11">
        <v>27929.27</v>
      </c>
      <c r="AP16745" s="9">
        <v>4.1487977111039696</v>
      </c>
    </row>
    <row r="16746" spans="40:42" x14ac:dyDescent="0.3">
      <c r="AN16746">
        <v>16742</v>
      </c>
      <c r="AO16746" s="11">
        <v>36279.339999999997</v>
      </c>
      <c r="AP16746" s="9">
        <v>3.6373896977796472</v>
      </c>
    </row>
    <row r="16747" spans="40:42" x14ac:dyDescent="0.3">
      <c r="AN16747">
        <v>16743</v>
      </c>
      <c r="AO16747" s="11">
        <v>20907.759999999998</v>
      </c>
      <c r="AP16747" s="9">
        <v>3.075295882683208</v>
      </c>
    </row>
    <row r="16748" spans="40:42" x14ac:dyDescent="0.3">
      <c r="AN16748">
        <v>16744</v>
      </c>
      <c r="AO16748" s="11">
        <v>28493.08</v>
      </c>
      <c r="AP16748" s="9">
        <v>3.349685295844687</v>
      </c>
    </row>
    <row r="16749" spans="40:42" x14ac:dyDescent="0.3">
      <c r="AN16749">
        <v>16745</v>
      </c>
      <c r="AO16749" s="11">
        <v>23485.56</v>
      </c>
      <c r="AP16749" s="9">
        <v>3.2122383877848129</v>
      </c>
    </row>
    <row r="16750" spans="40:42" x14ac:dyDescent="0.3">
      <c r="AN16750">
        <v>16746</v>
      </c>
      <c r="AO16750" s="11">
        <v>33288.949999999997</v>
      </c>
      <c r="AP16750" s="9">
        <v>3.5101510596723915</v>
      </c>
    </row>
    <row r="16751" spans="40:42" x14ac:dyDescent="0.3">
      <c r="AN16751">
        <v>16747</v>
      </c>
      <c r="AO16751" s="11">
        <v>26927.67</v>
      </c>
      <c r="AP16751" s="9">
        <v>3.2974229580919108</v>
      </c>
    </row>
    <row r="16752" spans="40:42" x14ac:dyDescent="0.3">
      <c r="AN16752">
        <v>16748</v>
      </c>
      <c r="AO16752" s="11">
        <v>32102.69</v>
      </c>
      <c r="AP16752" s="9">
        <v>3.1869619790493813</v>
      </c>
    </row>
    <row r="16753" spans="40:42" x14ac:dyDescent="0.3">
      <c r="AN16753">
        <v>16749</v>
      </c>
      <c r="AO16753" s="11">
        <v>19286.080000000002</v>
      </c>
      <c r="AP16753" s="9">
        <v>3.0435153292878723</v>
      </c>
    </row>
    <row r="16754" spans="40:42" x14ac:dyDescent="0.3">
      <c r="AN16754">
        <v>16750</v>
      </c>
      <c r="AO16754" s="11">
        <v>30087.360000000001</v>
      </c>
      <c r="AP16754" s="9">
        <v>2.9954019110019603</v>
      </c>
    </row>
    <row r="16755" spans="40:42" x14ac:dyDescent="0.3">
      <c r="AN16755">
        <v>16751</v>
      </c>
      <c r="AO16755" s="11">
        <v>32971.599999999999</v>
      </c>
      <c r="AP16755" s="9">
        <v>3.2317186519398398</v>
      </c>
    </row>
    <row r="16756" spans="40:42" x14ac:dyDescent="0.3">
      <c r="AN16756">
        <v>16752</v>
      </c>
      <c r="AO16756" s="11">
        <v>26542.35</v>
      </c>
      <c r="AP16756" s="9">
        <v>3.2540466177776781</v>
      </c>
    </row>
    <row r="16757" spans="40:42" x14ac:dyDescent="0.3">
      <c r="AN16757">
        <v>16753</v>
      </c>
      <c r="AO16757" s="11">
        <v>22766.79</v>
      </c>
      <c r="AP16757" s="9">
        <v>2.8676206322158135</v>
      </c>
    </row>
    <row r="16758" spans="40:42" x14ac:dyDescent="0.3">
      <c r="AN16758">
        <v>16754</v>
      </c>
      <c r="AO16758" s="11">
        <v>27060.89</v>
      </c>
      <c r="AP16758" s="9">
        <v>3.1806707625762765</v>
      </c>
    </row>
    <row r="16759" spans="40:42" x14ac:dyDescent="0.3">
      <c r="AN16759">
        <v>16755</v>
      </c>
      <c r="AO16759" s="11">
        <v>19092.39</v>
      </c>
      <c r="AP16759" s="9">
        <v>3.4425906919822924</v>
      </c>
    </row>
    <row r="16760" spans="40:42" x14ac:dyDescent="0.3">
      <c r="AN16760">
        <v>16756</v>
      </c>
      <c r="AO16760" s="11">
        <v>28371.16</v>
      </c>
      <c r="AP16760" s="9">
        <v>3.3775066779710881</v>
      </c>
    </row>
    <row r="16761" spans="40:42" x14ac:dyDescent="0.3">
      <c r="AN16761">
        <v>16757</v>
      </c>
      <c r="AO16761" s="11">
        <v>29051.03</v>
      </c>
      <c r="AP16761" s="9">
        <v>3.6016926702359675</v>
      </c>
    </row>
    <row r="16762" spans="40:42" x14ac:dyDescent="0.3">
      <c r="AN16762">
        <v>16758</v>
      </c>
      <c r="AO16762" s="11">
        <v>25735.79</v>
      </c>
      <c r="AP16762" s="9">
        <v>4.1084712941694237</v>
      </c>
    </row>
    <row r="16763" spans="40:42" x14ac:dyDescent="0.3">
      <c r="AN16763">
        <v>16759</v>
      </c>
      <c r="AO16763" s="11">
        <v>44203.72</v>
      </c>
      <c r="AP16763" s="9">
        <v>3.1619777401258191</v>
      </c>
    </row>
    <row r="16764" spans="40:42" x14ac:dyDescent="0.3">
      <c r="AN16764">
        <v>16760</v>
      </c>
      <c r="AO16764" s="11">
        <v>16500.25</v>
      </c>
      <c r="AP16764" s="9">
        <v>2.8944489119521473</v>
      </c>
    </row>
    <row r="16765" spans="40:42" x14ac:dyDescent="0.3">
      <c r="AN16765">
        <v>16761</v>
      </c>
      <c r="AO16765" s="11">
        <v>25031.21</v>
      </c>
      <c r="AP16765" s="9">
        <v>3.4352387414851102</v>
      </c>
    </row>
    <row r="16766" spans="40:42" x14ac:dyDescent="0.3">
      <c r="AN16766">
        <v>16762</v>
      </c>
      <c r="AO16766" s="11">
        <v>39213.160000000003</v>
      </c>
      <c r="AP16766" s="9">
        <v>4.0780003903414697</v>
      </c>
    </row>
    <row r="16767" spans="40:42" x14ac:dyDescent="0.3">
      <c r="AN16767">
        <v>16763</v>
      </c>
      <c r="AO16767" s="11">
        <v>36161.46</v>
      </c>
      <c r="AP16767" s="9">
        <v>4.4244685845172302</v>
      </c>
    </row>
    <row r="16768" spans="40:42" x14ac:dyDescent="0.3">
      <c r="AN16768">
        <v>16764</v>
      </c>
      <c r="AO16768" s="11">
        <v>24915.72</v>
      </c>
      <c r="AP16768" s="9">
        <v>3.6089440377600197</v>
      </c>
    </row>
    <row r="16769" spans="40:42" x14ac:dyDescent="0.3">
      <c r="AN16769">
        <v>16765</v>
      </c>
      <c r="AO16769" s="11">
        <v>27247.42</v>
      </c>
      <c r="AP16769" s="9">
        <v>3.1456016944535303</v>
      </c>
    </row>
    <row r="16770" spans="40:42" x14ac:dyDescent="0.3">
      <c r="AN16770">
        <v>16766</v>
      </c>
      <c r="AO16770" s="11">
        <v>24356.880000000001</v>
      </c>
      <c r="AP16770" s="9">
        <v>3.21005142620738</v>
      </c>
    </row>
    <row r="16771" spans="40:42" x14ac:dyDescent="0.3">
      <c r="AN16771">
        <v>16767</v>
      </c>
      <c r="AO16771" s="11">
        <v>30561.8</v>
      </c>
      <c r="AP16771" s="9">
        <v>3.4600886813470257</v>
      </c>
    </row>
    <row r="16772" spans="40:42" x14ac:dyDescent="0.3">
      <c r="AN16772">
        <v>16768</v>
      </c>
      <c r="AO16772" s="11">
        <v>24776.44</v>
      </c>
      <c r="AP16772" s="9">
        <v>3.213369573758051</v>
      </c>
    </row>
    <row r="16773" spans="40:42" x14ac:dyDescent="0.3">
      <c r="AN16773">
        <v>16769</v>
      </c>
      <c r="AO16773" s="11">
        <v>24456.86</v>
      </c>
      <c r="AP16773" s="9">
        <v>3.0584499470400233</v>
      </c>
    </row>
    <row r="16774" spans="40:42" x14ac:dyDescent="0.3">
      <c r="AN16774">
        <v>16770</v>
      </c>
      <c r="AO16774" s="11">
        <v>33236.36</v>
      </c>
      <c r="AP16774" s="9">
        <v>3.5642392069869047</v>
      </c>
    </row>
    <row r="16775" spans="40:42" x14ac:dyDescent="0.3">
      <c r="AN16775">
        <v>16771</v>
      </c>
      <c r="AO16775" s="11">
        <v>26422.560000000001</v>
      </c>
      <c r="AP16775" s="9">
        <v>3.3763517826521481</v>
      </c>
    </row>
    <row r="16776" spans="40:42" x14ac:dyDescent="0.3">
      <c r="AN16776">
        <v>16772</v>
      </c>
      <c r="AO16776" s="11">
        <v>26188.74</v>
      </c>
      <c r="AP16776" s="9">
        <v>2.8939429292094392</v>
      </c>
    </row>
    <row r="16777" spans="40:42" x14ac:dyDescent="0.3">
      <c r="AN16777">
        <v>16773</v>
      </c>
      <c r="AO16777" s="11">
        <v>29077.24</v>
      </c>
      <c r="AP16777" s="9">
        <v>3.451736940262538</v>
      </c>
    </row>
    <row r="16778" spans="40:42" x14ac:dyDescent="0.3">
      <c r="AN16778">
        <v>16774</v>
      </c>
      <c r="AO16778" s="11">
        <v>42961.39</v>
      </c>
      <c r="AP16778" s="9">
        <v>3.6553587748541365</v>
      </c>
    </row>
    <row r="16779" spans="40:42" x14ac:dyDescent="0.3">
      <c r="AN16779">
        <v>16775</v>
      </c>
      <c r="AO16779" s="11">
        <v>24215.4</v>
      </c>
      <c r="AP16779" s="9">
        <v>3.7120722410292832</v>
      </c>
    </row>
    <row r="16780" spans="40:42" x14ac:dyDescent="0.3">
      <c r="AN16780">
        <v>16776</v>
      </c>
      <c r="AO16780" s="11">
        <v>34008.33</v>
      </c>
      <c r="AP16780" s="9">
        <v>2.9823268261451825</v>
      </c>
    </row>
    <row r="16781" spans="40:42" x14ac:dyDescent="0.3">
      <c r="AN16781">
        <v>16777</v>
      </c>
      <c r="AO16781" s="11">
        <v>41354.18</v>
      </c>
      <c r="AP16781" s="9">
        <v>3.2978904849842787</v>
      </c>
    </row>
    <row r="16782" spans="40:42" x14ac:dyDescent="0.3">
      <c r="AN16782">
        <v>16778</v>
      </c>
      <c r="AO16782" s="11">
        <v>23083.25</v>
      </c>
      <c r="AP16782" s="9">
        <v>3.3990198715586142</v>
      </c>
    </row>
    <row r="16783" spans="40:42" x14ac:dyDescent="0.3">
      <c r="AN16783">
        <v>16779</v>
      </c>
      <c r="AO16783" s="11">
        <v>28356.98</v>
      </c>
      <c r="AP16783" s="9">
        <v>3.2809574054111632</v>
      </c>
    </row>
    <row r="16784" spans="40:42" x14ac:dyDescent="0.3">
      <c r="AN16784">
        <v>16780</v>
      </c>
      <c r="AO16784" s="11">
        <v>25655.02</v>
      </c>
      <c r="AP16784" s="9">
        <v>3.5373380201145888</v>
      </c>
    </row>
    <row r="16785" spans="40:42" x14ac:dyDescent="0.3">
      <c r="AN16785">
        <v>16781</v>
      </c>
      <c r="AO16785" s="11">
        <v>25407.82</v>
      </c>
      <c r="AP16785" s="9">
        <v>3.0232063964953113</v>
      </c>
    </row>
    <row r="16786" spans="40:42" x14ac:dyDescent="0.3">
      <c r="AN16786">
        <v>16782</v>
      </c>
      <c r="AO16786" s="11">
        <v>22452.87</v>
      </c>
      <c r="AP16786" s="9">
        <v>2.7034007161642926</v>
      </c>
    </row>
    <row r="16787" spans="40:42" x14ac:dyDescent="0.3">
      <c r="AN16787">
        <v>16783</v>
      </c>
      <c r="AO16787" s="11">
        <v>17849.68</v>
      </c>
      <c r="AP16787" s="9">
        <v>3.0182202739795567</v>
      </c>
    </row>
    <row r="16788" spans="40:42" x14ac:dyDescent="0.3">
      <c r="AN16788">
        <v>16784</v>
      </c>
      <c r="AO16788" s="11">
        <v>36071.9</v>
      </c>
      <c r="AP16788" s="9">
        <v>3.0082447203737051</v>
      </c>
    </row>
    <row r="16789" spans="40:42" x14ac:dyDescent="0.3">
      <c r="AN16789">
        <v>16785</v>
      </c>
      <c r="AO16789" s="11">
        <v>31343.45</v>
      </c>
      <c r="AP16789" s="9">
        <v>3.3153979391852433</v>
      </c>
    </row>
    <row r="16790" spans="40:42" x14ac:dyDescent="0.3">
      <c r="AN16790">
        <v>16786</v>
      </c>
      <c r="AO16790" s="11">
        <v>31346.84</v>
      </c>
      <c r="AP16790" s="9">
        <v>3.463941820693818</v>
      </c>
    </row>
    <row r="16791" spans="40:42" x14ac:dyDescent="0.3">
      <c r="AN16791">
        <v>16787</v>
      </c>
      <c r="AO16791" s="11">
        <v>26478.54</v>
      </c>
      <c r="AP16791" s="9">
        <v>3.3348414977707805</v>
      </c>
    </row>
    <row r="16792" spans="40:42" x14ac:dyDescent="0.3">
      <c r="AN16792">
        <v>16788</v>
      </c>
      <c r="AO16792" s="11">
        <v>31859.58</v>
      </c>
      <c r="AP16792" s="9">
        <v>3.7417898246662369</v>
      </c>
    </row>
    <row r="16793" spans="40:42" x14ac:dyDescent="0.3">
      <c r="AN16793">
        <v>16789</v>
      </c>
      <c r="AO16793" s="11">
        <v>21533.18</v>
      </c>
      <c r="AP16793" s="9">
        <v>2.9561895176025019</v>
      </c>
    </row>
    <row r="16794" spans="40:42" x14ac:dyDescent="0.3">
      <c r="AN16794">
        <v>16790</v>
      </c>
      <c r="AO16794" s="11">
        <v>17311.060000000001</v>
      </c>
      <c r="AP16794" s="9">
        <v>2.9551660875121284</v>
      </c>
    </row>
    <row r="16795" spans="40:42" x14ac:dyDescent="0.3">
      <c r="AN16795">
        <v>16791</v>
      </c>
      <c r="AO16795" s="11">
        <v>29612.65</v>
      </c>
      <c r="AP16795" s="9">
        <v>3.5574205840617266</v>
      </c>
    </row>
    <row r="16796" spans="40:42" x14ac:dyDescent="0.3">
      <c r="AN16796">
        <v>16792</v>
      </c>
      <c r="AO16796" s="11">
        <v>24841.8</v>
      </c>
      <c r="AP16796" s="9">
        <v>3.2165290371040989</v>
      </c>
    </row>
    <row r="16797" spans="40:42" x14ac:dyDescent="0.3">
      <c r="AN16797">
        <v>16793</v>
      </c>
      <c r="AO16797" s="11">
        <v>30411.85</v>
      </c>
      <c r="AP16797" s="9">
        <v>3.2844778511675319</v>
      </c>
    </row>
    <row r="16798" spans="40:42" x14ac:dyDescent="0.3">
      <c r="AN16798">
        <v>16794</v>
      </c>
      <c r="AO16798" s="11">
        <v>35545.160000000003</v>
      </c>
      <c r="AP16798" s="9">
        <v>3.7665212947097477</v>
      </c>
    </row>
    <row r="16799" spans="40:42" x14ac:dyDescent="0.3">
      <c r="AN16799">
        <v>16795</v>
      </c>
      <c r="AO16799" s="11">
        <v>23411.14</v>
      </c>
      <c r="AP16799" s="9">
        <v>3.3701450919314659</v>
      </c>
    </row>
    <row r="16800" spans="40:42" x14ac:dyDescent="0.3">
      <c r="AN16800">
        <v>16796</v>
      </c>
      <c r="AO16800" s="11">
        <v>15670.47</v>
      </c>
      <c r="AP16800" s="9">
        <v>3.2891450630502956</v>
      </c>
    </row>
    <row r="16801" spans="40:42" x14ac:dyDescent="0.3">
      <c r="AN16801">
        <v>16797</v>
      </c>
      <c r="AO16801" s="11">
        <v>22240.79</v>
      </c>
      <c r="AP16801" s="9">
        <v>3.3486245299979829</v>
      </c>
    </row>
    <row r="16802" spans="40:42" x14ac:dyDescent="0.3">
      <c r="AN16802">
        <v>16798</v>
      </c>
      <c r="AO16802" s="11">
        <v>12280.84</v>
      </c>
      <c r="AP16802" s="9">
        <v>3.0256404198547093</v>
      </c>
    </row>
    <row r="16803" spans="40:42" x14ac:dyDescent="0.3">
      <c r="AN16803">
        <v>16799</v>
      </c>
      <c r="AO16803" s="11">
        <v>19556.28</v>
      </c>
      <c r="AP16803" s="9">
        <v>2.712201469827717</v>
      </c>
    </row>
    <row r="16804" spans="40:42" x14ac:dyDescent="0.3">
      <c r="AN16804">
        <v>16800</v>
      </c>
      <c r="AO16804" s="11">
        <v>22065.49</v>
      </c>
      <c r="AP16804" s="9">
        <v>4.1731468797008793</v>
      </c>
    </row>
    <row r="16805" spans="40:42" x14ac:dyDescent="0.3">
      <c r="AN16805">
        <v>16801</v>
      </c>
      <c r="AO16805" s="11">
        <v>25812.33</v>
      </c>
      <c r="AP16805" s="9">
        <v>2.90737503981559</v>
      </c>
    </row>
    <row r="16806" spans="40:42" x14ac:dyDescent="0.3">
      <c r="AN16806">
        <v>16802</v>
      </c>
      <c r="AO16806" s="11">
        <v>21936.240000000002</v>
      </c>
      <c r="AP16806" s="9">
        <v>3.468611974673725</v>
      </c>
    </row>
    <row r="16807" spans="40:42" x14ac:dyDescent="0.3">
      <c r="AN16807">
        <v>16803</v>
      </c>
      <c r="AO16807" s="11">
        <v>25888.16</v>
      </c>
      <c r="AP16807" s="9">
        <v>3.3297688816862645</v>
      </c>
    </row>
    <row r="16808" spans="40:42" x14ac:dyDescent="0.3">
      <c r="AN16808">
        <v>16804</v>
      </c>
      <c r="AO16808" s="11">
        <v>12653.67</v>
      </c>
      <c r="AP16808" s="9">
        <v>3.3595695363106817</v>
      </c>
    </row>
    <row r="16809" spans="40:42" x14ac:dyDescent="0.3">
      <c r="AN16809">
        <v>16805</v>
      </c>
      <c r="AO16809" s="11">
        <v>21031.72</v>
      </c>
      <c r="AP16809" s="9">
        <v>2.8400101223935468</v>
      </c>
    </row>
    <row r="16810" spans="40:42" x14ac:dyDescent="0.3">
      <c r="AN16810">
        <v>16806</v>
      </c>
      <c r="AO16810" s="11">
        <v>36522.57</v>
      </c>
      <c r="AP16810" s="9">
        <v>3.29104136738813</v>
      </c>
    </row>
    <row r="16811" spans="40:42" x14ac:dyDescent="0.3">
      <c r="AN16811">
        <v>16807</v>
      </c>
      <c r="AO16811" s="11">
        <v>33108.21</v>
      </c>
      <c r="AP16811" s="9">
        <v>2.7430287753777374</v>
      </c>
    </row>
    <row r="16812" spans="40:42" x14ac:dyDescent="0.3">
      <c r="AN16812">
        <v>16808</v>
      </c>
      <c r="AO16812" s="11">
        <v>23529.599999999999</v>
      </c>
      <c r="AP16812" s="9">
        <v>3.2042366392097881</v>
      </c>
    </row>
    <row r="16813" spans="40:42" x14ac:dyDescent="0.3">
      <c r="AN16813">
        <v>16809</v>
      </c>
      <c r="AO16813" s="11">
        <v>32977.93</v>
      </c>
      <c r="AP16813" s="9">
        <v>3.8993294823117877</v>
      </c>
    </row>
    <row r="16814" spans="40:42" x14ac:dyDescent="0.3">
      <c r="AN16814">
        <v>16810</v>
      </c>
      <c r="AO16814" s="11">
        <v>13364.56</v>
      </c>
      <c r="AP16814" s="9">
        <v>3.5545596848677672</v>
      </c>
    </row>
    <row r="16815" spans="40:42" x14ac:dyDescent="0.3">
      <c r="AN16815">
        <v>16811</v>
      </c>
      <c r="AO16815" s="11">
        <v>23296.720000000001</v>
      </c>
      <c r="AP16815" s="9">
        <v>3.3329177020377845</v>
      </c>
    </row>
    <row r="16816" spans="40:42" x14ac:dyDescent="0.3">
      <c r="AN16816">
        <v>16812</v>
      </c>
      <c r="AO16816" s="11">
        <v>29397.119999999999</v>
      </c>
      <c r="AP16816" s="9">
        <v>4.3359937777336164</v>
      </c>
    </row>
    <row r="16817" spans="40:42" x14ac:dyDescent="0.3">
      <c r="AN16817">
        <v>16813</v>
      </c>
      <c r="AO16817" s="11">
        <v>28242.23</v>
      </c>
      <c r="AP16817" s="9">
        <v>3.5575695436665127</v>
      </c>
    </row>
    <row r="16818" spans="40:42" x14ac:dyDescent="0.3">
      <c r="AN16818">
        <v>16814</v>
      </c>
      <c r="AO16818" s="11">
        <v>17952.189999999999</v>
      </c>
      <c r="AP16818" s="9">
        <v>3.2676809280750612</v>
      </c>
    </row>
    <row r="16819" spans="40:42" x14ac:dyDescent="0.3">
      <c r="AN16819">
        <v>16815</v>
      </c>
      <c r="AO16819" s="11">
        <v>24285.07</v>
      </c>
      <c r="AP16819" s="9">
        <v>2.9773945271014752</v>
      </c>
    </row>
    <row r="16820" spans="40:42" x14ac:dyDescent="0.3">
      <c r="AN16820">
        <v>16816</v>
      </c>
      <c r="AO16820" s="11">
        <v>30419.91</v>
      </c>
      <c r="AP16820" s="9">
        <v>3.6102448023219096</v>
      </c>
    </row>
    <row r="16821" spans="40:42" x14ac:dyDescent="0.3">
      <c r="AN16821">
        <v>16817</v>
      </c>
      <c r="AO16821" s="11">
        <v>25836.9</v>
      </c>
      <c r="AP16821" s="9">
        <v>3.4984929209024132</v>
      </c>
    </row>
    <row r="16822" spans="40:42" x14ac:dyDescent="0.3">
      <c r="AN16822">
        <v>16818</v>
      </c>
      <c r="AO16822" s="11">
        <v>23398.02</v>
      </c>
      <c r="AP16822" s="9">
        <v>3.082204627526683</v>
      </c>
    </row>
    <row r="16823" spans="40:42" x14ac:dyDescent="0.3">
      <c r="AN16823">
        <v>16819</v>
      </c>
      <c r="AO16823" s="11">
        <v>33184.92</v>
      </c>
      <c r="AP16823" s="9">
        <v>3.0208505851050473</v>
      </c>
    </row>
    <row r="16824" spans="40:42" x14ac:dyDescent="0.3">
      <c r="AN16824">
        <v>16820</v>
      </c>
      <c r="AO16824" s="11">
        <v>25124.45</v>
      </c>
      <c r="AP16824" s="9">
        <v>3.7202827076846003</v>
      </c>
    </row>
    <row r="16825" spans="40:42" x14ac:dyDescent="0.3">
      <c r="AN16825">
        <v>16821</v>
      </c>
      <c r="AO16825" s="11">
        <v>44419.43</v>
      </c>
      <c r="AP16825" s="9">
        <v>3.542925733334259</v>
      </c>
    </row>
    <row r="16826" spans="40:42" x14ac:dyDescent="0.3">
      <c r="AN16826">
        <v>16822</v>
      </c>
      <c r="AO16826" s="11">
        <v>31285.52</v>
      </c>
      <c r="AP16826" s="9">
        <v>3.6433794484374693</v>
      </c>
    </row>
    <row r="16827" spans="40:42" x14ac:dyDescent="0.3">
      <c r="AN16827">
        <v>16823</v>
      </c>
      <c r="AO16827" s="11">
        <v>33075.35</v>
      </c>
      <c r="AP16827" s="9">
        <v>3.9333427419665203</v>
      </c>
    </row>
    <row r="16828" spans="40:42" x14ac:dyDescent="0.3">
      <c r="AN16828">
        <v>16824</v>
      </c>
      <c r="AO16828" s="11">
        <v>14497.1</v>
      </c>
      <c r="AP16828" s="9">
        <v>3.0579988803620997</v>
      </c>
    </row>
    <row r="16829" spans="40:42" x14ac:dyDescent="0.3">
      <c r="AN16829">
        <v>16825</v>
      </c>
      <c r="AO16829" s="11">
        <v>22361.84</v>
      </c>
      <c r="AP16829" s="9">
        <v>3.4085983192297564</v>
      </c>
    </row>
    <row r="16830" spans="40:42" x14ac:dyDescent="0.3">
      <c r="AN16830">
        <v>16826</v>
      </c>
      <c r="AO16830" s="11">
        <v>32244.82</v>
      </c>
      <c r="AP16830" s="9">
        <v>3.1737325507975958</v>
      </c>
    </row>
    <row r="16831" spans="40:42" x14ac:dyDescent="0.3">
      <c r="AN16831">
        <v>16827</v>
      </c>
      <c r="AO16831" s="11">
        <v>38676.550000000003</v>
      </c>
      <c r="AP16831" s="9">
        <v>3.432681461867086</v>
      </c>
    </row>
    <row r="16832" spans="40:42" x14ac:dyDescent="0.3">
      <c r="AN16832">
        <v>16828</v>
      </c>
      <c r="AO16832" s="11">
        <v>15738.1</v>
      </c>
      <c r="AP16832" s="9">
        <v>3.1864185500037516</v>
      </c>
    </row>
    <row r="16833" spans="40:42" x14ac:dyDescent="0.3">
      <c r="AN16833">
        <v>16829</v>
      </c>
      <c r="AO16833" s="11">
        <v>18787.330000000002</v>
      </c>
      <c r="AP16833" s="9">
        <v>2.7476487020179285</v>
      </c>
    </row>
    <row r="16834" spans="40:42" x14ac:dyDescent="0.3">
      <c r="AN16834">
        <v>16830</v>
      </c>
      <c r="AO16834" s="11">
        <v>22980.78</v>
      </c>
      <c r="AP16834" s="9">
        <v>3.3559423073169627</v>
      </c>
    </row>
    <row r="16835" spans="40:42" x14ac:dyDescent="0.3">
      <c r="AN16835">
        <v>16831</v>
      </c>
      <c r="AO16835" s="11">
        <v>41472.730000000003</v>
      </c>
      <c r="AP16835" s="9">
        <v>3.4320910282430703</v>
      </c>
    </row>
    <row r="16836" spans="40:42" x14ac:dyDescent="0.3">
      <c r="AN16836">
        <v>16832</v>
      </c>
      <c r="AO16836" s="11">
        <v>19766.72</v>
      </c>
      <c r="AP16836" s="9">
        <v>3.0259737951022672</v>
      </c>
    </row>
    <row r="16837" spans="40:42" x14ac:dyDescent="0.3">
      <c r="AN16837">
        <v>16833</v>
      </c>
      <c r="AO16837" s="11">
        <v>31654.6</v>
      </c>
      <c r="AP16837" s="9">
        <v>3.2687444242192849</v>
      </c>
    </row>
    <row r="16838" spans="40:42" x14ac:dyDescent="0.3">
      <c r="AN16838">
        <v>16834</v>
      </c>
      <c r="AO16838" s="11">
        <v>26097.57</v>
      </c>
      <c r="AP16838" s="9">
        <v>3.5728934490861519</v>
      </c>
    </row>
    <row r="16839" spans="40:42" x14ac:dyDescent="0.3">
      <c r="AN16839">
        <v>16835</v>
      </c>
      <c r="AO16839" s="11">
        <v>21993.89</v>
      </c>
      <c r="AP16839" s="9">
        <v>3.6250963063524035</v>
      </c>
    </row>
    <row r="16840" spans="40:42" x14ac:dyDescent="0.3">
      <c r="AN16840">
        <v>16836</v>
      </c>
      <c r="AO16840" s="11">
        <v>33117.18</v>
      </c>
      <c r="AP16840" s="9">
        <v>3.750431569522485</v>
      </c>
    </row>
    <row r="16841" spans="40:42" x14ac:dyDescent="0.3">
      <c r="AN16841">
        <v>16837</v>
      </c>
      <c r="AO16841" s="11">
        <v>29506.17</v>
      </c>
      <c r="AP16841" s="9">
        <v>3.1736206780718854</v>
      </c>
    </row>
    <row r="16842" spans="40:42" x14ac:dyDescent="0.3">
      <c r="AN16842">
        <v>16838</v>
      </c>
      <c r="AO16842" s="11">
        <v>23132.02</v>
      </c>
      <c r="AP16842" s="9">
        <v>3.4773971408889746</v>
      </c>
    </row>
    <row r="16843" spans="40:42" x14ac:dyDescent="0.3">
      <c r="AN16843">
        <v>16839</v>
      </c>
      <c r="AO16843" s="11">
        <v>34031</v>
      </c>
      <c r="AP16843" s="9">
        <v>3.484583871620369</v>
      </c>
    </row>
    <row r="16844" spans="40:42" x14ac:dyDescent="0.3">
      <c r="AN16844">
        <v>16840</v>
      </c>
      <c r="AO16844" s="11">
        <v>24210.09</v>
      </c>
      <c r="AP16844" s="9">
        <v>3.3827430849846154</v>
      </c>
    </row>
    <row r="16845" spans="40:42" x14ac:dyDescent="0.3">
      <c r="AN16845">
        <v>16841</v>
      </c>
      <c r="AO16845" s="11">
        <v>22220.59</v>
      </c>
      <c r="AP16845" s="9">
        <v>3.2094633498358784</v>
      </c>
    </row>
    <row r="16846" spans="40:42" x14ac:dyDescent="0.3">
      <c r="AN16846">
        <v>16842</v>
      </c>
      <c r="AO16846" s="11">
        <v>41791.550000000003</v>
      </c>
      <c r="AP16846" s="9">
        <v>3.365280400301057</v>
      </c>
    </row>
    <row r="16847" spans="40:42" x14ac:dyDescent="0.3">
      <c r="AN16847">
        <v>16843</v>
      </c>
      <c r="AO16847" s="11">
        <v>27850.74</v>
      </c>
      <c r="AP16847" s="9">
        <v>3.1032834735371377</v>
      </c>
    </row>
    <row r="16848" spans="40:42" x14ac:dyDescent="0.3">
      <c r="AN16848">
        <v>16844</v>
      </c>
      <c r="AO16848" s="11">
        <v>25525.01</v>
      </c>
      <c r="AP16848" s="9">
        <v>3.365063320069372</v>
      </c>
    </row>
    <row r="16849" spans="40:42" x14ac:dyDescent="0.3">
      <c r="AN16849">
        <v>16845</v>
      </c>
      <c r="AO16849" s="11">
        <v>24228.82</v>
      </c>
      <c r="AP16849" s="9">
        <v>3.4125424912297113</v>
      </c>
    </row>
    <row r="16850" spans="40:42" x14ac:dyDescent="0.3">
      <c r="AN16850">
        <v>16846</v>
      </c>
      <c r="AO16850" s="11">
        <v>30669.93</v>
      </c>
      <c r="AP16850" s="9">
        <v>3.4970625956644685</v>
      </c>
    </row>
    <row r="16851" spans="40:42" x14ac:dyDescent="0.3">
      <c r="AN16851">
        <v>16847</v>
      </c>
      <c r="AO16851" s="11">
        <v>30316.35</v>
      </c>
      <c r="AP16851" s="9">
        <v>3.5493173596036964</v>
      </c>
    </row>
    <row r="16852" spans="40:42" x14ac:dyDescent="0.3">
      <c r="AN16852">
        <v>16848</v>
      </c>
      <c r="AO16852" s="11">
        <v>22325.360000000001</v>
      </c>
      <c r="AP16852" s="9">
        <v>2.6946138167154992</v>
      </c>
    </row>
    <row r="16853" spans="40:42" x14ac:dyDescent="0.3">
      <c r="AN16853">
        <v>16849</v>
      </c>
      <c r="AO16853" s="11">
        <v>32247.73</v>
      </c>
      <c r="AP16853" s="9">
        <v>2.9842401998894323</v>
      </c>
    </row>
    <row r="16854" spans="40:42" x14ac:dyDescent="0.3">
      <c r="AN16854">
        <v>16850</v>
      </c>
      <c r="AO16854" s="11">
        <v>24059.62</v>
      </c>
      <c r="AP16854" s="9">
        <v>3.2495960964445292</v>
      </c>
    </row>
    <row r="16855" spans="40:42" x14ac:dyDescent="0.3">
      <c r="AN16855">
        <v>16851</v>
      </c>
      <c r="AO16855" s="11">
        <v>23231.08</v>
      </c>
      <c r="AP16855" s="9">
        <v>3.0553930819456094</v>
      </c>
    </row>
    <row r="16856" spans="40:42" x14ac:dyDescent="0.3">
      <c r="AN16856">
        <v>16852</v>
      </c>
      <c r="AO16856" s="11">
        <v>27284.26</v>
      </c>
      <c r="AP16856" s="9">
        <v>3.4349992196151402</v>
      </c>
    </row>
    <row r="16857" spans="40:42" x14ac:dyDescent="0.3">
      <c r="AN16857">
        <v>16853</v>
      </c>
      <c r="AO16857" s="11">
        <v>41946.41</v>
      </c>
      <c r="AP16857" s="9">
        <v>3.638423669828053</v>
      </c>
    </row>
    <row r="16858" spans="40:42" x14ac:dyDescent="0.3">
      <c r="AN16858">
        <v>16854</v>
      </c>
      <c r="AO16858" s="11">
        <v>25923.95</v>
      </c>
      <c r="AP16858" s="9">
        <v>3.1425422523181101</v>
      </c>
    </row>
    <row r="16859" spans="40:42" x14ac:dyDescent="0.3">
      <c r="AN16859">
        <v>16855</v>
      </c>
      <c r="AO16859" s="11">
        <v>46205.01</v>
      </c>
      <c r="AP16859" s="9">
        <v>3.7508048338386799</v>
      </c>
    </row>
    <row r="16860" spans="40:42" x14ac:dyDescent="0.3">
      <c r="AN16860">
        <v>16856</v>
      </c>
      <c r="AO16860" s="11">
        <v>25931.5</v>
      </c>
      <c r="AP16860" s="9">
        <v>3.8334462164771796</v>
      </c>
    </row>
    <row r="16861" spans="40:42" x14ac:dyDescent="0.3">
      <c r="AN16861">
        <v>16857</v>
      </c>
      <c r="AO16861" s="11">
        <v>35272.870000000003</v>
      </c>
      <c r="AP16861" s="9">
        <v>3.8222152824362241</v>
      </c>
    </row>
    <row r="16862" spans="40:42" x14ac:dyDescent="0.3">
      <c r="AN16862">
        <v>16858</v>
      </c>
      <c r="AO16862" s="11">
        <v>25641.55</v>
      </c>
      <c r="AP16862" s="9">
        <v>3.4771104983285483</v>
      </c>
    </row>
    <row r="16863" spans="40:42" x14ac:dyDescent="0.3">
      <c r="AN16863">
        <v>16859</v>
      </c>
      <c r="AO16863" s="11">
        <v>23521.1</v>
      </c>
      <c r="AP16863" s="9">
        <v>3.3832552499508055</v>
      </c>
    </row>
    <row r="16864" spans="40:42" x14ac:dyDescent="0.3">
      <c r="AN16864">
        <v>16860</v>
      </c>
      <c r="AO16864" s="11">
        <v>28236.77</v>
      </c>
      <c r="AP16864" s="9">
        <v>3.4380002525988345</v>
      </c>
    </row>
    <row r="16865" spans="40:42" x14ac:dyDescent="0.3">
      <c r="AN16865">
        <v>16861</v>
      </c>
      <c r="AO16865" s="11">
        <v>25657.99</v>
      </c>
      <c r="AP16865" s="9">
        <v>4.372791148455569</v>
      </c>
    </row>
    <row r="16866" spans="40:42" x14ac:dyDescent="0.3">
      <c r="AN16866">
        <v>16862</v>
      </c>
      <c r="AO16866" s="11">
        <v>28239.43</v>
      </c>
      <c r="AP16866" s="9">
        <v>3.648754710412454</v>
      </c>
    </row>
    <row r="16867" spans="40:42" x14ac:dyDescent="0.3">
      <c r="AN16867">
        <v>16863</v>
      </c>
      <c r="AO16867" s="11">
        <v>24461.01</v>
      </c>
      <c r="AP16867" s="9">
        <v>3.5178943735007544</v>
      </c>
    </row>
    <row r="16868" spans="40:42" x14ac:dyDescent="0.3">
      <c r="AN16868">
        <v>16864</v>
      </c>
      <c r="AO16868" s="11">
        <v>27659.8</v>
      </c>
      <c r="AP16868" s="9">
        <v>3.2871840297542811</v>
      </c>
    </row>
    <row r="16869" spans="40:42" x14ac:dyDescent="0.3">
      <c r="AN16869">
        <v>16865</v>
      </c>
      <c r="AO16869" s="11">
        <v>27370.29</v>
      </c>
      <c r="AP16869" s="9">
        <v>3.9763217218537656</v>
      </c>
    </row>
    <row r="16870" spans="40:42" x14ac:dyDescent="0.3">
      <c r="AN16870">
        <v>16866</v>
      </c>
      <c r="AO16870" s="11">
        <v>15615.5</v>
      </c>
      <c r="AP16870" s="9">
        <v>2.6562761521377456</v>
      </c>
    </row>
    <row r="16871" spans="40:42" x14ac:dyDescent="0.3">
      <c r="AN16871">
        <v>16867</v>
      </c>
      <c r="AO16871" s="11">
        <v>22874.87</v>
      </c>
      <c r="AP16871" s="9">
        <v>3.4998232766746251</v>
      </c>
    </row>
    <row r="16872" spans="40:42" x14ac:dyDescent="0.3">
      <c r="AN16872">
        <v>16868</v>
      </c>
      <c r="AO16872" s="11">
        <v>15616.51</v>
      </c>
      <c r="AP16872" s="9">
        <v>3.1461508688797744</v>
      </c>
    </row>
    <row r="16873" spans="40:42" x14ac:dyDescent="0.3">
      <c r="AN16873">
        <v>16869</v>
      </c>
      <c r="AO16873" s="11">
        <v>26281.17</v>
      </c>
      <c r="AP16873" s="9">
        <v>3.4433406795782608</v>
      </c>
    </row>
    <row r="16874" spans="40:42" x14ac:dyDescent="0.3">
      <c r="AN16874">
        <v>16870</v>
      </c>
      <c r="AO16874" s="11">
        <v>20007.490000000002</v>
      </c>
      <c r="AP16874" s="9">
        <v>3.1756374531517895</v>
      </c>
    </row>
    <row r="16875" spans="40:42" x14ac:dyDescent="0.3">
      <c r="AN16875">
        <v>16871</v>
      </c>
      <c r="AO16875" s="11">
        <v>15827.84</v>
      </c>
      <c r="AP16875" s="9">
        <v>3.0158171692484665</v>
      </c>
    </row>
    <row r="16876" spans="40:42" x14ac:dyDescent="0.3">
      <c r="AN16876">
        <v>16872</v>
      </c>
      <c r="AO16876" s="11">
        <v>30918.79</v>
      </c>
      <c r="AP16876" s="9">
        <v>3.0257162387103054</v>
      </c>
    </row>
    <row r="16877" spans="40:42" x14ac:dyDescent="0.3">
      <c r="AN16877">
        <v>16873</v>
      </c>
      <c r="AO16877" s="11">
        <v>21292.09</v>
      </c>
      <c r="AP16877" s="9">
        <v>3.2448998050202209</v>
      </c>
    </row>
    <row r="16878" spans="40:42" x14ac:dyDescent="0.3">
      <c r="AN16878">
        <v>16874</v>
      </c>
      <c r="AO16878" s="11">
        <v>35770.120000000003</v>
      </c>
      <c r="AP16878" s="9">
        <v>4.3141277354623258</v>
      </c>
    </row>
    <row r="16879" spans="40:42" x14ac:dyDescent="0.3">
      <c r="AN16879">
        <v>16875</v>
      </c>
      <c r="AO16879" s="11">
        <v>30615.93</v>
      </c>
      <c r="AP16879" s="9">
        <v>3.0992002904411171</v>
      </c>
    </row>
    <row r="16880" spans="40:42" x14ac:dyDescent="0.3">
      <c r="AN16880">
        <v>16876</v>
      </c>
      <c r="AO16880" s="11">
        <v>20873.16</v>
      </c>
      <c r="AP16880" s="9">
        <v>3.2720895379138097</v>
      </c>
    </row>
    <row r="16881" spans="40:42" x14ac:dyDescent="0.3">
      <c r="AN16881">
        <v>16877</v>
      </c>
      <c r="AO16881" s="11">
        <v>28472.47</v>
      </c>
      <c r="AP16881" s="9">
        <v>3.2539990087339707</v>
      </c>
    </row>
    <row r="16882" spans="40:42" x14ac:dyDescent="0.3">
      <c r="AN16882">
        <v>16878</v>
      </c>
      <c r="AO16882" s="11">
        <v>33315.019999999997</v>
      </c>
      <c r="AP16882" s="9">
        <v>4.6298508797188171</v>
      </c>
    </row>
    <row r="16883" spans="40:42" x14ac:dyDescent="0.3">
      <c r="AN16883">
        <v>16879</v>
      </c>
      <c r="AO16883" s="11">
        <v>31259.07</v>
      </c>
      <c r="AP16883" s="9">
        <v>3.7004897759474771</v>
      </c>
    </row>
    <row r="16884" spans="40:42" x14ac:dyDescent="0.3">
      <c r="AN16884">
        <v>16880</v>
      </c>
      <c r="AO16884" s="11">
        <v>43459.92</v>
      </c>
      <c r="AP16884" s="9">
        <v>3.9497381432262015</v>
      </c>
    </row>
    <row r="16885" spans="40:42" x14ac:dyDescent="0.3">
      <c r="AN16885">
        <v>16881</v>
      </c>
      <c r="AO16885" s="11">
        <v>31536.79</v>
      </c>
      <c r="AP16885" s="9">
        <v>3.3852230830092225</v>
      </c>
    </row>
    <row r="16886" spans="40:42" x14ac:dyDescent="0.3">
      <c r="AN16886">
        <v>16882</v>
      </c>
      <c r="AO16886" s="11">
        <v>33243.68</v>
      </c>
      <c r="AP16886" s="9">
        <v>3.3002446682624087</v>
      </c>
    </row>
    <row r="16887" spans="40:42" x14ac:dyDescent="0.3">
      <c r="AN16887">
        <v>16883</v>
      </c>
      <c r="AO16887" s="11">
        <v>25240.799999999999</v>
      </c>
      <c r="AP16887" s="9">
        <v>3.0136110375344294</v>
      </c>
    </row>
    <row r="16888" spans="40:42" x14ac:dyDescent="0.3">
      <c r="AN16888">
        <v>16884</v>
      </c>
      <c r="AO16888" s="11">
        <v>29921.35</v>
      </c>
      <c r="AP16888" s="9">
        <v>3.3813625189422738</v>
      </c>
    </row>
    <row r="16889" spans="40:42" x14ac:dyDescent="0.3">
      <c r="AN16889">
        <v>16885</v>
      </c>
      <c r="AO16889" s="11">
        <v>19312.04</v>
      </c>
      <c r="AP16889" s="9">
        <v>2.939206805901811</v>
      </c>
    </row>
    <row r="16890" spans="40:42" x14ac:dyDescent="0.3">
      <c r="AN16890">
        <v>16886</v>
      </c>
      <c r="AO16890" s="11">
        <v>30340.49</v>
      </c>
      <c r="AP16890" s="9">
        <v>4.1954847225910186</v>
      </c>
    </row>
    <row r="16891" spans="40:42" x14ac:dyDescent="0.3">
      <c r="AN16891">
        <v>16887</v>
      </c>
      <c r="AO16891" s="11">
        <v>26936.79</v>
      </c>
      <c r="AP16891" s="9">
        <v>3.1299097729903047</v>
      </c>
    </row>
    <row r="16892" spans="40:42" x14ac:dyDescent="0.3">
      <c r="AN16892">
        <v>16888</v>
      </c>
      <c r="AO16892" s="11">
        <v>21526.45</v>
      </c>
      <c r="AP16892" s="9">
        <v>3.2882018457448043</v>
      </c>
    </row>
    <row r="16893" spans="40:42" x14ac:dyDescent="0.3">
      <c r="AN16893">
        <v>16889</v>
      </c>
      <c r="AO16893" s="11">
        <v>17728.98</v>
      </c>
      <c r="AP16893" s="9">
        <v>3.3283015247633938</v>
      </c>
    </row>
    <row r="16894" spans="40:42" x14ac:dyDescent="0.3">
      <c r="AN16894">
        <v>16890</v>
      </c>
      <c r="AO16894" s="11">
        <v>17721.689999999999</v>
      </c>
      <c r="AP16894" s="9">
        <v>3.2896609457219212</v>
      </c>
    </row>
    <row r="16895" spans="40:42" x14ac:dyDescent="0.3">
      <c r="AN16895">
        <v>16891</v>
      </c>
      <c r="AO16895" s="11">
        <v>36385.54</v>
      </c>
      <c r="AP16895" s="9">
        <v>3.4442214612075972</v>
      </c>
    </row>
    <row r="16896" spans="40:42" x14ac:dyDescent="0.3">
      <c r="AN16896">
        <v>16892</v>
      </c>
      <c r="AO16896" s="11">
        <v>34914.71</v>
      </c>
      <c r="AP16896" s="9">
        <v>4.1316848586113757</v>
      </c>
    </row>
    <row r="16897" spans="40:42" x14ac:dyDescent="0.3">
      <c r="AN16897">
        <v>16893</v>
      </c>
      <c r="AO16897" s="11">
        <v>20261.57</v>
      </c>
      <c r="AP16897" s="9">
        <v>2.8957598611262805</v>
      </c>
    </row>
    <row r="16898" spans="40:42" x14ac:dyDescent="0.3">
      <c r="AN16898">
        <v>16894</v>
      </c>
      <c r="AO16898" s="11">
        <v>24763.95</v>
      </c>
      <c r="AP16898" s="9">
        <v>3.7443822804334412</v>
      </c>
    </row>
    <row r="16899" spans="40:42" x14ac:dyDescent="0.3">
      <c r="AN16899">
        <v>16895</v>
      </c>
      <c r="AO16899" s="11">
        <v>21655.65</v>
      </c>
      <c r="AP16899" s="9">
        <v>3.2553799801673482</v>
      </c>
    </row>
    <row r="16900" spans="40:42" x14ac:dyDescent="0.3">
      <c r="AN16900">
        <v>16896</v>
      </c>
      <c r="AO16900" s="11">
        <v>27156.49</v>
      </c>
      <c r="AP16900" s="9">
        <v>3.2495876133535719</v>
      </c>
    </row>
    <row r="16901" spans="40:42" x14ac:dyDescent="0.3">
      <c r="AN16901">
        <v>16897</v>
      </c>
      <c r="AO16901" s="11">
        <v>29388.74</v>
      </c>
      <c r="AP16901" s="9">
        <v>2.8274357432393344</v>
      </c>
    </row>
    <row r="16902" spans="40:42" x14ac:dyDescent="0.3">
      <c r="AN16902">
        <v>16898</v>
      </c>
      <c r="AO16902" s="11">
        <v>30600.3</v>
      </c>
      <c r="AP16902" s="9">
        <v>3.3855249655479054</v>
      </c>
    </row>
    <row r="16903" spans="40:42" x14ac:dyDescent="0.3">
      <c r="AN16903">
        <v>16899</v>
      </c>
      <c r="AO16903" s="11">
        <v>20770.560000000001</v>
      </c>
      <c r="AP16903" s="9">
        <v>3.4881075411222735</v>
      </c>
    </row>
    <row r="16904" spans="40:42" x14ac:dyDescent="0.3">
      <c r="AN16904">
        <v>16900</v>
      </c>
      <c r="AO16904" s="11">
        <v>32027.75</v>
      </c>
      <c r="AP16904" s="9">
        <v>3.3772193612069414</v>
      </c>
    </row>
    <row r="16905" spans="40:42" x14ac:dyDescent="0.3">
      <c r="AN16905">
        <v>16901</v>
      </c>
      <c r="AO16905" s="11">
        <v>18790.59</v>
      </c>
      <c r="AP16905" s="9">
        <v>3.6683039337463854</v>
      </c>
    </row>
    <row r="16906" spans="40:42" x14ac:dyDescent="0.3">
      <c r="AN16906">
        <v>16902</v>
      </c>
      <c r="AO16906" s="11">
        <v>23509.67</v>
      </c>
      <c r="AP16906" s="9">
        <v>3.1271809291930088</v>
      </c>
    </row>
    <row r="16907" spans="40:42" x14ac:dyDescent="0.3">
      <c r="AN16907">
        <v>16903</v>
      </c>
      <c r="AO16907" s="11">
        <v>36078.230000000003</v>
      </c>
      <c r="AP16907" s="9">
        <v>3.6052895128570523</v>
      </c>
    </row>
    <row r="16908" spans="40:42" x14ac:dyDescent="0.3">
      <c r="AN16908">
        <v>16904</v>
      </c>
      <c r="AO16908" s="11">
        <v>21812.61</v>
      </c>
      <c r="AP16908" s="9">
        <v>3.5656099915738531</v>
      </c>
    </row>
    <row r="16909" spans="40:42" x14ac:dyDescent="0.3">
      <c r="AN16909">
        <v>16905</v>
      </c>
      <c r="AO16909" s="11">
        <v>26943.37</v>
      </c>
      <c r="AP16909" s="9">
        <v>2.8976241447321347</v>
      </c>
    </row>
    <row r="16910" spans="40:42" x14ac:dyDescent="0.3">
      <c r="AN16910">
        <v>16906</v>
      </c>
      <c r="AO16910" s="11">
        <v>19015.79</v>
      </c>
      <c r="AP16910" s="9">
        <v>3.879179645263394</v>
      </c>
    </row>
    <row r="16911" spans="40:42" x14ac:dyDescent="0.3">
      <c r="AN16911">
        <v>16907</v>
      </c>
      <c r="AO16911" s="11">
        <v>16172.69</v>
      </c>
      <c r="AP16911" s="9">
        <v>2.3668159314297799</v>
      </c>
    </row>
    <row r="16912" spans="40:42" x14ac:dyDescent="0.3">
      <c r="AN16912">
        <v>16908</v>
      </c>
      <c r="AO16912" s="11">
        <v>35418</v>
      </c>
      <c r="AP16912" s="9">
        <v>3.3874068504286798</v>
      </c>
    </row>
    <row r="16913" spans="40:42" x14ac:dyDescent="0.3">
      <c r="AN16913">
        <v>16909</v>
      </c>
      <c r="AO16913" s="11">
        <v>33384.21</v>
      </c>
      <c r="AP16913" s="9">
        <v>4.5170634768517166</v>
      </c>
    </row>
    <row r="16914" spans="40:42" x14ac:dyDescent="0.3">
      <c r="AN16914">
        <v>16910</v>
      </c>
      <c r="AO16914" s="11">
        <v>18999.240000000002</v>
      </c>
      <c r="AP16914" s="9">
        <v>3.4242447828188678</v>
      </c>
    </row>
    <row r="16915" spans="40:42" x14ac:dyDescent="0.3">
      <c r="AN16915">
        <v>16911</v>
      </c>
      <c r="AO16915" s="11">
        <v>25746.33</v>
      </c>
      <c r="AP16915" s="9">
        <v>3.2263391113724182</v>
      </c>
    </row>
    <row r="16916" spans="40:42" x14ac:dyDescent="0.3">
      <c r="AN16916">
        <v>16912</v>
      </c>
      <c r="AO16916" s="11">
        <v>32492.81</v>
      </c>
      <c r="AP16916" s="9">
        <v>3.8951371379231459</v>
      </c>
    </row>
    <row r="16917" spans="40:42" x14ac:dyDescent="0.3">
      <c r="AN16917">
        <v>16913</v>
      </c>
      <c r="AO16917" s="11">
        <v>20647.560000000001</v>
      </c>
      <c r="AP16917" s="9">
        <v>3.098105811806775</v>
      </c>
    </row>
    <row r="16918" spans="40:42" x14ac:dyDescent="0.3">
      <c r="AN16918">
        <v>16914</v>
      </c>
      <c r="AO16918" s="11">
        <v>35191.17</v>
      </c>
      <c r="AP16918" s="9">
        <v>3.3053865487639262</v>
      </c>
    </row>
    <row r="16919" spans="40:42" x14ac:dyDescent="0.3">
      <c r="AN16919">
        <v>16915</v>
      </c>
      <c r="AO16919" s="11">
        <v>23483.4</v>
      </c>
      <c r="AP16919" s="9">
        <v>3.3539158763640704</v>
      </c>
    </row>
    <row r="16920" spans="40:42" x14ac:dyDescent="0.3">
      <c r="AN16920">
        <v>16916</v>
      </c>
      <c r="AO16920" s="11">
        <v>31603.83</v>
      </c>
      <c r="AP16920" s="9">
        <v>3.3878584240104361</v>
      </c>
    </row>
    <row r="16921" spans="40:42" x14ac:dyDescent="0.3">
      <c r="AN16921">
        <v>16917</v>
      </c>
      <c r="AO16921" s="11">
        <v>29999.35</v>
      </c>
      <c r="AP16921" s="9">
        <v>3.3495363653548864</v>
      </c>
    </row>
    <row r="16922" spans="40:42" x14ac:dyDescent="0.3">
      <c r="AN16922">
        <v>16918</v>
      </c>
      <c r="AO16922" s="11">
        <v>23153.17</v>
      </c>
      <c r="AP16922" s="9">
        <v>3.4770801654196033</v>
      </c>
    </row>
    <row r="16923" spans="40:42" x14ac:dyDescent="0.3">
      <c r="AN16923">
        <v>16919</v>
      </c>
      <c r="AO16923" s="11">
        <v>22476.66</v>
      </c>
      <c r="AP16923" s="9">
        <v>3.32844683502337</v>
      </c>
    </row>
    <row r="16924" spans="40:42" x14ac:dyDescent="0.3">
      <c r="AN16924">
        <v>16920</v>
      </c>
      <c r="AO16924" s="11">
        <v>20739.740000000002</v>
      </c>
      <c r="AP16924" s="9">
        <v>2.9101526613598079</v>
      </c>
    </row>
    <row r="16925" spans="40:42" x14ac:dyDescent="0.3">
      <c r="AN16925">
        <v>16921</v>
      </c>
      <c r="AO16925" s="11">
        <v>16745.82</v>
      </c>
      <c r="AP16925" s="9">
        <v>3.2805519529402254</v>
      </c>
    </row>
    <row r="16926" spans="40:42" x14ac:dyDescent="0.3">
      <c r="AN16926">
        <v>16922</v>
      </c>
      <c r="AO16926" s="11">
        <v>23264.01</v>
      </c>
      <c r="AP16926" s="9">
        <v>2.9728605812072764</v>
      </c>
    </row>
    <row r="16927" spans="40:42" x14ac:dyDescent="0.3">
      <c r="AN16927">
        <v>16923</v>
      </c>
      <c r="AO16927" s="11">
        <v>34768.589999999997</v>
      </c>
      <c r="AP16927" s="9">
        <v>3.9592297943031429</v>
      </c>
    </row>
    <row r="16928" spans="40:42" x14ac:dyDescent="0.3">
      <c r="AN16928">
        <v>16924</v>
      </c>
      <c r="AO16928" s="11">
        <v>29542.68</v>
      </c>
      <c r="AP16928" s="9">
        <v>3.3120512840781409</v>
      </c>
    </row>
    <row r="16929" spans="40:42" x14ac:dyDescent="0.3">
      <c r="AN16929">
        <v>16925</v>
      </c>
      <c r="AO16929" s="11">
        <v>21907.86</v>
      </c>
      <c r="AP16929" s="9">
        <v>3.547598707980006</v>
      </c>
    </row>
    <row r="16930" spans="40:42" x14ac:dyDescent="0.3">
      <c r="AN16930">
        <v>16926</v>
      </c>
      <c r="AO16930" s="11">
        <v>27087.73</v>
      </c>
      <c r="AP16930" s="9">
        <v>3.29115533941239</v>
      </c>
    </row>
    <row r="16931" spans="40:42" x14ac:dyDescent="0.3">
      <c r="AN16931">
        <v>16927</v>
      </c>
      <c r="AO16931" s="11">
        <v>17151.669999999998</v>
      </c>
      <c r="AP16931" s="9">
        <v>3.0803093052656951</v>
      </c>
    </row>
    <row r="16932" spans="40:42" x14ac:dyDescent="0.3">
      <c r="AN16932">
        <v>16928</v>
      </c>
      <c r="AO16932" s="11">
        <v>23718.39</v>
      </c>
      <c r="AP16932" s="9">
        <v>3.189432940126661</v>
      </c>
    </row>
    <row r="16933" spans="40:42" x14ac:dyDescent="0.3">
      <c r="AN16933">
        <v>16929</v>
      </c>
      <c r="AO16933" s="11">
        <v>33900.28</v>
      </c>
      <c r="AP16933" s="9">
        <v>3.59612449477636</v>
      </c>
    </row>
    <row r="16934" spans="40:42" x14ac:dyDescent="0.3">
      <c r="AN16934">
        <v>16930</v>
      </c>
      <c r="AO16934" s="11">
        <v>38076.01</v>
      </c>
      <c r="AP16934" s="9">
        <v>4.1958228810596871</v>
      </c>
    </row>
    <row r="16935" spans="40:42" x14ac:dyDescent="0.3">
      <c r="AN16935">
        <v>16931</v>
      </c>
      <c r="AO16935" s="11">
        <v>30319.83</v>
      </c>
      <c r="AP16935" s="9">
        <v>3.0907057186181608</v>
      </c>
    </row>
    <row r="16936" spans="40:42" x14ac:dyDescent="0.3">
      <c r="AN16936">
        <v>16932</v>
      </c>
      <c r="AO16936" s="11">
        <v>28123</v>
      </c>
      <c r="AP16936" s="9">
        <v>3.3548090581139611</v>
      </c>
    </row>
    <row r="16937" spans="40:42" x14ac:dyDescent="0.3">
      <c r="AN16937">
        <v>16933</v>
      </c>
      <c r="AO16937" s="11">
        <v>28493.98</v>
      </c>
      <c r="AP16937" s="9">
        <v>3.9064738590536989</v>
      </c>
    </row>
    <row r="16938" spans="40:42" x14ac:dyDescent="0.3">
      <c r="AN16938">
        <v>16934</v>
      </c>
      <c r="AO16938" s="11">
        <v>25694.76</v>
      </c>
      <c r="AP16938" s="9">
        <v>3.4643265429817545</v>
      </c>
    </row>
    <row r="16939" spans="40:42" x14ac:dyDescent="0.3">
      <c r="AN16939">
        <v>16935</v>
      </c>
      <c r="AO16939" s="11">
        <v>38420.480000000003</v>
      </c>
      <c r="AP16939" s="9">
        <v>3.876127156797474</v>
      </c>
    </row>
    <row r="16940" spans="40:42" x14ac:dyDescent="0.3">
      <c r="AN16940">
        <v>16936</v>
      </c>
      <c r="AO16940" s="11">
        <v>36247.67</v>
      </c>
      <c r="AP16940" s="9">
        <v>3.8349471406756863</v>
      </c>
    </row>
    <row r="16941" spans="40:42" x14ac:dyDescent="0.3">
      <c r="AN16941">
        <v>16937</v>
      </c>
      <c r="AO16941" s="11">
        <v>40535.480000000003</v>
      </c>
      <c r="AP16941" s="9">
        <v>3.7135402842085874</v>
      </c>
    </row>
    <row r="16942" spans="40:42" x14ac:dyDescent="0.3">
      <c r="AN16942">
        <v>16938</v>
      </c>
      <c r="AO16942" s="11">
        <v>29016.78</v>
      </c>
      <c r="AP16942" s="9">
        <v>3.3996813912976118</v>
      </c>
    </row>
    <row r="16943" spans="40:42" x14ac:dyDescent="0.3">
      <c r="AN16943">
        <v>16939</v>
      </c>
      <c r="AO16943" s="11">
        <v>18772.580000000002</v>
      </c>
      <c r="AP16943" s="9">
        <v>2.7524700297052256</v>
      </c>
    </row>
    <row r="16944" spans="40:42" x14ac:dyDescent="0.3">
      <c r="AN16944">
        <v>16940</v>
      </c>
      <c r="AO16944" s="11">
        <v>13354.63</v>
      </c>
      <c r="AP16944" s="9">
        <v>2.6743721189610805</v>
      </c>
    </row>
    <row r="16945" spans="40:42" x14ac:dyDescent="0.3">
      <c r="AN16945">
        <v>16941</v>
      </c>
      <c r="AO16945" s="11">
        <v>25143.48</v>
      </c>
      <c r="AP16945" s="9">
        <v>2.7910246493980231</v>
      </c>
    </row>
    <row r="16946" spans="40:42" x14ac:dyDescent="0.3">
      <c r="AN16946">
        <v>16942</v>
      </c>
      <c r="AO16946" s="11">
        <v>26614.66</v>
      </c>
      <c r="AP16946" s="9">
        <v>3.4077622951727768</v>
      </c>
    </row>
    <row r="16947" spans="40:42" x14ac:dyDescent="0.3">
      <c r="AN16947">
        <v>16943</v>
      </c>
      <c r="AO16947" s="11">
        <v>28290.9</v>
      </c>
      <c r="AP16947" s="9">
        <v>3.8588889316120234</v>
      </c>
    </row>
    <row r="16948" spans="40:42" x14ac:dyDescent="0.3">
      <c r="AN16948">
        <v>16944</v>
      </c>
      <c r="AO16948" s="11">
        <v>30550.81</v>
      </c>
      <c r="AP16948" s="9">
        <v>3.7071675462195071</v>
      </c>
    </row>
    <row r="16949" spans="40:42" x14ac:dyDescent="0.3">
      <c r="AN16949">
        <v>16945</v>
      </c>
      <c r="AO16949" s="11">
        <v>22501.73</v>
      </c>
      <c r="AP16949" s="9">
        <v>3.0052457066548546</v>
      </c>
    </row>
    <row r="16950" spans="40:42" x14ac:dyDescent="0.3">
      <c r="AN16950">
        <v>16946</v>
      </c>
      <c r="AO16950" s="11">
        <v>24844.84</v>
      </c>
      <c r="AP16950" s="9">
        <v>3.4475352335954663</v>
      </c>
    </row>
    <row r="16951" spans="40:42" x14ac:dyDescent="0.3">
      <c r="AN16951">
        <v>16947</v>
      </c>
      <c r="AO16951" s="11">
        <v>20464.43</v>
      </c>
      <c r="AP16951" s="9">
        <v>2.6462992756908363</v>
      </c>
    </row>
    <row r="16952" spans="40:42" x14ac:dyDescent="0.3">
      <c r="AN16952">
        <v>16948</v>
      </c>
      <c r="AO16952" s="11">
        <v>31263.88</v>
      </c>
      <c r="AP16952" s="9">
        <v>3.5225931506525798</v>
      </c>
    </row>
    <row r="16953" spans="40:42" x14ac:dyDescent="0.3">
      <c r="AN16953">
        <v>16949</v>
      </c>
      <c r="AO16953" s="11">
        <v>41347.86</v>
      </c>
      <c r="AP16953" s="9">
        <v>3.7490864183498291</v>
      </c>
    </row>
    <row r="16954" spans="40:42" x14ac:dyDescent="0.3">
      <c r="AN16954">
        <v>16950</v>
      </c>
      <c r="AO16954" s="11">
        <v>20758.63</v>
      </c>
      <c r="AP16954" s="9">
        <v>2.6562098233552933</v>
      </c>
    </row>
    <row r="16955" spans="40:42" x14ac:dyDescent="0.3">
      <c r="AN16955">
        <v>16951</v>
      </c>
      <c r="AO16955" s="11">
        <v>25452.46</v>
      </c>
      <c r="AP16955" s="9">
        <v>2.8749069146401611</v>
      </c>
    </row>
    <row r="16956" spans="40:42" x14ac:dyDescent="0.3">
      <c r="AN16956">
        <v>16952</v>
      </c>
      <c r="AO16956" s="11">
        <v>25179.16</v>
      </c>
      <c r="AP16956" s="9">
        <v>3.7901677355447583</v>
      </c>
    </row>
    <row r="16957" spans="40:42" x14ac:dyDescent="0.3">
      <c r="AN16957">
        <v>16953</v>
      </c>
      <c r="AO16957" s="11">
        <v>27815.23</v>
      </c>
      <c r="AP16957" s="9">
        <v>3.3161089302083706</v>
      </c>
    </row>
    <row r="16958" spans="40:42" x14ac:dyDescent="0.3">
      <c r="AN16958">
        <v>16954</v>
      </c>
      <c r="AO16958" s="11">
        <v>23046.09</v>
      </c>
      <c r="AP16958" s="9">
        <v>3.3252343110877174</v>
      </c>
    </row>
    <row r="16959" spans="40:42" x14ac:dyDescent="0.3">
      <c r="AN16959">
        <v>16955</v>
      </c>
      <c r="AO16959" s="11">
        <v>44720.98</v>
      </c>
      <c r="AP16959" s="9">
        <v>3.6868258991345866</v>
      </c>
    </row>
    <row r="16960" spans="40:42" x14ac:dyDescent="0.3">
      <c r="AN16960">
        <v>16956</v>
      </c>
      <c r="AO16960" s="11">
        <v>23126.77</v>
      </c>
      <c r="AP16960" s="9">
        <v>3.0084434062497363</v>
      </c>
    </row>
    <row r="16961" spans="40:42" x14ac:dyDescent="0.3">
      <c r="AN16961">
        <v>16957</v>
      </c>
      <c r="AO16961" s="11">
        <v>40535.86</v>
      </c>
      <c r="AP16961" s="9">
        <v>3.6787383455151619</v>
      </c>
    </row>
    <row r="16962" spans="40:42" x14ac:dyDescent="0.3">
      <c r="AN16962">
        <v>16958</v>
      </c>
      <c r="AO16962" s="11">
        <v>37075.040000000001</v>
      </c>
      <c r="AP16962" s="9">
        <v>2.9545263760502825</v>
      </c>
    </row>
    <row r="16963" spans="40:42" x14ac:dyDescent="0.3">
      <c r="AN16963">
        <v>16959</v>
      </c>
      <c r="AO16963" s="11">
        <v>21973.01</v>
      </c>
      <c r="AP16963" s="9">
        <v>3.2468625490089362</v>
      </c>
    </row>
    <row r="16964" spans="40:42" x14ac:dyDescent="0.3">
      <c r="AN16964">
        <v>16960</v>
      </c>
      <c r="AO16964" s="11">
        <v>22464.7</v>
      </c>
      <c r="AP16964" s="9">
        <v>3.0905132702548159</v>
      </c>
    </row>
    <row r="16965" spans="40:42" x14ac:dyDescent="0.3">
      <c r="AN16965">
        <v>16961</v>
      </c>
      <c r="AO16965" s="11">
        <v>31513.01</v>
      </c>
      <c r="AP16965" s="9">
        <v>3.6708173919622462</v>
      </c>
    </row>
    <row r="16966" spans="40:42" x14ac:dyDescent="0.3">
      <c r="AN16966">
        <v>16962</v>
      </c>
      <c r="AO16966" s="11">
        <v>29553.3</v>
      </c>
      <c r="AP16966" s="9">
        <v>3.3944867461337038</v>
      </c>
    </row>
    <row r="16967" spans="40:42" x14ac:dyDescent="0.3">
      <c r="AN16967">
        <v>16963</v>
      </c>
      <c r="AO16967" s="11">
        <v>20565.099999999999</v>
      </c>
      <c r="AP16967" s="9">
        <v>2.7465469597620613</v>
      </c>
    </row>
    <row r="16968" spans="40:42" x14ac:dyDescent="0.3">
      <c r="AN16968">
        <v>16964</v>
      </c>
      <c r="AO16968" s="11">
        <v>32183.3</v>
      </c>
      <c r="AP16968" s="9">
        <v>2.95438309718276</v>
      </c>
    </row>
    <row r="16969" spans="40:42" x14ac:dyDescent="0.3">
      <c r="AN16969">
        <v>16965</v>
      </c>
      <c r="AO16969" s="11">
        <v>27912.73</v>
      </c>
      <c r="AP16969" s="9">
        <v>3.1956587077421852</v>
      </c>
    </row>
    <row r="16970" spans="40:42" x14ac:dyDescent="0.3">
      <c r="AN16970">
        <v>16966</v>
      </c>
      <c r="AO16970" s="11">
        <v>30084.83</v>
      </c>
      <c r="AP16970" s="9">
        <v>3.0332595424232953</v>
      </c>
    </row>
    <row r="16971" spans="40:42" x14ac:dyDescent="0.3">
      <c r="AN16971">
        <v>16967</v>
      </c>
      <c r="AO16971" s="11">
        <v>33180.160000000003</v>
      </c>
      <c r="AP16971" s="9">
        <v>3.1993677206078881</v>
      </c>
    </row>
    <row r="16972" spans="40:42" x14ac:dyDescent="0.3">
      <c r="AN16972">
        <v>16968</v>
      </c>
      <c r="AO16972" s="11">
        <v>19399.560000000001</v>
      </c>
      <c r="AP16972" s="9">
        <v>3.4965998733347443</v>
      </c>
    </row>
    <row r="16973" spans="40:42" x14ac:dyDescent="0.3">
      <c r="AN16973">
        <v>16969</v>
      </c>
      <c r="AO16973" s="11">
        <v>33206.04</v>
      </c>
      <c r="AP16973" s="9">
        <v>3.3418816246938157</v>
      </c>
    </row>
    <row r="16974" spans="40:42" x14ac:dyDescent="0.3">
      <c r="AN16974">
        <v>16970</v>
      </c>
      <c r="AO16974" s="11">
        <v>17186.47</v>
      </c>
      <c r="AP16974" s="9">
        <v>2.9781145356461134</v>
      </c>
    </row>
    <row r="16975" spans="40:42" x14ac:dyDescent="0.3">
      <c r="AN16975">
        <v>16971</v>
      </c>
      <c r="AO16975" s="11">
        <v>31523.81</v>
      </c>
      <c r="AP16975" s="9">
        <v>3.6439800173976282</v>
      </c>
    </row>
    <row r="16976" spans="40:42" x14ac:dyDescent="0.3">
      <c r="AN16976">
        <v>16972</v>
      </c>
      <c r="AO16976" s="11">
        <v>26887.65</v>
      </c>
      <c r="AP16976" s="9">
        <v>3.3417748362758695</v>
      </c>
    </row>
    <row r="16977" spans="40:42" x14ac:dyDescent="0.3">
      <c r="AN16977">
        <v>16973</v>
      </c>
      <c r="AO16977" s="11">
        <v>35274.31</v>
      </c>
      <c r="AP16977" s="9">
        <v>3.3701601728273713</v>
      </c>
    </row>
    <row r="16978" spans="40:42" x14ac:dyDescent="0.3">
      <c r="AN16978">
        <v>16974</v>
      </c>
      <c r="AO16978" s="11">
        <v>27558.32</v>
      </c>
      <c r="AP16978" s="9">
        <v>3.4706101121522481</v>
      </c>
    </row>
    <row r="16979" spans="40:42" x14ac:dyDescent="0.3">
      <c r="AN16979">
        <v>16975</v>
      </c>
      <c r="AO16979" s="11">
        <v>19605.490000000002</v>
      </c>
      <c r="AP16979" s="9">
        <v>3.0026429717927319</v>
      </c>
    </row>
    <row r="16980" spans="40:42" x14ac:dyDescent="0.3">
      <c r="AN16980">
        <v>16976</v>
      </c>
      <c r="AO16980" s="11">
        <v>25351.19</v>
      </c>
      <c r="AP16980" s="9">
        <v>2.978321713019731</v>
      </c>
    </row>
    <row r="16981" spans="40:42" x14ac:dyDescent="0.3">
      <c r="AN16981">
        <v>16977</v>
      </c>
      <c r="AO16981" s="11">
        <v>19762</v>
      </c>
      <c r="AP16981" s="9">
        <v>3.2188260723812601</v>
      </c>
    </row>
    <row r="16982" spans="40:42" x14ac:dyDescent="0.3">
      <c r="AN16982">
        <v>16978</v>
      </c>
      <c r="AO16982" s="11">
        <v>30490.18</v>
      </c>
      <c r="AP16982" s="9">
        <v>4.0214975281861545</v>
      </c>
    </row>
    <row r="16983" spans="40:42" x14ac:dyDescent="0.3">
      <c r="AN16983">
        <v>16979</v>
      </c>
      <c r="AO16983" s="11">
        <v>33325.32</v>
      </c>
      <c r="AP16983" s="9">
        <v>3.4947901573478029</v>
      </c>
    </row>
    <row r="16984" spans="40:42" x14ac:dyDescent="0.3">
      <c r="AN16984">
        <v>16980</v>
      </c>
      <c r="AO16984" s="11">
        <v>25230.05</v>
      </c>
      <c r="AP16984" s="9">
        <v>3.3784718989987637</v>
      </c>
    </row>
    <row r="16985" spans="40:42" x14ac:dyDescent="0.3">
      <c r="AN16985">
        <v>16981</v>
      </c>
      <c r="AO16985" s="11">
        <v>36119.120000000003</v>
      </c>
      <c r="AP16985" s="9">
        <v>3.5610120796543949</v>
      </c>
    </row>
    <row r="16986" spans="40:42" x14ac:dyDescent="0.3">
      <c r="AN16986">
        <v>16982</v>
      </c>
      <c r="AO16986" s="11">
        <v>36271.199999999997</v>
      </c>
      <c r="AP16986" s="9">
        <v>3.8572636343360993</v>
      </c>
    </row>
    <row r="16987" spans="40:42" x14ac:dyDescent="0.3">
      <c r="AN16987">
        <v>16983</v>
      </c>
      <c r="AO16987" s="11">
        <v>27455.37</v>
      </c>
      <c r="AP16987" s="9">
        <v>3.4536544158980975</v>
      </c>
    </row>
    <row r="16988" spans="40:42" x14ac:dyDescent="0.3">
      <c r="AN16988">
        <v>16984</v>
      </c>
      <c r="AO16988" s="11">
        <v>35324.949999999997</v>
      </c>
      <c r="AP16988" s="9">
        <v>3.964558934162695</v>
      </c>
    </row>
    <row r="16989" spans="40:42" x14ac:dyDescent="0.3">
      <c r="AN16989">
        <v>16985</v>
      </c>
      <c r="AO16989" s="11">
        <v>16503.45</v>
      </c>
      <c r="AP16989" s="9">
        <v>3.2254300178542494</v>
      </c>
    </row>
    <row r="16990" spans="40:42" x14ac:dyDescent="0.3">
      <c r="AN16990">
        <v>16986</v>
      </c>
      <c r="AO16990" s="11">
        <v>19183.349999999999</v>
      </c>
      <c r="AP16990" s="9">
        <v>3.3190981022577501</v>
      </c>
    </row>
    <row r="16991" spans="40:42" x14ac:dyDescent="0.3">
      <c r="AN16991">
        <v>16987</v>
      </c>
      <c r="AO16991" s="11">
        <v>29857.24</v>
      </c>
      <c r="AP16991" s="9">
        <v>4.5145281671721591</v>
      </c>
    </row>
    <row r="16992" spans="40:42" x14ac:dyDescent="0.3">
      <c r="AN16992">
        <v>16988</v>
      </c>
      <c r="AO16992" s="11">
        <v>20196.87</v>
      </c>
      <c r="AP16992" s="9">
        <v>3.2185321232541666</v>
      </c>
    </row>
    <row r="16993" spans="40:42" x14ac:dyDescent="0.3">
      <c r="AN16993">
        <v>16989</v>
      </c>
      <c r="AO16993" s="11">
        <v>31727.8</v>
      </c>
      <c r="AP16993" s="9">
        <v>3.0300171518934516</v>
      </c>
    </row>
    <row r="16994" spans="40:42" x14ac:dyDescent="0.3">
      <c r="AN16994">
        <v>16990</v>
      </c>
      <c r="AO16994" s="11">
        <v>27739.75</v>
      </c>
      <c r="AP16994" s="9">
        <v>2.9495559782302361</v>
      </c>
    </row>
    <row r="16995" spans="40:42" x14ac:dyDescent="0.3">
      <c r="AN16995">
        <v>16991</v>
      </c>
      <c r="AO16995" s="11">
        <v>27804.35</v>
      </c>
      <c r="AP16995" s="9">
        <v>3.2914120661097135</v>
      </c>
    </row>
    <row r="16996" spans="40:42" x14ac:dyDescent="0.3">
      <c r="AN16996">
        <v>16992</v>
      </c>
      <c r="AO16996" s="11">
        <v>31040.959999999999</v>
      </c>
      <c r="AP16996" s="9">
        <v>3.2743706449795811</v>
      </c>
    </row>
    <row r="16997" spans="40:42" x14ac:dyDescent="0.3">
      <c r="AN16997">
        <v>16993</v>
      </c>
      <c r="AO16997" s="11">
        <v>25734.05</v>
      </c>
      <c r="AP16997" s="9">
        <v>4.0944243744092939</v>
      </c>
    </row>
    <row r="16998" spans="40:42" x14ac:dyDescent="0.3">
      <c r="AN16998">
        <v>16994</v>
      </c>
      <c r="AO16998" s="11">
        <v>30461.47</v>
      </c>
      <c r="AP16998" s="9">
        <v>4.4107334666110338</v>
      </c>
    </row>
    <row r="16999" spans="40:42" x14ac:dyDescent="0.3">
      <c r="AN16999">
        <v>16995</v>
      </c>
      <c r="AO16999" s="11">
        <v>30965.27</v>
      </c>
      <c r="AP16999" s="9">
        <v>3.6236340428552025</v>
      </c>
    </row>
    <row r="17000" spans="40:42" x14ac:dyDescent="0.3">
      <c r="AN17000">
        <v>16996</v>
      </c>
      <c r="AO17000" s="11">
        <v>28719.84</v>
      </c>
      <c r="AP17000" s="9">
        <v>3.6536910866886263</v>
      </c>
    </row>
    <row r="17001" spans="40:42" x14ac:dyDescent="0.3">
      <c r="AN17001">
        <v>16997</v>
      </c>
      <c r="AO17001" s="11">
        <v>18869.39</v>
      </c>
      <c r="AP17001" s="9">
        <v>3.3323388376679164</v>
      </c>
    </row>
    <row r="17002" spans="40:42" x14ac:dyDescent="0.3">
      <c r="AN17002">
        <v>16998</v>
      </c>
      <c r="AO17002" s="11">
        <v>36960.75</v>
      </c>
      <c r="AP17002" s="9">
        <v>3.6975365691069091</v>
      </c>
    </row>
    <row r="17003" spans="40:42" x14ac:dyDescent="0.3">
      <c r="AN17003">
        <v>16999</v>
      </c>
      <c r="AO17003" s="11">
        <v>51697.41</v>
      </c>
      <c r="AP17003" s="9">
        <v>4.4651602290586787</v>
      </c>
    </row>
    <row r="17004" spans="40:42" x14ac:dyDescent="0.3">
      <c r="AN17004">
        <v>17000</v>
      </c>
      <c r="AO17004" s="11">
        <v>20530.849999999999</v>
      </c>
      <c r="AP17004" s="9">
        <v>2.664980556503715</v>
      </c>
    </row>
    <row r="17005" spans="40:42" x14ac:dyDescent="0.3">
      <c r="AN17005">
        <v>17001</v>
      </c>
      <c r="AO17005" s="11">
        <v>23769.5</v>
      </c>
      <c r="AP17005" s="9">
        <v>3.5960310800304178</v>
      </c>
    </row>
    <row r="17006" spans="40:42" x14ac:dyDescent="0.3">
      <c r="AN17006">
        <v>17002</v>
      </c>
      <c r="AO17006" s="11">
        <v>20478.599999999999</v>
      </c>
      <c r="AP17006" s="9">
        <v>3.0110394399532923</v>
      </c>
    </row>
    <row r="17007" spans="40:42" x14ac:dyDescent="0.3">
      <c r="AN17007">
        <v>17003</v>
      </c>
      <c r="AO17007" s="11">
        <v>25278.69</v>
      </c>
      <c r="AP17007" s="9">
        <v>3.1024036083074984</v>
      </c>
    </row>
    <row r="17008" spans="40:42" x14ac:dyDescent="0.3">
      <c r="AN17008">
        <v>17004</v>
      </c>
      <c r="AO17008" s="11">
        <v>24042.79</v>
      </c>
      <c r="AP17008" s="9">
        <v>3.068714437954807</v>
      </c>
    </row>
    <row r="17009" spans="40:42" x14ac:dyDescent="0.3">
      <c r="AN17009">
        <v>17005</v>
      </c>
      <c r="AO17009" s="11">
        <v>26223.52</v>
      </c>
      <c r="AP17009" s="9">
        <v>2.8315438443339334</v>
      </c>
    </row>
    <row r="17010" spans="40:42" x14ac:dyDescent="0.3">
      <c r="AN17010">
        <v>17006</v>
      </c>
      <c r="AO17010" s="11">
        <v>20373.36</v>
      </c>
      <c r="AP17010" s="9">
        <v>2.991841477565762</v>
      </c>
    </row>
    <row r="17011" spans="40:42" x14ac:dyDescent="0.3">
      <c r="AN17011">
        <v>17007</v>
      </c>
      <c r="AO17011" s="11">
        <v>30295.8</v>
      </c>
      <c r="AP17011" s="9">
        <v>3.2886316507862441</v>
      </c>
    </row>
    <row r="17012" spans="40:42" x14ac:dyDescent="0.3">
      <c r="AN17012">
        <v>17008</v>
      </c>
      <c r="AO17012" s="11">
        <v>35572.720000000001</v>
      </c>
      <c r="AP17012" s="9">
        <v>3.8369410389090102</v>
      </c>
    </row>
    <row r="17013" spans="40:42" x14ac:dyDescent="0.3">
      <c r="AN17013">
        <v>17009</v>
      </c>
      <c r="AO17013" s="11">
        <v>32635.07</v>
      </c>
      <c r="AP17013" s="9">
        <v>3.7395203157040573</v>
      </c>
    </row>
    <row r="17014" spans="40:42" x14ac:dyDescent="0.3">
      <c r="AN17014">
        <v>17010</v>
      </c>
      <c r="AO17014" s="11">
        <v>27201.67</v>
      </c>
      <c r="AP17014" s="9">
        <v>3.4438859496320231</v>
      </c>
    </row>
    <row r="17015" spans="40:42" x14ac:dyDescent="0.3">
      <c r="AN17015">
        <v>17011</v>
      </c>
      <c r="AO17015" s="11">
        <v>30960.59</v>
      </c>
      <c r="AP17015" s="9">
        <v>3.5866611462139129</v>
      </c>
    </row>
    <row r="17016" spans="40:42" x14ac:dyDescent="0.3">
      <c r="AN17016">
        <v>17012</v>
      </c>
      <c r="AO17016" s="11">
        <v>32530.92</v>
      </c>
      <c r="AP17016" s="9">
        <v>3.696742395148255</v>
      </c>
    </row>
    <row r="17017" spans="40:42" x14ac:dyDescent="0.3">
      <c r="AN17017">
        <v>17013</v>
      </c>
      <c r="AO17017" s="11">
        <v>38455.980000000003</v>
      </c>
      <c r="AP17017" s="9">
        <v>3.660876414984727</v>
      </c>
    </row>
    <row r="17018" spans="40:42" x14ac:dyDescent="0.3">
      <c r="AN17018">
        <v>17014</v>
      </c>
      <c r="AO17018" s="11">
        <v>18740.87</v>
      </c>
      <c r="AP17018" s="9">
        <v>3.2641093739599651</v>
      </c>
    </row>
    <row r="17019" spans="40:42" x14ac:dyDescent="0.3">
      <c r="AN17019">
        <v>17015</v>
      </c>
      <c r="AO17019" s="11">
        <v>18440.52</v>
      </c>
      <c r="AP17019" s="9">
        <v>3.233633969343078</v>
      </c>
    </row>
    <row r="17020" spans="40:42" x14ac:dyDescent="0.3">
      <c r="AN17020">
        <v>17016</v>
      </c>
      <c r="AO17020" s="11">
        <v>35907.019999999997</v>
      </c>
      <c r="AP17020" s="9">
        <v>3.3189534070452118</v>
      </c>
    </row>
    <row r="17021" spans="40:42" x14ac:dyDescent="0.3">
      <c r="AN17021">
        <v>17017</v>
      </c>
      <c r="AO17021" s="11">
        <v>27601.89</v>
      </c>
      <c r="AP17021" s="9">
        <v>3.4644832564215076</v>
      </c>
    </row>
    <row r="17022" spans="40:42" x14ac:dyDescent="0.3">
      <c r="AN17022">
        <v>17018</v>
      </c>
      <c r="AO17022" s="11">
        <v>20599.54</v>
      </c>
      <c r="AP17022" s="9">
        <v>2.8642989998814583</v>
      </c>
    </row>
    <row r="17023" spans="40:42" x14ac:dyDescent="0.3">
      <c r="AN17023">
        <v>17019</v>
      </c>
      <c r="AO17023" s="11">
        <v>24540.639999999999</v>
      </c>
      <c r="AP17023" s="9">
        <v>3.0306167453072894</v>
      </c>
    </row>
    <row r="17024" spans="40:42" x14ac:dyDescent="0.3">
      <c r="AN17024">
        <v>17020</v>
      </c>
      <c r="AO17024" s="11">
        <v>20529.599999999999</v>
      </c>
      <c r="AP17024" s="9">
        <v>3.0101917809911893</v>
      </c>
    </row>
    <row r="17025" spans="40:42" x14ac:dyDescent="0.3">
      <c r="AN17025">
        <v>17021</v>
      </c>
      <c r="AO17025" s="11">
        <v>38460.04</v>
      </c>
      <c r="AP17025" s="9">
        <v>4.1904211727850225</v>
      </c>
    </row>
    <row r="17026" spans="40:42" x14ac:dyDescent="0.3">
      <c r="AN17026">
        <v>17022</v>
      </c>
      <c r="AO17026" s="11">
        <v>20048.71</v>
      </c>
      <c r="AP17026" s="9">
        <v>3.241396667347042</v>
      </c>
    </row>
    <row r="17027" spans="40:42" x14ac:dyDescent="0.3">
      <c r="AN17027">
        <v>17023</v>
      </c>
      <c r="AO17027" s="11">
        <v>21911.13</v>
      </c>
      <c r="AP17027" s="9">
        <v>3.6415118681070129</v>
      </c>
    </row>
    <row r="17028" spans="40:42" x14ac:dyDescent="0.3">
      <c r="AN17028">
        <v>17024</v>
      </c>
      <c r="AO17028" s="11">
        <v>28192.28</v>
      </c>
      <c r="AP17028" s="9">
        <v>3.1956010690001873</v>
      </c>
    </row>
    <row r="17029" spans="40:42" x14ac:dyDescent="0.3">
      <c r="AN17029">
        <v>17025</v>
      </c>
      <c r="AO17029" s="11">
        <v>22170.07</v>
      </c>
      <c r="AP17029" s="9">
        <v>3.7344552734090457</v>
      </c>
    </row>
    <row r="17030" spans="40:42" x14ac:dyDescent="0.3">
      <c r="AN17030">
        <v>17026</v>
      </c>
      <c r="AO17030" s="11">
        <v>23453.919999999998</v>
      </c>
      <c r="AP17030" s="9">
        <v>3.4088607407856446</v>
      </c>
    </row>
    <row r="17031" spans="40:42" x14ac:dyDescent="0.3">
      <c r="AN17031">
        <v>17027</v>
      </c>
      <c r="AO17031" s="11">
        <v>27567.31</v>
      </c>
      <c r="AP17031" s="9">
        <v>4.1955302023069008</v>
      </c>
    </row>
    <row r="17032" spans="40:42" x14ac:dyDescent="0.3">
      <c r="AN17032">
        <v>17028</v>
      </c>
      <c r="AO17032" s="11">
        <v>48816.37</v>
      </c>
      <c r="AP17032" s="9">
        <v>3.9729008547831777</v>
      </c>
    </row>
    <row r="17033" spans="40:42" x14ac:dyDescent="0.3">
      <c r="AN17033">
        <v>17029</v>
      </c>
      <c r="AO17033" s="11">
        <v>27640.97</v>
      </c>
      <c r="AP17033" s="9">
        <v>3.5831207478922766</v>
      </c>
    </row>
    <row r="17034" spans="40:42" x14ac:dyDescent="0.3">
      <c r="AN17034">
        <v>17030</v>
      </c>
      <c r="AO17034" s="11">
        <v>20735</v>
      </c>
      <c r="AP17034" s="9">
        <v>2.9093825327457781</v>
      </c>
    </row>
    <row r="17035" spans="40:42" x14ac:dyDescent="0.3">
      <c r="AN17035">
        <v>17031</v>
      </c>
      <c r="AO17035" s="11">
        <v>24960.45</v>
      </c>
      <c r="AP17035" s="9">
        <v>2.6966695002583783</v>
      </c>
    </row>
    <row r="17036" spans="40:42" x14ac:dyDescent="0.3">
      <c r="AN17036">
        <v>17032</v>
      </c>
      <c r="AO17036" s="11">
        <v>28537.01</v>
      </c>
      <c r="AP17036" s="9">
        <v>3.5019393936582319</v>
      </c>
    </row>
    <row r="17037" spans="40:42" x14ac:dyDescent="0.3">
      <c r="AN17037">
        <v>17033</v>
      </c>
      <c r="AO17037" s="11">
        <v>26683.7</v>
      </c>
      <c r="AP17037" s="9">
        <v>2.8954379415672027</v>
      </c>
    </row>
    <row r="17038" spans="40:42" x14ac:dyDescent="0.3">
      <c r="AN17038">
        <v>17034</v>
      </c>
      <c r="AO17038" s="11">
        <v>19372.400000000001</v>
      </c>
      <c r="AP17038" s="9">
        <v>3.279396027184827</v>
      </c>
    </row>
    <row r="17039" spans="40:42" x14ac:dyDescent="0.3">
      <c r="AN17039">
        <v>17035</v>
      </c>
      <c r="AO17039" s="11">
        <v>25604.3</v>
      </c>
      <c r="AP17039" s="9">
        <v>3.4901069382699088</v>
      </c>
    </row>
    <row r="17040" spans="40:42" x14ac:dyDescent="0.3">
      <c r="AN17040">
        <v>17036</v>
      </c>
      <c r="AO17040" s="11">
        <v>20458.97</v>
      </c>
      <c r="AP17040" s="9">
        <v>2.7959954187157248</v>
      </c>
    </row>
    <row r="17041" spans="40:42" x14ac:dyDescent="0.3">
      <c r="AN17041">
        <v>17037</v>
      </c>
      <c r="AO17041" s="11">
        <v>22829.95</v>
      </c>
      <c r="AP17041" s="9">
        <v>2.9194213739178627</v>
      </c>
    </row>
    <row r="17042" spans="40:42" x14ac:dyDescent="0.3">
      <c r="AN17042">
        <v>17038</v>
      </c>
      <c r="AO17042" s="11">
        <v>40019.040000000001</v>
      </c>
      <c r="AP17042" s="9">
        <v>4.0670855491541218</v>
      </c>
    </row>
    <row r="17043" spans="40:42" x14ac:dyDescent="0.3">
      <c r="AN17043">
        <v>17039</v>
      </c>
      <c r="AO17043" s="11">
        <v>34040.54</v>
      </c>
      <c r="AP17043" s="9">
        <v>3.2561134533444758</v>
      </c>
    </row>
    <row r="17044" spans="40:42" x14ac:dyDescent="0.3">
      <c r="AN17044">
        <v>17040</v>
      </c>
      <c r="AO17044" s="11">
        <v>17018.439999999999</v>
      </c>
      <c r="AP17044" s="9">
        <v>2.7260003565023725</v>
      </c>
    </row>
    <row r="17045" spans="40:42" x14ac:dyDescent="0.3">
      <c r="AN17045">
        <v>17041</v>
      </c>
      <c r="AO17045" s="11">
        <v>35076.78</v>
      </c>
      <c r="AP17045" s="9">
        <v>3.7313334161376939</v>
      </c>
    </row>
    <row r="17046" spans="40:42" x14ac:dyDescent="0.3">
      <c r="AN17046">
        <v>17042</v>
      </c>
      <c r="AO17046" s="11">
        <v>25929.41</v>
      </c>
      <c r="AP17046" s="9">
        <v>4.2792300276420159</v>
      </c>
    </row>
    <row r="17047" spans="40:42" x14ac:dyDescent="0.3">
      <c r="AN17047">
        <v>17043</v>
      </c>
      <c r="AO17047" s="11">
        <v>27870.99</v>
      </c>
      <c r="AP17047" s="9">
        <v>3.4148571575342137</v>
      </c>
    </row>
    <row r="17048" spans="40:42" x14ac:dyDescent="0.3">
      <c r="AN17048">
        <v>17044</v>
      </c>
      <c r="AO17048" s="11">
        <v>29367.8</v>
      </c>
      <c r="AP17048" s="9">
        <v>3.0945320918753052</v>
      </c>
    </row>
    <row r="17049" spans="40:42" x14ac:dyDescent="0.3">
      <c r="AN17049">
        <v>17045</v>
      </c>
      <c r="AO17049" s="11">
        <v>23589.71</v>
      </c>
      <c r="AP17049" s="9">
        <v>3.9363985050312573</v>
      </c>
    </row>
    <row r="17050" spans="40:42" x14ac:dyDescent="0.3">
      <c r="AN17050">
        <v>17046</v>
      </c>
      <c r="AO17050" s="11">
        <v>16782.5</v>
      </c>
      <c r="AP17050" s="9">
        <v>2.7559154531387748</v>
      </c>
    </row>
    <row r="17051" spans="40:42" x14ac:dyDescent="0.3">
      <c r="AN17051">
        <v>17047</v>
      </c>
      <c r="AO17051" s="11">
        <v>19806.07</v>
      </c>
      <c r="AP17051" s="9">
        <v>3.1301028643154631</v>
      </c>
    </row>
    <row r="17052" spans="40:42" x14ac:dyDescent="0.3">
      <c r="AN17052">
        <v>17048</v>
      </c>
      <c r="AO17052" s="11">
        <v>18385.47</v>
      </c>
      <c r="AP17052" s="9">
        <v>3.6984452351391131</v>
      </c>
    </row>
    <row r="17053" spans="40:42" x14ac:dyDescent="0.3">
      <c r="AN17053">
        <v>17049</v>
      </c>
      <c r="AO17053" s="11">
        <v>30034.62</v>
      </c>
      <c r="AP17053" s="9">
        <v>3.7483581009346709</v>
      </c>
    </row>
    <row r="17054" spans="40:42" x14ac:dyDescent="0.3">
      <c r="AN17054">
        <v>17050</v>
      </c>
      <c r="AO17054" s="11">
        <v>26007.79</v>
      </c>
      <c r="AP17054" s="9">
        <v>3.2803727570347583</v>
      </c>
    </row>
    <row r="17055" spans="40:42" x14ac:dyDescent="0.3">
      <c r="AN17055">
        <v>17051</v>
      </c>
      <c r="AO17055" s="11">
        <v>44935.79</v>
      </c>
      <c r="AP17055" s="9">
        <v>4.197186775628392</v>
      </c>
    </row>
    <row r="17056" spans="40:42" x14ac:dyDescent="0.3">
      <c r="AN17056">
        <v>17052</v>
      </c>
      <c r="AO17056" s="11">
        <v>26353.119999999999</v>
      </c>
      <c r="AP17056" s="9">
        <v>3.1241865803766107</v>
      </c>
    </row>
    <row r="17057" spans="40:42" x14ac:dyDescent="0.3">
      <c r="AN17057">
        <v>17053</v>
      </c>
      <c r="AO17057" s="11">
        <v>36841.99</v>
      </c>
      <c r="AP17057" s="9">
        <v>3.5426603871297369</v>
      </c>
    </row>
    <row r="17058" spans="40:42" x14ac:dyDescent="0.3">
      <c r="AN17058">
        <v>17054</v>
      </c>
      <c r="AO17058" s="11">
        <v>25889.119999999999</v>
      </c>
      <c r="AP17058" s="9">
        <v>4.138986678163894</v>
      </c>
    </row>
    <row r="17059" spans="40:42" x14ac:dyDescent="0.3">
      <c r="AN17059">
        <v>17055</v>
      </c>
      <c r="AO17059" s="11">
        <v>51109.83</v>
      </c>
      <c r="AP17059" s="9">
        <v>4.3730505787200169</v>
      </c>
    </row>
    <row r="17060" spans="40:42" x14ac:dyDescent="0.3">
      <c r="AN17060">
        <v>17056</v>
      </c>
      <c r="AO17060" s="11">
        <v>21391.39</v>
      </c>
      <c r="AP17060" s="9">
        <v>3.3996570784565221</v>
      </c>
    </row>
    <row r="17061" spans="40:42" x14ac:dyDescent="0.3">
      <c r="AN17061">
        <v>17057</v>
      </c>
      <c r="AO17061" s="11">
        <v>17595.400000000001</v>
      </c>
      <c r="AP17061" s="9">
        <v>3.3079807269686672</v>
      </c>
    </row>
    <row r="17062" spans="40:42" x14ac:dyDescent="0.3">
      <c r="AN17062">
        <v>17058</v>
      </c>
      <c r="AO17062" s="11">
        <v>18762.57</v>
      </c>
      <c r="AP17062" s="9">
        <v>2.8512483226367924</v>
      </c>
    </row>
    <row r="17063" spans="40:42" x14ac:dyDescent="0.3">
      <c r="AN17063">
        <v>17059</v>
      </c>
      <c r="AO17063" s="11">
        <v>39838.080000000002</v>
      </c>
      <c r="AP17063" s="9">
        <v>3.5985825413494439</v>
      </c>
    </row>
    <row r="17064" spans="40:42" x14ac:dyDescent="0.3">
      <c r="AN17064">
        <v>17060</v>
      </c>
      <c r="AO17064" s="11">
        <v>33256.51</v>
      </c>
      <c r="AP17064" s="9">
        <v>2.9518143428535502</v>
      </c>
    </row>
    <row r="17065" spans="40:42" x14ac:dyDescent="0.3">
      <c r="AN17065">
        <v>17061</v>
      </c>
      <c r="AO17065" s="11">
        <v>24154.29</v>
      </c>
      <c r="AP17065" s="9">
        <v>2.9275426241738467</v>
      </c>
    </row>
    <row r="17066" spans="40:42" x14ac:dyDescent="0.3">
      <c r="AN17066">
        <v>17062</v>
      </c>
      <c r="AO17066" s="11">
        <v>33862.769999999997</v>
      </c>
      <c r="AP17066" s="9">
        <v>4.2859515445995999</v>
      </c>
    </row>
    <row r="17067" spans="40:42" x14ac:dyDescent="0.3">
      <c r="AN17067">
        <v>17063</v>
      </c>
      <c r="AO17067" s="11">
        <v>20536.25</v>
      </c>
      <c r="AP17067" s="9">
        <v>3.3862509396865441</v>
      </c>
    </row>
    <row r="17068" spans="40:42" x14ac:dyDescent="0.3">
      <c r="AN17068">
        <v>17064</v>
      </c>
      <c r="AO17068" s="11">
        <v>22438.31</v>
      </c>
      <c r="AP17068" s="9">
        <v>3.2014163081409417</v>
      </c>
    </row>
    <row r="17069" spans="40:42" x14ac:dyDescent="0.3">
      <c r="AN17069">
        <v>17065</v>
      </c>
      <c r="AO17069" s="11">
        <v>21279.759999999998</v>
      </c>
      <c r="AP17069" s="9">
        <v>3.1959490257735026</v>
      </c>
    </row>
    <row r="17070" spans="40:42" x14ac:dyDescent="0.3">
      <c r="AN17070">
        <v>17066</v>
      </c>
      <c r="AO17070" s="11">
        <v>27835.87</v>
      </c>
      <c r="AP17070" s="9">
        <v>3.7152457085225579</v>
      </c>
    </row>
    <row r="17071" spans="40:42" x14ac:dyDescent="0.3">
      <c r="AN17071">
        <v>17067</v>
      </c>
      <c r="AO17071" s="11">
        <v>17964.82</v>
      </c>
      <c r="AP17071" s="9">
        <v>2.9515071917393336</v>
      </c>
    </row>
    <row r="17072" spans="40:42" x14ac:dyDescent="0.3">
      <c r="AN17072">
        <v>17068</v>
      </c>
      <c r="AO17072" s="11">
        <v>39065.54</v>
      </c>
      <c r="AP17072" s="9">
        <v>3.4559257990073995</v>
      </c>
    </row>
    <row r="17073" spans="40:42" x14ac:dyDescent="0.3">
      <c r="AN17073">
        <v>17069</v>
      </c>
      <c r="AO17073" s="11">
        <v>30646.76</v>
      </c>
      <c r="AP17073" s="9">
        <v>4.1214380319602473</v>
      </c>
    </row>
    <row r="17074" spans="40:42" x14ac:dyDescent="0.3">
      <c r="AN17074">
        <v>17070</v>
      </c>
      <c r="AO17074" s="11">
        <v>16756.05</v>
      </c>
      <c r="AP17074" s="9">
        <v>2.9599980222341777</v>
      </c>
    </row>
    <row r="17075" spans="40:42" x14ac:dyDescent="0.3">
      <c r="AN17075">
        <v>17071</v>
      </c>
      <c r="AO17075" s="11">
        <v>19229.810000000001</v>
      </c>
      <c r="AP17075" s="9">
        <v>3.0807024966364804</v>
      </c>
    </row>
    <row r="17076" spans="40:42" x14ac:dyDescent="0.3">
      <c r="AN17076">
        <v>17072</v>
      </c>
      <c r="AO17076" s="11">
        <v>31974.5</v>
      </c>
      <c r="AP17076" s="9">
        <v>3.4698315922782759</v>
      </c>
    </row>
    <row r="17077" spans="40:42" x14ac:dyDescent="0.3">
      <c r="AN17077">
        <v>17073</v>
      </c>
      <c r="AO17077" s="11">
        <v>43876.800000000003</v>
      </c>
      <c r="AP17077" s="9">
        <v>3.8268215427538292</v>
      </c>
    </row>
    <row r="17078" spans="40:42" x14ac:dyDescent="0.3">
      <c r="AN17078">
        <v>17074</v>
      </c>
      <c r="AO17078" s="11">
        <v>17509.03</v>
      </c>
      <c r="AP17078" s="9">
        <v>3.0357619968075458</v>
      </c>
    </row>
    <row r="17079" spans="40:42" x14ac:dyDescent="0.3">
      <c r="AN17079">
        <v>17075</v>
      </c>
      <c r="AO17079" s="11">
        <v>22461.06</v>
      </c>
      <c r="AP17079" s="9">
        <v>3.4604098924482898</v>
      </c>
    </row>
    <row r="17080" spans="40:42" x14ac:dyDescent="0.3">
      <c r="AN17080">
        <v>17076</v>
      </c>
      <c r="AO17080" s="11">
        <v>17884.53</v>
      </c>
      <c r="AP17080" s="9">
        <v>3.5308419329401977</v>
      </c>
    </row>
    <row r="17081" spans="40:42" x14ac:dyDescent="0.3">
      <c r="AN17081">
        <v>17077</v>
      </c>
      <c r="AO17081" s="11">
        <v>17541.740000000002</v>
      </c>
      <c r="AP17081" s="9">
        <v>3.7669258070864746</v>
      </c>
    </row>
    <row r="17082" spans="40:42" x14ac:dyDescent="0.3">
      <c r="AN17082">
        <v>17078</v>
      </c>
      <c r="AO17082" s="11">
        <v>18319.05</v>
      </c>
      <c r="AP17082" s="9">
        <v>3.1101440939690455</v>
      </c>
    </row>
    <row r="17083" spans="40:42" x14ac:dyDescent="0.3">
      <c r="AN17083">
        <v>17079</v>
      </c>
      <c r="AO17083" s="11">
        <v>30260.13</v>
      </c>
      <c r="AP17083" s="9">
        <v>3.4393394589947661</v>
      </c>
    </row>
    <row r="17084" spans="40:42" x14ac:dyDescent="0.3">
      <c r="AN17084">
        <v>17080</v>
      </c>
      <c r="AO17084" s="11">
        <v>43877.84</v>
      </c>
      <c r="AP17084" s="9">
        <v>3.5565821651611507</v>
      </c>
    </row>
    <row r="17085" spans="40:42" x14ac:dyDescent="0.3">
      <c r="AN17085">
        <v>17081</v>
      </c>
      <c r="AO17085" s="11">
        <v>29599.99</v>
      </c>
      <c r="AP17085" s="9">
        <v>3.7093513722265725</v>
      </c>
    </row>
    <row r="17086" spans="40:42" x14ac:dyDescent="0.3">
      <c r="AN17086">
        <v>17082</v>
      </c>
      <c r="AO17086" s="11">
        <v>19775.580000000002</v>
      </c>
      <c r="AP17086" s="9">
        <v>2.8603924223762127</v>
      </c>
    </row>
    <row r="17087" spans="40:42" x14ac:dyDescent="0.3">
      <c r="AN17087">
        <v>17083</v>
      </c>
      <c r="AO17087" s="11">
        <v>23203.89</v>
      </c>
      <c r="AP17087" s="9">
        <v>2.7738908859502356</v>
      </c>
    </row>
    <row r="17088" spans="40:42" x14ac:dyDescent="0.3">
      <c r="AN17088">
        <v>17084</v>
      </c>
      <c r="AO17088" s="11">
        <v>25907.27</v>
      </c>
      <c r="AP17088" s="9">
        <v>3.7253443119072669</v>
      </c>
    </row>
    <row r="17089" spans="40:42" x14ac:dyDescent="0.3">
      <c r="AN17089">
        <v>17085</v>
      </c>
      <c r="AO17089" s="11">
        <v>32219.45</v>
      </c>
      <c r="AP17089" s="9">
        <v>3.9174567344573856</v>
      </c>
    </row>
    <row r="17090" spans="40:42" x14ac:dyDescent="0.3">
      <c r="AN17090">
        <v>17086</v>
      </c>
      <c r="AO17090" s="11">
        <v>30083.47</v>
      </c>
      <c r="AP17090" s="9">
        <v>3.984176262235033</v>
      </c>
    </row>
    <row r="17091" spans="40:42" x14ac:dyDescent="0.3">
      <c r="AN17091">
        <v>17087</v>
      </c>
      <c r="AO17091" s="11">
        <v>16818.78</v>
      </c>
      <c r="AP17091" s="9">
        <v>2.9369426037900386</v>
      </c>
    </row>
    <row r="17092" spans="40:42" x14ac:dyDescent="0.3">
      <c r="AN17092">
        <v>17088</v>
      </c>
      <c r="AO17092" s="11">
        <v>34808.839999999997</v>
      </c>
      <c r="AP17092" s="9">
        <v>4.0460714842270011</v>
      </c>
    </row>
    <row r="17093" spans="40:42" x14ac:dyDescent="0.3">
      <c r="AN17093">
        <v>17089</v>
      </c>
      <c r="AO17093" s="11">
        <v>35248.9</v>
      </c>
      <c r="AP17093" s="9">
        <v>3.385814870402831</v>
      </c>
    </row>
    <row r="17094" spans="40:42" x14ac:dyDescent="0.3">
      <c r="AN17094">
        <v>17090</v>
      </c>
      <c r="AO17094" s="11">
        <v>23643.49</v>
      </c>
      <c r="AP17094" s="9">
        <v>3.6795017079869492</v>
      </c>
    </row>
    <row r="17095" spans="40:42" x14ac:dyDescent="0.3">
      <c r="AN17095">
        <v>17091</v>
      </c>
      <c r="AO17095" s="11">
        <v>31459.89</v>
      </c>
      <c r="AP17095" s="9">
        <v>3.982786417697092</v>
      </c>
    </row>
    <row r="17096" spans="40:42" x14ac:dyDescent="0.3">
      <c r="AN17096">
        <v>17092</v>
      </c>
      <c r="AO17096" s="11">
        <v>26564.05</v>
      </c>
      <c r="AP17096" s="9">
        <v>3.2929861691194122</v>
      </c>
    </row>
    <row r="17097" spans="40:42" x14ac:dyDescent="0.3">
      <c r="AN17097">
        <v>17093</v>
      </c>
      <c r="AO17097" s="11">
        <v>24164.639999999999</v>
      </c>
      <c r="AP17097" s="9">
        <v>3.4809940273797766</v>
      </c>
    </row>
    <row r="17098" spans="40:42" x14ac:dyDescent="0.3">
      <c r="AN17098">
        <v>17094</v>
      </c>
      <c r="AO17098" s="11">
        <v>23073.19</v>
      </c>
      <c r="AP17098" s="9">
        <v>3.8210608724511377</v>
      </c>
    </row>
    <row r="17099" spans="40:42" x14ac:dyDescent="0.3">
      <c r="AN17099">
        <v>17095</v>
      </c>
      <c r="AO17099" s="11">
        <v>24116.06</v>
      </c>
      <c r="AP17099" s="9">
        <v>3.857585428116808</v>
      </c>
    </row>
    <row r="17100" spans="40:42" x14ac:dyDescent="0.3">
      <c r="AN17100">
        <v>17096</v>
      </c>
      <c r="AO17100" s="11">
        <v>20774.48</v>
      </c>
      <c r="AP17100" s="9">
        <v>3.6907833940874588</v>
      </c>
    </row>
    <row r="17101" spans="40:42" x14ac:dyDescent="0.3">
      <c r="AN17101">
        <v>17097</v>
      </c>
      <c r="AO17101" s="11">
        <v>35087.67</v>
      </c>
      <c r="AP17101" s="9">
        <v>3.7916662068017839</v>
      </c>
    </row>
    <row r="17102" spans="40:42" x14ac:dyDescent="0.3">
      <c r="AN17102">
        <v>17098</v>
      </c>
      <c r="AO17102" s="11">
        <v>19606.25</v>
      </c>
      <c r="AP17102" s="9">
        <v>3.3397109739031201</v>
      </c>
    </row>
    <row r="17103" spans="40:42" x14ac:dyDescent="0.3">
      <c r="AN17103">
        <v>17099</v>
      </c>
      <c r="AO17103" s="11">
        <v>19451.48</v>
      </c>
      <c r="AP17103" s="9">
        <v>3.3542582106292524</v>
      </c>
    </row>
    <row r="17104" spans="40:42" x14ac:dyDescent="0.3">
      <c r="AN17104">
        <v>17100</v>
      </c>
      <c r="AO17104" s="11">
        <v>22030.2</v>
      </c>
      <c r="AP17104" s="9">
        <v>3.4885914880428359</v>
      </c>
    </row>
    <row r="17105" spans="40:42" x14ac:dyDescent="0.3">
      <c r="AN17105">
        <v>17101</v>
      </c>
      <c r="AO17105" s="11">
        <v>22343.99</v>
      </c>
      <c r="AP17105" s="9">
        <v>2.9431696787535353</v>
      </c>
    </row>
    <row r="17106" spans="40:42" x14ac:dyDescent="0.3">
      <c r="AN17106">
        <v>17102</v>
      </c>
      <c r="AO17106" s="11">
        <v>30285.79</v>
      </c>
      <c r="AP17106" s="9">
        <v>3.2611010782080689</v>
      </c>
    </row>
    <row r="17107" spans="40:42" x14ac:dyDescent="0.3">
      <c r="AN17107">
        <v>17103</v>
      </c>
      <c r="AO17107" s="11">
        <v>46022.11</v>
      </c>
      <c r="AP17107" s="9">
        <v>3.8201441564687499</v>
      </c>
    </row>
    <row r="17108" spans="40:42" x14ac:dyDescent="0.3">
      <c r="AN17108">
        <v>17104</v>
      </c>
      <c r="AO17108" s="11">
        <v>18149.53</v>
      </c>
      <c r="AP17108" s="9">
        <v>2.8648245103299379</v>
      </c>
    </row>
    <row r="17109" spans="40:42" x14ac:dyDescent="0.3">
      <c r="AN17109">
        <v>17105</v>
      </c>
      <c r="AO17109" s="11">
        <v>32620.19</v>
      </c>
      <c r="AP17109" s="9">
        <v>3.6768000654223369</v>
      </c>
    </row>
    <row r="17110" spans="40:42" x14ac:dyDescent="0.3">
      <c r="AN17110">
        <v>17106</v>
      </c>
      <c r="AO17110" s="11">
        <v>36284.720000000001</v>
      </c>
      <c r="AP17110" s="9">
        <v>3.7918072198799071</v>
      </c>
    </row>
    <row r="17111" spans="40:42" x14ac:dyDescent="0.3">
      <c r="AN17111">
        <v>17107</v>
      </c>
      <c r="AO17111" s="11">
        <v>29841.93</v>
      </c>
      <c r="AP17111" s="9">
        <v>3.1865615482717446</v>
      </c>
    </row>
    <row r="17112" spans="40:42" x14ac:dyDescent="0.3">
      <c r="AN17112">
        <v>17108</v>
      </c>
      <c r="AO17112" s="11">
        <v>23970.87</v>
      </c>
      <c r="AP17112" s="9">
        <v>3.3993522083634073</v>
      </c>
    </row>
    <row r="17113" spans="40:42" x14ac:dyDescent="0.3">
      <c r="AN17113">
        <v>17109</v>
      </c>
      <c r="AO17113" s="11">
        <v>35403.769999999997</v>
      </c>
      <c r="AP17113" s="9">
        <v>4.2478089140823014</v>
      </c>
    </row>
    <row r="17114" spans="40:42" x14ac:dyDescent="0.3">
      <c r="AN17114">
        <v>17110</v>
      </c>
      <c r="AO17114" s="11">
        <v>33751.760000000002</v>
      </c>
      <c r="AP17114" s="9">
        <v>3.2052216244140328</v>
      </c>
    </row>
    <row r="17115" spans="40:42" x14ac:dyDescent="0.3">
      <c r="AN17115">
        <v>17111</v>
      </c>
      <c r="AO17115" s="11">
        <v>41267.42</v>
      </c>
      <c r="AP17115" s="9">
        <v>4.1230220722975481</v>
      </c>
    </row>
    <row r="17116" spans="40:42" x14ac:dyDescent="0.3">
      <c r="AN17116">
        <v>17112</v>
      </c>
      <c r="AO17116" s="11">
        <v>26768.57</v>
      </c>
      <c r="AP17116" s="9">
        <v>3.4016249136928023</v>
      </c>
    </row>
    <row r="17117" spans="40:42" x14ac:dyDescent="0.3">
      <c r="AN17117">
        <v>17113</v>
      </c>
      <c r="AO17117" s="11">
        <v>26145.27</v>
      </c>
      <c r="AP17117" s="9">
        <v>3.1808617716468008</v>
      </c>
    </row>
    <row r="17118" spans="40:42" x14ac:dyDescent="0.3">
      <c r="AN17118">
        <v>17114</v>
      </c>
      <c r="AO17118" s="11">
        <v>16294.71</v>
      </c>
      <c r="AP17118" s="9">
        <v>3.4326198496147806</v>
      </c>
    </row>
    <row r="17119" spans="40:42" x14ac:dyDescent="0.3">
      <c r="AN17119">
        <v>17115</v>
      </c>
      <c r="AO17119" s="11">
        <v>29198.51</v>
      </c>
      <c r="AP17119" s="9">
        <v>4.0023252728068552</v>
      </c>
    </row>
    <row r="17120" spans="40:42" x14ac:dyDescent="0.3">
      <c r="AN17120">
        <v>17116</v>
      </c>
      <c r="AO17120" s="11">
        <v>38473.79</v>
      </c>
      <c r="AP17120" s="9">
        <v>3.7728815013249446</v>
      </c>
    </row>
    <row r="17121" spans="40:42" x14ac:dyDescent="0.3">
      <c r="AN17121">
        <v>17117</v>
      </c>
      <c r="AO17121" s="11">
        <v>23850.66</v>
      </c>
      <c r="AP17121" s="9">
        <v>3.3101540219061296</v>
      </c>
    </row>
    <row r="17122" spans="40:42" x14ac:dyDescent="0.3">
      <c r="AN17122">
        <v>17118</v>
      </c>
      <c r="AO17122" s="11">
        <v>35212.239999999998</v>
      </c>
      <c r="AP17122" s="9">
        <v>4.083100056917365</v>
      </c>
    </row>
    <row r="17123" spans="40:42" x14ac:dyDescent="0.3">
      <c r="AN17123">
        <v>17119</v>
      </c>
      <c r="AO17123" s="11">
        <v>28881.24</v>
      </c>
      <c r="AP17123" s="9">
        <v>3.788687473805334</v>
      </c>
    </row>
    <row r="17124" spans="40:42" x14ac:dyDescent="0.3">
      <c r="AN17124">
        <v>17120</v>
      </c>
      <c r="AO17124" s="11">
        <v>43199.6</v>
      </c>
      <c r="AP17124" s="9">
        <v>4.2014146902506262</v>
      </c>
    </row>
    <row r="17125" spans="40:42" x14ac:dyDescent="0.3">
      <c r="AN17125">
        <v>17121</v>
      </c>
      <c r="AO17125" s="11">
        <v>54330.9</v>
      </c>
      <c r="AP17125" s="9">
        <v>3.1368700001551377</v>
      </c>
    </row>
    <row r="17126" spans="40:42" x14ac:dyDescent="0.3">
      <c r="AN17126">
        <v>17122</v>
      </c>
      <c r="AO17126" s="11">
        <v>29115.84</v>
      </c>
      <c r="AP17126" s="9">
        <v>3.6469947484893583</v>
      </c>
    </row>
    <row r="17127" spans="40:42" x14ac:dyDescent="0.3">
      <c r="AN17127">
        <v>17123</v>
      </c>
      <c r="AO17127" s="11">
        <v>33910.07</v>
      </c>
      <c r="AP17127" s="9">
        <v>4.2091627816026529</v>
      </c>
    </row>
    <row r="17128" spans="40:42" x14ac:dyDescent="0.3">
      <c r="AN17128">
        <v>17124</v>
      </c>
      <c r="AO17128" s="11">
        <v>22538.53</v>
      </c>
      <c r="AP17128" s="9">
        <v>3.6304421858520031</v>
      </c>
    </row>
    <row r="17129" spans="40:42" x14ac:dyDescent="0.3">
      <c r="AN17129">
        <v>17125</v>
      </c>
      <c r="AO17129" s="11">
        <v>45064.07</v>
      </c>
      <c r="AP17129" s="9">
        <v>3.4801865200928788</v>
      </c>
    </row>
    <row r="17130" spans="40:42" x14ac:dyDescent="0.3">
      <c r="AN17130">
        <v>17126</v>
      </c>
      <c r="AO17130" s="11">
        <v>26841.8</v>
      </c>
      <c r="AP17130" s="9">
        <v>3.5537689351924224</v>
      </c>
    </row>
    <row r="17131" spans="40:42" x14ac:dyDescent="0.3">
      <c r="AN17131">
        <v>17127</v>
      </c>
      <c r="AO17131" s="11">
        <v>20620.3</v>
      </c>
      <c r="AP17131" s="9">
        <v>3.0873851544421766</v>
      </c>
    </row>
    <row r="17132" spans="40:42" x14ac:dyDescent="0.3">
      <c r="AN17132">
        <v>17128</v>
      </c>
      <c r="AO17132" s="11">
        <v>22715.919999999998</v>
      </c>
      <c r="AP17132" s="9">
        <v>3.3646156138434624</v>
      </c>
    </row>
    <row r="17133" spans="40:42" x14ac:dyDescent="0.3">
      <c r="AN17133">
        <v>17129</v>
      </c>
      <c r="AO17133" s="11">
        <v>30806.87</v>
      </c>
      <c r="AP17133" s="9">
        <v>3.9552766928387255</v>
      </c>
    </row>
    <row r="17134" spans="40:42" x14ac:dyDescent="0.3">
      <c r="AN17134">
        <v>17130</v>
      </c>
      <c r="AO17134" s="11">
        <v>25610.67</v>
      </c>
      <c r="AP17134" s="9">
        <v>3.3400644186035615</v>
      </c>
    </row>
    <row r="17135" spans="40:42" x14ac:dyDescent="0.3">
      <c r="AN17135">
        <v>17131</v>
      </c>
      <c r="AO17135" s="11">
        <v>27048.240000000002</v>
      </c>
      <c r="AP17135" s="9">
        <v>3.2024385671879627</v>
      </c>
    </row>
    <row r="17136" spans="40:42" x14ac:dyDescent="0.3">
      <c r="AN17136">
        <v>17132</v>
      </c>
      <c r="AO17136" s="11">
        <v>31176.560000000001</v>
      </c>
      <c r="AP17136" s="9">
        <v>3.8507014812541613</v>
      </c>
    </row>
    <row r="17137" spans="40:42" x14ac:dyDescent="0.3">
      <c r="AN17137">
        <v>17133</v>
      </c>
      <c r="AO17137" s="11">
        <v>32643.61</v>
      </c>
      <c r="AP17137" s="9">
        <v>3.0940828648228673</v>
      </c>
    </row>
    <row r="17138" spans="40:42" x14ac:dyDescent="0.3">
      <c r="AN17138">
        <v>17134</v>
      </c>
      <c r="AO17138" s="11">
        <v>18984.810000000001</v>
      </c>
      <c r="AP17138" s="9">
        <v>3.1570612667713731</v>
      </c>
    </row>
    <row r="17139" spans="40:42" x14ac:dyDescent="0.3">
      <c r="AN17139">
        <v>17135</v>
      </c>
      <c r="AO17139" s="11">
        <v>19603.46</v>
      </c>
      <c r="AP17139" s="9">
        <v>3.2619985578337514</v>
      </c>
    </row>
    <row r="17140" spans="40:42" x14ac:dyDescent="0.3">
      <c r="AN17140">
        <v>17136</v>
      </c>
      <c r="AO17140" s="11">
        <v>30753.06</v>
      </c>
      <c r="AP17140" s="9">
        <v>3.0845060454226232</v>
      </c>
    </row>
    <row r="17141" spans="40:42" x14ac:dyDescent="0.3">
      <c r="AN17141">
        <v>17137</v>
      </c>
      <c r="AO17141" s="11">
        <v>38617.839999999997</v>
      </c>
      <c r="AP17141" s="9">
        <v>3.9686849590551163</v>
      </c>
    </row>
    <row r="17142" spans="40:42" x14ac:dyDescent="0.3">
      <c r="AN17142">
        <v>17138</v>
      </c>
      <c r="AO17142" s="11">
        <v>23317.07</v>
      </c>
      <c r="AP17142" s="9">
        <v>3.3346421864600533</v>
      </c>
    </row>
    <row r="17143" spans="40:42" x14ac:dyDescent="0.3">
      <c r="AN17143">
        <v>17139</v>
      </c>
      <c r="AO17143" s="11">
        <v>23639.88</v>
      </c>
      <c r="AP17143" s="9">
        <v>2.9200477307669943</v>
      </c>
    </row>
    <row r="17144" spans="40:42" x14ac:dyDescent="0.3">
      <c r="AN17144">
        <v>17140</v>
      </c>
      <c r="AO17144" s="11">
        <v>50227.1</v>
      </c>
      <c r="AP17144" s="9">
        <v>3.5738420765368053</v>
      </c>
    </row>
    <row r="17145" spans="40:42" x14ac:dyDescent="0.3">
      <c r="AN17145">
        <v>17141</v>
      </c>
      <c r="AO17145" s="11">
        <v>28458.41</v>
      </c>
      <c r="AP17145" s="9">
        <v>3.5642365680547594</v>
      </c>
    </row>
    <row r="17146" spans="40:42" x14ac:dyDescent="0.3">
      <c r="AN17146">
        <v>17142</v>
      </c>
      <c r="AO17146" s="11">
        <v>22255.759999999998</v>
      </c>
      <c r="AP17146" s="9">
        <v>3.5772764277775022</v>
      </c>
    </row>
    <row r="17147" spans="40:42" x14ac:dyDescent="0.3">
      <c r="AN17147">
        <v>17143</v>
      </c>
      <c r="AO17147" s="11">
        <v>13615.4</v>
      </c>
      <c r="AP17147" s="9">
        <v>2.6986755660269597</v>
      </c>
    </row>
    <row r="17148" spans="40:42" x14ac:dyDescent="0.3">
      <c r="AN17148">
        <v>17144</v>
      </c>
      <c r="AO17148" s="11">
        <v>21883.21</v>
      </c>
      <c r="AP17148" s="9">
        <v>3.4300213394165251</v>
      </c>
    </row>
    <row r="17149" spans="40:42" x14ac:dyDescent="0.3">
      <c r="AN17149">
        <v>17145</v>
      </c>
      <c r="AO17149" s="11">
        <v>17203.77</v>
      </c>
      <c r="AP17149" s="9">
        <v>3.639695726413247</v>
      </c>
    </row>
    <row r="17150" spans="40:42" x14ac:dyDescent="0.3">
      <c r="AN17150">
        <v>17146</v>
      </c>
      <c r="AO17150" s="11">
        <v>35935.24</v>
      </c>
      <c r="AP17150" s="9">
        <v>4.0561489819483718</v>
      </c>
    </row>
    <row r="17151" spans="40:42" x14ac:dyDescent="0.3">
      <c r="AN17151">
        <v>17147</v>
      </c>
      <c r="AO17151" s="11">
        <v>35428.26</v>
      </c>
      <c r="AP17151" s="9">
        <v>3.1870164692978822</v>
      </c>
    </row>
    <row r="17152" spans="40:42" x14ac:dyDescent="0.3">
      <c r="AN17152">
        <v>17148</v>
      </c>
      <c r="AO17152" s="11">
        <v>35835.269999999997</v>
      </c>
      <c r="AP17152" s="9">
        <v>4.0030924898891769</v>
      </c>
    </row>
    <row r="17153" spans="40:42" x14ac:dyDescent="0.3">
      <c r="AN17153">
        <v>17149</v>
      </c>
      <c r="AO17153" s="11">
        <v>25320.84</v>
      </c>
      <c r="AP17153" s="9">
        <v>3.380740716781653</v>
      </c>
    </row>
    <row r="17154" spans="40:42" x14ac:dyDescent="0.3">
      <c r="AN17154">
        <v>17150</v>
      </c>
      <c r="AO17154" s="11">
        <v>20141.37</v>
      </c>
      <c r="AP17154" s="9">
        <v>3.0227780359691674</v>
      </c>
    </row>
    <row r="17155" spans="40:42" x14ac:dyDescent="0.3">
      <c r="AN17155">
        <v>17151</v>
      </c>
      <c r="AO17155" s="11">
        <v>33894.089999999997</v>
      </c>
      <c r="AP17155" s="9">
        <v>3.0661781850933814</v>
      </c>
    </row>
    <row r="17156" spans="40:42" x14ac:dyDescent="0.3">
      <c r="AN17156">
        <v>17152</v>
      </c>
      <c r="AO17156" s="11">
        <v>31839.34</v>
      </c>
      <c r="AP17156" s="9">
        <v>3.5125386763409825</v>
      </c>
    </row>
    <row r="17157" spans="40:42" x14ac:dyDescent="0.3">
      <c r="AN17157">
        <v>17153</v>
      </c>
      <c r="AO17157" s="11">
        <v>22981.68</v>
      </c>
      <c r="AP17157" s="9">
        <v>3.4183169503687063</v>
      </c>
    </row>
    <row r="17158" spans="40:42" x14ac:dyDescent="0.3">
      <c r="AN17158">
        <v>17154</v>
      </c>
      <c r="AO17158" s="11">
        <v>22217.07</v>
      </c>
      <c r="AP17158" s="9">
        <v>2.6551429203299435</v>
      </c>
    </row>
    <row r="17159" spans="40:42" x14ac:dyDescent="0.3">
      <c r="AN17159">
        <v>17155</v>
      </c>
      <c r="AO17159" s="11">
        <v>24116.46</v>
      </c>
      <c r="AP17159" s="9">
        <v>3.523623591604804</v>
      </c>
    </row>
    <row r="17160" spans="40:42" x14ac:dyDescent="0.3">
      <c r="AN17160">
        <v>17156</v>
      </c>
      <c r="AO17160" s="11">
        <v>21267.35</v>
      </c>
      <c r="AP17160" s="9">
        <v>4.0224343797982076</v>
      </c>
    </row>
    <row r="17161" spans="40:42" x14ac:dyDescent="0.3">
      <c r="AN17161">
        <v>17157</v>
      </c>
      <c r="AO17161" s="11">
        <v>36382.370000000003</v>
      </c>
      <c r="AP17161" s="9">
        <v>3.8309359297381387</v>
      </c>
    </row>
    <row r="17162" spans="40:42" x14ac:dyDescent="0.3">
      <c r="AN17162">
        <v>17158</v>
      </c>
      <c r="AO17162" s="11">
        <v>38417.19</v>
      </c>
      <c r="AP17162" s="9">
        <v>3.5418423740310758</v>
      </c>
    </row>
    <row r="17163" spans="40:42" x14ac:dyDescent="0.3">
      <c r="AN17163">
        <v>17159</v>
      </c>
      <c r="AO17163" s="11">
        <v>11673.51</v>
      </c>
      <c r="AP17163" s="9">
        <v>3.3075506349905655</v>
      </c>
    </row>
    <row r="17164" spans="40:42" x14ac:dyDescent="0.3">
      <c r="AN17164">
        <v>17160</v>
      </c>
      <c r="AO17164" s="11">
        <v>38668.79</v>
      </c>
      <c r="AP17164" s="9">
        <v>4.5532881261366276</v>
      </c>
    </row>
    <row r="17165" spans="40:42" x14ac:dyDescent="0.3">
      <c r="AN17165">
        <v>17161</v>
      </c>
      <c r="AO17165" s="11">
        <v>18567.7</v>
      </c>
      <c r="AP17165" s="9">
        <v>2.9964343763327639</v>
      </c>
    </row>
    <row r="17166" spans="40:42" x14ac:dyDescent="0.3">
      <c r="AN17166">
        <v>17162</v>
      </c>
      <c r="AO17166" s="11">
        <v>23322.16</v>
      </c>
      <c r="AP17166" s="9">
        <v>3.6186407591368051</v>
      </c>
    </row>
    <row r="17167" spans="40:42" x14ac:dyDescent="0.3">
      <c r="AN17167">
        <v>17163</v>
      </c>
      <c r="AO17167" s="11">
        <v>31691.75</v>
      </c>
      <c r="AP17167" s="9">
        <v>3.3491198360560932</v>
      </c>
    </row>
    <row r="17168" spans="40:42" x14ac:dyDescent="0.3">
      <c r="AN17168">
        <v>17164</v>
      </c>
      <c r="AO17168" s="11">
        <v>12162.56</v>
      </c>
      <c r="AP17168" s="9">
        <v>3.1632683413752654</v>
      </c>
    </row>
    <row r="17169" spans="40:42" x14ac:dyDescent="0.3">
      <c r="AN17169">
        <v>17165</v>
      </c>
      <c r="AO17169" s="11">
        <v>36236.839999999997</v>
      </c>
      <c r="AP17169" s="9">
        <v>3.7280015480975224</v>
      </c>
    </row>
    <row r="17170" spans="40:42" x14ac:dyDescent="0.3">
      <c r="AN17170">
        <v>17166</v>
      </c>
      <c r="AO17170" s="11">
        <v>26908.04</v>
      </c>
      <c r="AP17170" s="9">
        <v>3.4608237348487689</v>
      </c>
    </row>
    <row r="17171" spans="40:42" x14ac:dyDescent="0.3">
      <c r="AN17171">
        <v>17167</v>
      </c>
      <c r="AO17171" s="11">
        <v>23669.65</v>
      </c>
      <c r="AP17171" s="9">
        <v>3.9303283860666189</v>
      </c>
    </row>
    <row r="17172" spans="40:42" x14ac:dyDescent="0.3">
      <c r="AN17172">
        <v>17168</v>
      </c>
      <c r="AO17172" s="11">
        <v>30355.85</v>
      </c>
      <c r="AP17172" s="9">
        <v>2.8285961475189145</v>
      </c>
    </row>
    <row r="17173" spans="40:42" x14ac:dyDescent="0.3">
      <c r="AN17173">
        <v>17169</v>
      </c>
      <c r="AO17173" s="11">
        <v>29738.76</v>
      </c>
      <c r="AP17173" s="9">
        <v>3.3096686550077798</v>
      </c>
    </row>
    <row r="17174" spans="40:42" x14ac:dyDescent="0.3">
      <c r="AN17174">
        <v>17170</v>
      </c>
      <c r="AO17174" s="11">
        <v>25255.49</v>
      </c>
      <c r="AP17174" s="9">
        <v>3.3096126163874877</v>
      </c>
    </row>
    <row r="17175" spans="40:42" x14ac:dyDescent="0.3">
      <c r="AN17175">
        <v>17171</v>
      </c>
      <c r="AO17175" s="11">
        <v>33825.129999999997</v>
      </c>
      <c r="AP17175" s="9">
        <v>2.7722911047518801</v>
      </c>
    </row>
    <row r="17176" spans="40:42" x14ac:dyDescent="0.3">
      <c r="AN17176">
        <v>17172</v>
      </c>
      <c r="AO17176" s="11">
        <v>27127.06</v>
      </c>
      <c r="AP17176" s="9">
        <v>3.2072665732231602</v>
      </c>
    </row>
    <row r="17177" spans="40:42" x14ac:dyDescent="0.3">
      <c r="AN17177">
        <v>17173</v>
      </c>
      <c r="AO17177" s="11">
        <v>36285.760000000002</v>
      </c>
      <c r="AP17177" s="9">
        <v>4.144695977643071</v>
      </c>
    </row>
    <row r="17178" spans="40:42" x14ac:dyDescent="0.3">
      <c r="AN17178">
        <v>17174</v>
      </c>
      <c r="AO17178" s="11">
        <v>28773.16</v>
      </c>
      <c r="AP17178" s="9">
        <v>3.2352306395021215</v>
      </c>
    </row>
    <row r="17179" spans="40:42" x14ac:dyDescent="0.3">
      <c r="AN17179">
        <v>17175</v>
      </c>
      <c r="AO17179" s="11">
        <v>25324.83</v>
      </c>
      <c r="AP17179" s="9">
        <v>3.5139172568071109</v>
      </c>
    </row>
    <row r="17180" spans="40:42" x14ac:dyDescent="0.3">
      <c r="AN17180">
        <v>17176</v>
      </c>
      <c r="AO17180" s="11">
        <v>18441</v>
      </c>
      <c r="AP17180" s="9">
        <v>3.1073319062348568</v>
      </c>
    </row>
    <row r="17181" spans="40:42" x14ac:dyDescent="0.3">
      <c r="AN17181">
        <v>17177</v>
      </c>
      <c r="AO17181" s="11">
        <v>26890.91</v>
      </c>
      <c r="AP17181" s="9">
        <v>4.0587370814037689</v>
      </c>
    </row>
    <row r="17182" spans="40:42" x14ac:dyDescent="0.3">
      <c r="AN17182">
        <v>17178</v>
      </c>
      <c r="AO17182" s="11">
        <v>29371.37</v>
      </c>
      <c r="AP17182" s="9">
        <v>3.8980212686683937</v>
      </c>
    </row>
    <row r="17183" spans="40:42" x14ac:dyDescent="0.3">
      <c r="AN17183">
        <v>17179</v>
      </c>
      <c r="AO17183" s="11">
        <v>34540.76</v>
      </c>
      <c r="AP17183" s="9">
        <v>3.7605072690329244</v>
      </c>
    </row>
    <row r="17184" spans="40:42" x14ac:dyDescent="0.3">
      <c r="AN17184">
        <v>17180</v>
      </c>
      <c r="AO17184" s="11">
        <v>24996.38</v>
      </c>
      <c r="AP17184" s="9">
        <v>3.2530943233446585</v>
      </c>
    </row>
    <row r="17185" spans="40:42" x14ac:dyDescent="0.3">
      <c r="AN17185">
        <v>17181</v>
      </c>
      <c r="AO17185" s="11">
        <v>18131.36</v>
      </c>
      <c r="AP17185" s="9">
        <v>2.1241860867795257</v>
      </c>
    </row>
    <row r="17186" spans="40:42" x14ac:dyDescent="0.3">
      <c r="AN17186">
        <v>17182</v>
      </c>
      <c r="AO17186" s="11">
        <v>23437.05</v>
      </c>
      <c r="AP17186" s="9">
        <v>2.5986859948486964</v>
      </c>
    </row>
    <row r="17187" spans="40:42" x14ac:dyDescent="0.3">
      <c r="AN17187">
        <v>17183</v>
      </c>
      <c r="AO17187" s="11">
        <v>19909.52</v>
      </c>
      <c r="AP17187" s="9">
        <v>3.0526093042223521</v>
      </c>
    </row>
    <row r="17188" spans="40:42" x14ac:dyDescent="0.3">
      <c r="AN17188">
        <v>17184</v>
      </c>
      <c r="AO17188" s="11">
        <v>19879.89</v>
      </c>
      <c r="AP17188" s="9">
        <v>3.4250897514307175</v>
      </c>
    </row>
    <row r="17189" spans="40:42" x14ac:dyDescent="0.3">
      <c r="AN17189">
        <v>17185</v>
      </c>
      <c r="AO17189" s="11">
        <v>21660.54</v>
      </c>
      <c r="AP17189" s="9">
        <v>3.4652415700730277</v>
      </c>
    </row>
    <row r="17190" spans="40:42" x14ac:dyDescent="0.3">
      <c r="AN17190">
        <v>17186</v>
      </c>
      <c r="AO17190" s="11">
        <v>29177.47</v>
      </c>
      <c r="AP17190" s="9">
        <v>2.9944378352722039</v>
      </c>
    </row>
    <row r="17191" spans="40:42" x14ac:dyDescent="0.3">
      <c r="AN17191">
        <v>17187</v>
      </c>
      <c r="AO17191" s="11">
        <v>22156.36</v>
      </c>
      <c r="AP17191" s="9">
        <v>2.8809854044812262</v>
      </c>
    </row>
    <row r="17192" spans="40:42" x14ac:dyDescent="0.3">
      <c r="AN17192">
        <v>17188</v>
      </c>
      <c r="AO17192" s="11">
        <v>19294.97</v>
      </c>
      <c r="AP17192" s="9">
        <v>3.3868768748360267</v>
      </c>
    </row>
    <row r="17193" spans="40:42" x14ac:dyDescent="0.3">
      <c r="AN17193">
        <v>17189</v>
      </c>
      <c r="AO17193" s="11">
        <v>26537.46</v>
      </c>
      <c r="AP17193" s="9">
        <v>3.2170009826868027</v>
      </c>
    </row>
    <row r="17194" spans="40:42" x14ac:dyDescent="0.3">
      <c r="AN17194">
        <v>17190</v>
      </c>
      <c r="AO17194" s="11">
        <v>34265.550000000003</v>
      </c>
      <c r="AP17194" s="9">
        <v>4.2333824635593063</v>
      </c>
    </row>
    <row r="17195" spans="40:42" x14ac:dyDescent="0.3">
      <c r="AN17195">
        <v>17191</v>
      </c>
      <c r="AO17195" s="11">
        <v>17091.11</v>
      </c>
      <c r="AP17195" s="9">
        <v>3.3231512059901815</v>
      </c>
    </row>
    <row r="17196" spans="40:42" x14ac:dyDescent="0.3">
      <c r="AN17196">
        <v>17192</v>
      </c>
      <c r="AO17196" s="11">
        <v>23902.21</v>
      </c>
      <c r="AP17196" s="9">
        <v>3.7464065072416775</v>
      </c>
    </row>
    <row r="17197" spans="40:42" x14ac:dyDescent="0.3">
      <c r="AN17197">
        <v>17193</v>
      </c>
      <c r="AO17197" s="11">
        <v>20735.28</v>
      </c>
      <c r="AP17197" s="9">
        <v>3.4578659640290965</v>
      </c>
    </row>
    <row r="17198" spans="40:42" x14ac:dyDescent="0.3">
      <c r="AN17198">
        <v>17194</v>
      </c>
      <c r="AO17198" s="11">
        <v>27549.62</v>
      </c>
      <c r="AP17198" s="9">
        <v>3.0083821942106668</v>
      </c>
    </row>
    <row r="17199" spans="40:42" x14ac:dyDescent="0.3">
      <c r="AN17199">
        <v>17195</v>
      </c>
      <c r="AO17199" s="11">
        <v>26301.63</v>
      </c>
      <c r="AP17199" s="9">
        <v>2.7670223594180299</v>
      </c>
    </row>
    <row r="17200" spans="40:42" x14ac:dyDescent="0.3">
      <c r="AN17200">
        <v>17196</v>
      </c>
      <c r="AO17200" s="11">
        <v>26639.43</v>
      </c>
      <c r="AP17200" s="9">
        <v>2.8531652905376883</v>
      </c>
    </row>
    <row r="17201" spans="40:42" x14ac:dyDescent="0.3">
      <c r="AN17201">
        <v>17197</v>
      </c>
      <c r="AO17201" s="11">
        <v>32777.85</v>
      </c>
      <c r="AP17201" s="9">
        <v>3.7433868878307153</v>
      </c>
    </row>
    <row r="17202" spans="40:42" x14ac:dyDescent="0.3">
      <c r="AN17202">
        <v>17198</v>
      </c>
      <c r="AO17202" s="11">
        <v>24668.69</v>
      </c>
      <c r="AP17202" s="9">
        <v>3.4715004491295409</v>
      </c>
    </row>
    <row r="17203" spans="40:42" x14ac:dyDescent="0.3">
      <c r="AN17203">
        <v>17199</v>
      </c>
      <c r="AO17203" s="11">
        <v>30471.439999999999</v>
      </c>
      <c r="AP17203" s="9">
        <v>3.2082659101097044</v>
      </c>
    </row>
    <row r="17204" spans="40:42" x14ac:dyDescent="0.3">
      <c r="AN17204">
        <v>17200</v>
      </c>
      <c r="AO17204" s="11">
        <v>25557.89</v>
      </c>
      <c r="AP17204" s="9">
        <v>3.5093120069741177</v>
      </c>
    </row>
    <row r="17205" spans="40:42" x14ac:dyDescent="0.3">
      <c r="AN17205">
        <v>17201</v>
      </c>
      <c r="AO17205" s="11">
        <v>26700.28</v>
      </c>
      <c r="AP17205" s="9">
        <v>4.3464696423569551</v>
      </c>
    </row>
    <row r="17206" spans="40:42" x14ac:dyDescent="0.3">
      <c r="AN17206">
        <v>17202</v>
      </c>
      <c r="AO17206" s="11">
        <v>37077.75</v>
      </c>
      <c r="AP17206" s="9">
        <v>3.6840604356344988</v>
      </c>
    </row>
    <row r="17207" spans="40:42" x14ac:dyDescent="0.3">
      <c r="AN17207">
        <v>17203</v>
      </c>
      <c r="AO17207" s="11">
        <v>29251.27</v>
      </c>
      <c r="AP17207" s="9">
        <v>3.7747281758833333</v>
      </c>
    </row>
    <row r="17208" spans="40:42" x14ac:dyDescent="0.3">
      <c r="AN17208">
        <v>17204</v>
      </c>
      <c r="AO17208" s="11">
        <v>37447.19</v>
      </c>
      <c r="AP17208" s="9">
        <v>3.8215744178049191</v>
      </c>
    </row>
    <row r="17209" spans="40:42" x14ac:dyDescent="0.3">
      <c r="AN17209">
        <v>17205</v>
      </c>
      <c r="AO17209" s="11">
        <v>29602.14</v>
      </c>
      <c r="AP17209" s="9">
        <v>3.8288253228907125</v>
      </c>
    </row>
    <row r="17210" spans="40:42" x14ac:dyDescent="0.3">
      <c r="AN17210">
        <v>17206</v>
      </c>
      <c r="AO17210" s="11">
        <v>51925.75</v>
      </c>
      <c r="AP17210" s="9">
        <v>3.6005937204375522</v>
      </c>
    </row>
    <row r="17211" spans="40:42" x14ac:dyDescent="0.3">
      <c r="AN17211">
        <v>17207</v>
      </c>
      <c r="AO17211" s="11">
        <v>21617.42</v>
      </c>
      <c r="AP17211" s="9">
        <v>3.6966847886443324</v>
      </c>
    </row>
    <row r="17212" spans="40:42" x14ac:dyDescent="0.3">
      <c r="AN17212">
        <v>17208</v>
      </c>
      <c r="AO17212" s="11">
        <v>31242.53</v>
      </c>
      <c r="AP17212" s="9">
        <v>3.2701663043123981</v>
      </c>
    </row>
    <row r="17213" spans="40:42" x14ac:dyDescent="0.3">
      <c r="AN17213">
        <v>17209</v>
      </c>
      <c r="AO17213" s="11">
        <v>28757.05</v>
      </c>
      <c r="AP17213" s="9">
        <v>3.8387180332899438</v>
      </c>
    </row>
    <row r="17214" spans="40:42" x14ac:dyDescent="0.3">
      <c r="AN17214">
        <v>17210</v>
      </c>
      <c r="AO17214" s="11">
        <v>31034.03</v>
      </c>
      <c r="AP17214" s="9">
        <v>4.0538372460227823</v>
      </c>
    </row>
    <row r="17215" spans="40:42" x14ac:dyDescent="0.3">
      <c r="AN17215">
        <v>17211</v>
      </c>
      <c r="AO17215" s="11">
        <v>25460.02</v>
      </c>
      <c r="AP17215" s="9">
        <v>2.7745079508132084</v>
      </c>
    </row>
    <row r="17216" spans="40:42" x14ac:dyDescent="0.3">
      <c r="AN17216">
        <v>17212</v>
      </c>
      <c r="AO17216" s="11">
        <v>34381.47</v>
      </c>
      <c r="AP17216" s="9">
        <v>3.7985268190339387</v>
      </c>
    </row>
    <row r="17217" spans="40:42" x14ac:dyDescent="0.3">
      <c r="AN17217">
        <v>17213</v>
      </c>
      <c r="AO17217" s="11">
        <v>15913.54</v>
      </c>
      <c r="AP17217" s="9">
        <v>3.2364550876733915</v>
      </c>
    </row>
    <row r="17218" spans="40:42" x14ac:dyDescent="0.3">
      <c r="AN17218">
        <v>17214</v>
      </c>
      <c r="AO17218" s="11">
        <v>19872.05</v>
      </c>
      <c r="AP17218" s="9">
        <v>2.7012295936124144</v>
      </c>
    </row>
    <row r="17219" spans="40:42" x14ac:dyDescent="0.3">
      <c r="AN17219">
        <v>17215</v>
      </c>
      <c r="AO17219" s="11">
        <v>19927.32</v>
      </c>
      <c r="AP17219" s="9">
        <v>3.1621948165817408</v>
      </c>
    </row>
    <row r="17220" spans="40:42" x14ac:dyDescent="0.3">
      <c r="AN17220">
        <v>17216</v>
      </c>
      <c r="AO17220" s="11">
        <v>30415.86</v>
      </c>
      <c r="AP17220" s="9">
        <v>3.2301095002346552</v>
      </c>
    </row>
    <row r="17221" spans="40:42" x14ac:dyDescent="0.3">
      <c r="AN17221">
        <v>17217</v>
      </c>
      <c r="AO17221" s="11">
        <v>33227.32</v>
      </c>
      <c r="AP17221" s="9">
        <v>4.27875790709209</v>
      </c>
    </row>
    <row r="17222" spans="40:42" x14ac:dyDescent="0.3">
      <c r="AN17222">
        <v>17218</v>
      </c>
      <c r="AO17222" s="11">
        <v>31811.61</v>
      </c>
      <c r="AP17222" s="9">
        <v>2.8684689952563978</v>
      </c>
    </row>
    <row r="17223" spans="40:42" x14ac:dyDescent="0.3">
      <c r="AN17223">
        <v>17219</v>
      </c>
      <c r="AO17223" s="11">
        <v>21313.46</v>
      </c>
      <c r="AP17223" s="9">
        <v>3.335734837559083</v>
      </c>
    </row>
    <row r="17224" spans="40:42" x14ac:dyDescent="0.3">
      <c r="AN17224">
        <v>17220</v>
      </c>
      <c r="AO17224" s="11">
        <v>28528.19</v>
      </c>
      <c r="AP17224" s="9">
        <v>3.8981842183778732</v>
      </c>
    </row>
    <row r="17225" spans="40:42" x14ac:dyDescent="0.3">
      <c r="AN17225">
        <v>17221</v>
      </c>
      <c r="AO17225" s="11">
        <v>34988.67</v>
      </c>
      <c r="AP17225" s="9">
        <v>3.7498306767847853</v>
      </c>
    </row>
    <row r="17226" spans="40:42" x14ac:dyDescent="0.3">
      <c r="AN17226">
        <v>17222</v>
      </c>
      <c r="AO17226" s="11">
        <v>25793.49</v>
      </c>
      <c r="AP17226" s="9">
        <v>3.1634626204979401</v>
      </c>
    </row>
    <row r="17227" spans="40:42" x14ac:dyDescent="0.3">
      <c r="AN17227">
        <v>17223</v>
      </c>
      <c r="AO17227" s="11">
        <v>23494.19</v>
      </c>
      <c r="AP17227" s="9">
        <v>3.4097098580329339</v>
      </c>
    </row>
    <row r="17228" spans="40:42" x14ac:dyDescent="0.3">
      <c r="AN17228">
        <v>17224</v>
      </c>
      <c r="AO17228" s="11">
        <v>19933.02</v>
      </c>
      <c r="AP17228" s="9">
        <v>2.9278267356837899</v>
      </c>
    </row>
    <row r="17229" spans="40:42" x14ac:dyDescent="0.3">
      <c r="AN17229">
        <v>17225</v>
      </c>
      <c r="AO17229" s="11">
        <v>34449.08</v>
      </c>
      <c r="AP17229" s="9">
        <v>3.4163776847527725</v>
      </c>
    </row>
    <row r="17230" spans="40:42" x14ac:dyDescent="0.3">
      <c r="AN17230">
        <v>17226</v>
      </c>
      <c r="AO17230" s="11">
        <v>23736.14</v>
      </c>
      <c r="AP17230" s="9">
        <v>2.991012991280197</v>
      </c>
    </row>
    <row r="17231" spans="40:42" x14ac:dyDescent="0.3">
      <c r="AN17231">
        <v>17227</v>
      </c>
      <c r="AO17231" s="11">
        <v>22774.16</v>
      </c>
      <c r="AP17231" s="9">
        <v>2.7915660470504062</v>
      </c>
    </row>
    <row r="17232" spans="40:42" x14ac:dyDescent="0.3">
      <c r="AN17232">
        <v>17228</v>
      </c>
      <c r="AO17232" s="11">
        <v>25638.26</v>
      </c>
      <c r="AP17232" s="9">
        <v>3.3661018267555476</v>
      </c>
    </row>
    <row r="17233" spans="40:42" x14ac:dyDescent="0.3">
      <c r="AN17233">
        <v>17229</v>
      </c>
      <c r="AO17233" s="11">
        <v>34506.949999999997</v>
      </c>
      <c r="AP17233" s="9">
        <v>4.1332355667816616</v>
      </c>
    </row>
    <row r="17234" spans="40:42" x14ac:dyDescent="0.3">
      <c r="AN17234">
        <v>17230</v>
      </c>
      <c r="AO17234" s="11">
        <v>24864.240000000002</v>
      </c>
      <c r="AP17234" s="9">
        <v>3.8376189355287322</v>
      </c>
    </row>
    <row r="17235" spans="40:42" x14ac:dyDescent="0.3">
      <c r="AN17235">
        <v>17231</v>
      </c>
      <c r="AO17235" s="11">
        <v>27657.52</v>
      </c>
      <c r="AP17235" s="9">
        <v>3.1115516487331645</v>
      </c>
    </row>
    <row r="17236" spans="40:42" x14ac:dyDescent="0.3">
      <c r="AN17236">
        <v>17232</v>
      </c>
      <c r="AO17236" s="11">
        <v>34394.86</v>
      </c>
      <c r="AP17236" s="9">
        <v>3.6092266033493612</v>
      </c>
    </row>
    <row r="17237" spans="40:42" x14ac:dyDescent="0.3">
      <c r="AN17237">
        <v>17233</v>
      </c>
      <c r="AO17237" s="11">
        <v>29307.31</v>
      </c>
      <c r="AP17237" s="9">
        <v>3.4485365586634442</v>
      </c>
    </row>
    <row r="17238" spans="40:42" x14ac:dyDescent="0.3">
      <c r="AN17238">
        <v>17234</v>
      </c>
      <c r="AO17238" s="11">
        <v>33955.879999999997</v>
      </c>
      <c r="AP17238" s="9">
        <v>3.8540141931668135</v>
      </c>
    </row>
    <row r="17239" spans="40:42" x14ac:dyDescent="0.3">
      <c r="AN17239">
        <v>17235</v>
      </c>
      <c r="AO17239" s="11">
        <v>22647.77</v>
      </c>
      <c r="AP17239" s="9">
        <v>3.9853828755841869</v>
      </c>
    </row>
    <row r="17240" spans="40:42" x14ac:dyDescent="0.3">
      <c r="AN17240">
        <v>17236</v>
      </c>
      <c r="AO17240" s="11">
        <v>23917.54</v>
      </c>
      <c r="AP17240" s="9">
        <v>3.3103493319606563</v>
      </c>
    </row>
    <row r="17241" spans="40:42" x14ac:dyDescent="0.3">
      <c r="AN17241">
        <v>17237</v>
      </c>
      <c r="AO17241" s="11">
        <v>28410.68</v>
      </c>
      <c r="AP17241" s="9">
        <v>3.4576449958432072</v>
      </c>
    </row>
    <row r="17242" spans="40:42" x14ac:dyDescent="0.3">
      <c r="AN17242">
        <v>17238</v>
      </c>
      <c r="AO17242" s="11">
        <v>25235.08</v>
      </c>
      <c r="AP17242" s="9">
        <v>3.5142068350937565</v>
      </c>
    </row>
    <row r="17243" spans="40:42" x14ac:dyDescent="0.3">
      <c r="AN17243">
        <v>17239</v>
      </c>
      <c r="AO17243" s="11">
        <v>16655.72</v>
      </c>
      <c r="AP17243" s="9">
        <v>3.358376198309307</v>
      </c>
    </row>
    <row r="17244" spans="40:42" x14ac:dyDescent="0.3">
      <c r="AN17244">
        <v>17240</v>
      </c>
      <c r="AO17244" s="11">
        <v>22487.41</v>
      </c>
      <c r="AP17244" s="9">
        <v>3.13541834386317</v>
      </c>
    </row>
    <row r="17245" spans="40:42" x14ac:dyDescent="0.3">
      <c r="AN17245">
        <v>17241</v>
      </c>
      <c r="AO17245" s="11">
        <v>33930.07</v>
      </c>
      <c r="AP17245" s="9">
        <v>3.0772944148301353</v>
      </c>
    </row>
    <row r="17246" spans="40:42" x14ac:dyDescent="0.3">
      <c r="AN17246">
        <v>17242</v>
      </c>
      <c r="AO17246" s="11">
        <v>29755.45</v>
      </c>
      <c r="AP17246" s="9">
        <v>3.4760272632240232</v>
      </c>
    </row>
    <row r="17247" spans="40:42" x14ac:dyDescent="0.3">
      <c r="AN17247">
        <v>17243</v>
      </c>
      <c r="AO17247" s="11">
        <v>22824.51</v>
      </c>
      <c r="AP17247" s="9">
        <v>3.1120286845088874</v>
      </c>
    </row>
    <row r="17248" spans="40:42" x14ac:dyDescent="0.3">
      <c r="AN17248">
        <v>17244</v>
      </c>
      <c r="AO17248" s="11">
        <v>19478.13</v>
      </c>
      <c r="AP17248" s="9">
        <v>3.6045768279929211</v>
      </c>
    </row>
    <row r="17249" spans="40:42" x14ac:dyDescent="0.3">
      <c r="AN17249">
        <v>17245</v>
      </c>
      <c r="AO17249" s="11">
        <v>32094.11</v>
      </c>
      <c r="AP17249" s="9">
        <v>3.3359979361550738</v>
      </c>
    </row>
    <row r="17250" spans="40:42" x14ac:dyDescent="0.3">
      <c r="AN17250">
        <v>17246</v>
      </c>
      <c r="AO17250" s="11">
        <v>23502.12</v>
      </c>
      <c r="AP17250" s="9">
        <v>2.9248551678042083</v>
      </c>
    </row>
    <row r="17251" spans="40:42" x14ac:dyDescent="0.3">
      <c r="AN17251">
        <v>17247</v>
      </c>
      <c r="AO17251" s="11">
        <v>34082.660000000003</v>
      </c>
      <c r="AP17251" s="9">
        <v>3.1477973184329433</v>
      </c>
    </row>
    <row r="17252" spans="40:42" x14ac:dyDescent="0.3">
      <c r="AN17252">
        <v>17248</v>
      </c>
      <c r="AO17252" s="11">
        <v>34235.980000000003</v>
      </c>
      <c r="AP17252" s="9">
        <v>3.4106670006917552</v>
      </c>
    </row>
    <row r="17253" spans="40:42" x14ac:dyDescent="0.3">
      <c r="AN17253">
        <v>17249</v>
      </c>
      <c r="AO17253" s="11">
        <v>17760.7</v>
      </c>
      <c r="AP17253" s="9">
        <v>2.7929878938739279</v>
      </c>
    </row>
    <row r="17254" spans="40:42" x14ac:dyDescent="0.3">
      <c r="AN17254">
        <v>17250</v>
      </c>
      <c r="AO17254" s="11">
        <v>17731.34</v>
      </c>
      <c r="AP17254" s="9">
        <v>3.9977122952178017</v>
      </c>
    </row>
    <row r="17255" spans="40:42" x14ac:dyDescent="0.3">
      <c r="AN17255">
        <v>17251</v>
      </c>
      <c r="AO17255" s="11">
        <v>26028.99</v>
      </c>
      <c r="AP17255" s="9">
        <v>3.7761076323790896</v>
      </c>
    </row>
    <row r="17256" spans="40:42" x14ac:dyDescent="0.3">
      <c r="AN17256">
        <v>17252</v>
      </c>
      <c r="AO17256" s="11">
        <v>32820.74</v>
      </c>
      <c r="AP17256" s="9">
        <v>3.7334190119867543</v>
      </c>
    </row>
    <row r="17257" spans="40:42" x14ac:dyDescent="0.3">
      <c r="AN17257">
        <v>17253</v>
      </c>
      <c r="AO17257" s="11">
        <v>47742.99</v>
      </c>
      <c r="AP17257" s="9">
        <v>3.7378586130667126</v>
      </c>
    </row>
    <row r="17258" spans="40:42" x14ac:dyDescent="0.3">
      <c r="AN17258">
        <v>17254</v>
      </c>
      <c r="AO17258" s="11">
        <v>26419.51</v>
      </c>
      <c r="AP17258" s="9">
        <v>3.4859207947971913</v>
      </c>
    </row>
    <row r="17259" spans="40:42" x14ac:dyDescent="0.3">
      <c r="AN17259">
        <v>17255</v>
      </c>
      <c r="AO17259" s="11">
        <v>30127.53</v>
      </c>
      <c r="AP17259" s="9">
        <v>3.229551694801176</v>
      </c>
    </row>
    <row r="17260" spans="40:42" x14ac:dyDescent="0.3">
      <c r="AN17260">
        <v>17256</v>
      </c>
      <c r="AO17260" s="11">
        <v>22394.560000000001</v>
      </c>
      <c r="AP17260" s="9">
        <v>2.6731271810783035</v>
      </c>
    </row>
    <row r="17261" spans="40:42" x14ac:dyDescent="0.3">
      <c r="AN17261">
        <v>17257</v>
      </c>
      <c r="AO17261" s="11">
        <v>40634.120000000003</v>
      </c>
      <c r="AP17261" s="9">
        <v>3.9396432985969674</v>
      </c>
    </row>
    <row r="17262" spans="40:42" x14ac:dyDescent="0.3">
      <c r="AN17262">
        <v>17258</v>
      </c>
      <c r="AO17262" s="11">
        <v>45437.599999999999</v>
      </c>
      <c r="AP17262" s="9">
        <v>3.3126816985722063</v>
      </c>
    </row>
    <row r="17263" spans="40:42" x14ac:dyDescent="0.3">
      <c r="AN17263">
        <v>17259</v>
      </c>
      <c r="AO17263" s="11">
        <v>28995.93</v>
      </c>
      <c r="AP17263" s="9">
        <v>3.5984846618963386</v>
      </c>
    </row>
    <row r="17264" spans="40:42" x14ac:dyDescent="0.3">
      <c r="AN17264">
        <v>17260</v>
      </c>
      <c r="AO17264" s="11">
        <v>43262.92</v>
      </c>
      <c r="AP17264" s="9">
        <v>4.4333729124717118</v>
      </c>
    </row>
    <row r="17265" spans="40:42" x14ac:dyDescent="0.3">
      <c r="AN17265">
        <v>17261</v>
      </c>
      <c r="AO17265" s="11">
        <v>26026.59</v>
      </c>
      <c r="AP17265" s="9">
        <v>3.6917278010619849</v>
      </c>
    </row>
    <row r="17266" spans="40:42" x14ac:dyDescent="0.3">
      <c r="AN17266">
        <v>17262</v>
      </c>
      <c r="AO17266" s="11">
        <v>30008.41</v>
      </c>
      <c r="AP17266" s="9">
        <v>3.4081127378833451</v>
      </c>
    </row>
    <row r="17267" spans="40:42" x14ac:dyDescent="0.3">
      <c r="AN17267">
        <v>17263</v>
      </c>
      <c r="AO17267" s="11">
        <v>36028.79</v>
      </c>
      <c r="AP17267" s="9">
        <v>3.9127328186637897</v>
      </c>
    </row>
    <row r="17268" spans="40:42" x14ac:dyDescent="0.3">
      <c r="AN17268">
        <v>17264</v>
      </c>
      <c r="AO17268" s="11">
        <v>31112.98</v>
      </c>
      <c r="AP17268" s="9">
        <v>3.1528692405756775</v>
      </c>
    </row>
    <row r="17269" spans="40:42" x14ac:dyDescent="0.3">
      <c r="AN17269">
        <v>17265</v>
      </c>
      <c r="AO17269" s="11">
        <v>32603.39</v>
      </c>
      <c r="AP17269" s="9">
        <v>3.2332461469674341</v>
      </c>
    </row>
    <row r="17270" spans="40:42" x14ac:dyDescent="0.3">
      <c r="AN17270">
        <v>17266</v>
      </c>
      <c r="AO17270" s="11">
        <v>20071.990000000002</v>
      </c>
      <c r="AP17270" s="9">
        <v>3.4111033289882524</v>
      </c>
    </row>
    <row r="17271" spans="40:42" x14ac:dyDescent="0.3">
      <c r="AN17271">
        <v>17267</v>
      </c>
      <c r="AO17271" s="11">
        <v>39645.43</v>
      </c>
      <c r="AP17271" s="9">
        <v>3.4333880533642245</v>
      </c>
    </row>
    <row r="17272" spans="40:42" x14ac:dyDescent="0.3">
      <c r="AN17272">
        <v>17268</v>
      </c>
      <c r="AO17272" s="11">
        <v>28101.23</v>
      </c>
      <c r="AP17272" s="9">
        <v>3.4007102456871667</v>
      </c>
    </row>
    <row r="17273" spans="40:42" x14ac:dyDescent="0.3">
      <c r="AN17273">
        <v>17269</v>
      </c>
      <c r="AO17273" s="11">
        <v>31227.41</v>
      </c>
      <c r="AP17273" s="9">
        <v>3.5337808408605356</v>
      </c>
    </row>
    <row r="17274" spans="40:42" x14ac:dyDescent="0.3">
      <c r="AN17274">
        <v>17270</v>
      </c>
      <c r="AO17274" s="11">
        <v>31306.37</v>
      </c>
      <c r="AP17274" s="9">
        <v>3.6744068267490309</v>
      </c>
    </row>
    <row r="17275" spans="40:42" x14ac:dyDescent="0.3">
      <c r="AN17275">
        <v>17271</v>
      </c>
      <c r="AO17275" s="11">
        <v>28801.17</v>
      </c>
      <c r="AP17275" s="9">
        <v>3.1767162745484527</v>
      </c>
    </row>
    <row r="17276" spans="40:42" x14ac:dyDescent="0.3">
      <c r="AN17276">
        <v>17272</v>
      </c>
      <c r="AO17276" s="11">
        <v>27357.1</v>
      </c>
      <c r="AP17276" s="9">
        <v>3.1288208059578539</v>
      </c>
    </row>
    <row r="17277" spans="40:42" x14ac:dyDescent="0.3">
      <c r="AN17277">
        <v>17273</v>
      </c>
      <c r="AO17277" s="11">
        <v>30910.54</v>
      </c>
      <c r="AP17277" s="9">
        <v>3.4399893672827249</v>
      </c>
    </row>
    <row r="17278" spans="40:42" x14ac:dyDescent="0.3">
      <c r="AN17278">
        <v>17274</v>
      </c>
      <c r="AO17278" s="11">
        <v>36654.160000000003</v>
      </c>
      <c r="AP17278" s="9">
        <v>3.6079371252439789</v>
      </c>
    </row>
    <row r="17279" spans="40:42" x14ac:dyDescent="0.3">
      <c r="AN17279">
        <v>17275</v>
      </c>
      <c r="AO17279" s="11">
        <v>22949.61</v>
      </c>
      <c r="AP17279" s="9">
        <v>2.8289887081298373</v>
      </c>
    </row>
    <row r="17280" spans="40:42" x14ac:dyDescent="0.3">
      <c r="AN17280">
        <v>17276</v>
      </c>
      <c r="AO17280" s="11">
        <v>25767.23</v>
      </c>
      <c r="AP17280" s="9">
        <v>2.9248035889737296</v>
      </c>
    </row>
    <row r="17281" spans="40:42" x14ac:dyDescent="0.3">
      <c r="AN17281">
        <v>17277</v>
      </c>
      <c r="AO17281" s="11">
        <v>19006.59</v>
      </c>
      <c r="AP17281" s="9">
        <v>2.7480895415305073</v>
      </c>
    </row>
    <row r="17282" spans="40:42" x14ac:dyDescent="0.3">
      <c r="AN17282">
        <v>17278</v>
      </c>
      <c r="AO17282" s="11">
        <v>32460.33</v>
      </c>
      <c r="AP17282" s="9">
        <v>3.5364942764497305</v>
      </c>
    </row>
    <row r="17283" spans="40:42" x14ac:dyDescent="0.3">
      <c r="AN17283">
        <v>17279</v>
      </c>
      <c r="AO17283" s="11">
        <v>24240.53</v>
      </c>
      <c r="AP17283" s="9">
        <v>3.4052810729899154</v>
      </c>
    </row>
    <row r="17284" spans="40:42" x14ac:dyDescent="0.3">
      <c r="AN17284">
        <v>17280</v>
      </c>
      <c r="AO17284" s="11">
        <v>27629.23</v>
      </c>
      <c r="AP17284" s="9">
        <v>3.6318734433095137</v>
      </c>
    </row>
    <row r="17285" spans="40:42" x14ac:dyDescent="0.3">
      <c r="AN17285">
        <v>17281</v>
      </c>
      <c r="AO17285" s="11">
        <v>16468.09</v>
      </c>
      <c r="AP17285" s="9">
        <v>2.9212707809862377</v>
      </c>
    </row>
    <row r="17286" spans="40:42" x14ac:dyDescent="0.3">
      <c r="AN17286">
        <v>17282</v>
      </c>
      <c r="AO17286" s="11">
        <v>31025.11</v>
      </c>
      <c r="AP17286" s="9">
        <v>4.0339857727071529</v>
      </c>
    </row>
    <row r="17287" spans="40:42" x14ac:dyDescent="0.3">
      <c r="AN17287">
        <v>17283</v>
      </c>
      <c r="AO17287" s="11">
        <v>20031.3</v>
      </c>
      <c r="AP17287" s="9">
        <v>2.7573414005971042</v>
      </c>
    </row>
    <row r="17288" spans="40:42" x14ac:dyDescent="0.3">
      <c r="AN17288">
        <v>17284</v>
      </c>
      <c r="AO17288" s="11">
        <v>30406.54</v>
      </c>
      <c r="AP17288" s="9">
        <v>3.3462573763811969</v>
      </c>
    </row>
    <row r="17289" spans="40:42" x14ac:dyDescent="0.3">
      <c r="AN17289">
        <v>17285</v>
      </c>
      <c r="AO17289" s="11">
        <v>20796.41</v>
      </c>
      <c r="AP17289" s="9">
        <v>2.6868789763996253</v>
      </c>
    </row>
    <row r="17290" spans="40:42" x14ac:dyDescent="0.3">
      <c r="AN17290">
        <v>17286</v>
      </c>
      <c r="AO17290" s="11">
        <v>31061.39</v>
      </c>
      <c r="AP17290" s="9">
        <v>3.3633754102548759</v>
      </c>
    </row>
    <row r="17291" spans="40:42" x14ac:dyDescent="0.3">
      <c r="AN17291">
        <v>17287</v>
      </c>
      <c r="AO17291" s="11">
        <v>28808.26</v>
      </c>
      <c r="AP17291" s="9">
        <v>3.6026196418453544</v>
      </c>
    </row>
    <row r="17292" spans="40:42" x14ac:dyDescent="0.3">
      <c r="AN17292">
        <v>17288</v>
      </c>
      <c r="AO17292" s="11">
        <v>26670.06</v>
      </c>
      <c r="AP17292" s="9">
        <v>3.2693648156913167</v>
      </c>
    </row>
    <row r="17293" spans="40:42" x14ac:dyDescent="0.3">
      <c r="AN17293">
        <v>17289</v>
      </c>
      <c r="AO17293" s="11">
        <v>44157.760000000002</v>
      </c>
      <c r="AP17293" s="9">
        <v>4.0207011382790796</v>
      </c>
    </row>
    <row r="17294" spans="40:42" x14ac:dyDescent="0.3">
      <c r="AN17294">
        <v>17290</v>
      </c>
      <c r="AO17294" s="11">
        <v>25670.15</v>
      </c>
      <c r="AP17294" s="9">
        <v>3.136319725110063</v>
      </c>
    </row>
    <row r="17295" spans="40:42" x14ac:dyDescent="0.3">
      <c r="AN17295">
        <v>17291</v>
      </c>
      <c r="AO17295" s="11">
        <v>31400.400000000001</v>
      </c>
      <c r="AP17295" s="9">
        <v>2.9953794480203162</v>
      </c>
    </row>
    <row r="17296" spans="40:42" x14ac:dyDescent="0.3">
      <c r="AN17296">
        <v>17292</v>
      </c>
      <c r="AO17296" s="11">
        <v>24108.83</v>
      </c>
      <c r="AP17296" s="9">
        <v>3.1677272503282383</v>
      </c>
    </row>
    <row r="17297" spans="40:42" x14ac:dyDescent="0.3">
      <c r="AN17297">
        <v>17293</v>
      </c>
      <c r="AO17297" s="11">
        <v>18670.59</v>
      </c>
      <c r="AP17297" s="9">
        <v>3.3772740006765694</v>
      </c>
    </row>
    <row r="17298" spans="40:42" x14ac:dyDescent="0.3">
      <c r="AN17298">
        <v>17294</v>
      </c>
      <c r="AO17298" s="11">
        <v>34761.980000000003</v>
      </c>
      <c r="AP17298" s="9">
        <v>3.4666073029797362</v>
      </c>
    </row>
    <row r="17299" spans="40:42" x14ac:dyDescent="0.3">
      <c r="AN17299">
        <v>17295</v>
      </c>
      <c r="AO17299" s="11">
        <v>21293.01</v>
      </c>
      <c r="AP17299" s="9">
        <v>3.2712158537070919</v>
      </c>
    </row>
    <row r="17300" spans="40:42" x14ac:dyDescent="0.3">
      <c r="AN17300">
        <v>17296</v>
      </c>
      <c r="AO17300" s="11">
        <v>32342.28</v>
      </c>
      <c r="AP17300" s="9">
        <v>3.7332967798078127</v>
      </c>
    </row>
    <row r="17301" spans="40:42" x14ac:dyDescent="0.3">
      <c r="AN17301">
        <v>17297</v>
      </c>
      <c r="AO17301" s="11">
        <v>24058.87</v>
      </c>
      <c r="AP17301" s="9">
        <v>4.088018596980433</v>
      </c>
    </row>
    <row r="17302" spans="40:42" x14ac:dyDescent="0.3">
      <c r="AN17302">
        <v>17298</v>
      </c>
      <c r="AO17302" s="11">
        <v>33164.769999999997</v>
      </c>
      <c r="AP17302" s="9">
        <v>3.681374486379422</v>
      </c>
    </row>
    <row r="17303" spans="40:42" x14ac:dyDescent="0.3">
      <c r="AN17303">
        <v>17299</v>
      </c>
      <c r="AO17303" s="11">
        <v>21711.66</v>
      </c>
      <c r="AP17303" s="9">
        <v>3.5532690259662432</v>
      </c>
    </row>
    <row r="17304" spans="40:42" x14ac:dyDescent="0.3">
      <c r="AN17304">
        <v>17300</v>
      </c>
      <c r="AO17304" s="11">
        <v>24304.17</v>
      </c>
      <c r="AP17304" s="9">
        <v>4.0478858699987317</v>
      </c>
    </row>
    <row r="17305" spans="40:42" x14ac:dyDescent="0.3">
      <c r="AN17305">
        <v>17301</v>
      </c>
      <c r="AO17305" s="11">
        <v>32762.09</v>
      </c>
      <c r="AP17305" s="9">
        <v>3.6576793780604624</v>
      </c>
    </row>
    <row r="17306" spans="40:42" x14ac:dyDescent="0.3">
      <c r="AN17306">
        <v>17302</v>
      </c>
      <c r="AO17306" s="11">
        <v>27438.66</v>
      </c>
      <c r="AP17306" s="9">
        <v>4.3246472713553015</v>
      </c>
    </row>
    <row r="17307" spans="40:42" x14ac:dyDescent="0.3">
      <c r="AN17307">
        <v>17303</v>
      </c>
      <c r="AO17307" s="11">
        <v>39240.589999999997</v>
      </c>
      <c r="AP17307" s="9">
        <v>3.4653716979228948</v>
      </c>
    </row>
    <row r="17308" spans="40:42" x14ac:dyDescent="0.3">
      <c r="AN17308">
        <v>17304</v>
      </c>
      <c r="AO17308" s="11">
        <v>22269.94</v>
      </c>
      <c r="AP17308" s="9">
        <v>3.3615689667783877</v>
      </c>
    </row>
    <row r="17309" spans="40:42" x14ac:dyDescent="0.3">
      <c r="AN17309">
        <v>17305</v>
      </c>
      <c r="AO17309" s="11">
        <v>26996.75</v>
      </c>
      <c r="AP17309" s="9">
        <v>3.2456438429986405</v>
      </c>
    </row>
    <row r="17310" spans="40:42" x14ac:dyDescent="0.3">
      <c r="AN17310">
        <v>17306</v>
      </c>
      <c r="AO17310" s="11">
        <v>22470.400000000001</v>
      </c>
      <c r="AP17310" s="9">
        <v>3.169903379840759</v>
      </c>
    </row>
    <row r="17311" spans="40:42" x14ac:dyDescent="0.3">
      <c r="AN17311">
        <v>17307</v>
      </c>
      <c r="AO17311" s="11">
        <v>20961.96</v>
      </c>
      <c r="AP17311" s="9">
        <v>3.2433973246565158</v>
      </c>
    </row>
    <row r="17312" spans="40:42" x14ac:dyDescent="0.3">
      <c r="AN17312">
        <v>17308</v>
      </c>
      <c r="AO17312" s="11">
        <v>42310.98</v>
      </c>
      <c r="AP17312" s="9">
        <v>3.598304503502562</v>
      </c>
    </row>
    <row r="17313" spans="40:42" x14ac:dyDescent="0.3">
      <c r="AN17313">
        <v>17309</v>
      </c>
      <c r="AO17313" s="11">
        <v>22266.6</v>
      </c>
      <c r="AP17313" s="9">
        <v>3.2398245430856605</v>
      </c>
    </row>
    <row r="17314" spans="40:42" x14ac:dyDescent="0.3">
      <c r="AN17314">
        <v>17310</v>
      </c>
      <c r="AO17314" s="11">
        <v>23386.99</v>
      </c>
      <c r="AP17314" s="9">
        <v>3.5949265369474008</v>
      </c>
    </row>
    <row r="17315" spans="40:42" x14ac:dyDescent="0.3">
      <c r="AN17315">
        <v>17311</v>
      </c>
      <c r="AO17315" s="11">
        <v>22624.11</v>
      </c>
      <c r="AP17315" s="9">
        <v>3.5156730071671811</v>
      </c>
    </row>
    <row r="17316" spans="40:42" x14ac:dyDescent="0.3">
      <c r="AN17316">
        <v>17312</v>
      </c>
      <c r="AO17316" s="11">
        <v>32512.71</v>
      </c>
      <c r="AP17316" s="9">
        <v>3.2597903098110481</v>
      </c>
    </row>
    <row r="17317" spans="40:42" x14ac:dyDescent="0.3">
      <c r="AN17317">
        <v>17313</v>
      </c>
      <c r="AO17317" s="11">
        <v>24940.02</v>
      </c>
      <c r="AP17317" s="9">
        <v>3.2419873314711114</v>
      </c>
    </row>
    <row r="17318" spans="40:42" x14ac:dyDescent="0.3">
      <c r="AN17318">
        <v>17314</v>
      </c>
      <c r="AO17318" s="11">
        <v>18702.8</v>
      </c>
      <c r="AP17318" s="9">
        <v>2.9218416340241276</v>
      </c>
    </row>
    <row r="17319" spans="40:42" x14ac:dyDescent="0.3">
      <c r="AN17319">
        <v>17315</v>
      </c>
      <c r="AO17319" s="11">
        <v>20652.63</v>
      </c>
      <c r="AP17319" s="9">
        <v>3.3043451244007338</v>
      </c>
    </row>
    <row r="17320" spans="40:42" x14ac:dyDescent="0.3">
      <c r="AN17320">
        <v>17316</v>
      </c>
      <c r="AO17320" s="11">
        <v>23011.58</v>
      </c>
      <c r="AP17320" s="9">
        <v>3.3268122581970361</v>
      </c>
    </row>
    <row r="17321" spans="40:42" x14ac:dyDescent="0.3">
      <c r="AN17321">
        <v>17317</v>
      </c>
      <c r="AO17321" s="11">
        <v>30686.74</v>
      </c>
      <c r="AP17321" s="9">
        <v>3.7688214595379188</v>
      </c>
    </row>
    <row r="17322" spans="40:42" x14ac:dyDescent="0.3">
      <c r="AN17322">
        <v>17318</v>
      </c>
      <c r="AO17322" s="11">
        <v>36194.81</v>
      </c>
      <c r="AP17322" s="9">
        <v>3.7994810949117368</v>
      </c>
    </row>
    <row r="17323" spans="40:42" x14ac:dyDescent="0.3">
      <c r="AN17323">
        <v>17319</v>
      </c>
      <c r="AO17323" s="11">
        <v>20162.189999999999</v>
      </c>
      <c r="AP17323" s="9">
        <v>3.1904160395797376</v>
      </c>
    </row>
    <row r="17324" spans="40:42" x14ac:dyDescent="0.3">
      <c r="AN17324">
        <v>17320</v>
      </c>
      <c r="AO17324" s="11">
        <v>30189.93</v>
      </c>
      <c r="AP17324" s="9">
        <v>3.0986668891931832</v>
      </c>
    </row>
    <row r="17325" spans="40:42" x14ac:dyDescent="0.3">
      <c r="AN17325">
        <v>17321</v>
      </c>
      <c r="AO17325" s="11">
        <v>27038.11</v>
      </c>
      <c r="AP17325" s="9">
        <v>3.4917739958244844</v>
      </c>
    </row>
    <row r="17326" spans="40:42" x14ac:dyDescent="0.3">
      <c r="AN17326">
        <v>17322</v>
      </c>
      <c r="AO17326" s="11">
        <v>24967.91</v>
      </c>
      <c r="AP17326" s="9">
        <v>3.4397403091435597</v>
      </c>
    </row>
    <row r="17327" spans="40:42" x14ac:dyDescent="0.3">
      <c r="AN17327">
        <v>17323</v>
      </c>
      <c r="AO17327" s="11">
        <v>30374.01</v>
      </c>
      <c r="AP17327" s="9">
        <v>3.2255160853653111</v>
      </c>
    </row>
    <row r="17328" spans="40:42" x14ac:dyDescent="0.3">
      <c r="AN17328">
        <v>17324</v>
      </c>
      <c r="AO17328" s="11">
        <v>28923.02</v>
      </c>
      <c r="AP17328" s="9">
        <v>3.4502928100319745</v>
      </c>
    </row>
    <row r="17329" spans="40:42" x14ac:dyDescent="0.3">
      <c r="AN17329">
        <v>17325</v>
      </c>
      <c r="AO17329" s="11">
        <v>38093.39</v>
      </c>
      <c r="AP17329" s="9">
        <v>3.3438656439563625</v>
      </c>
    </row>
    <row r="17330" spans="40:42" x14ac:dyDescent="0.3">
      <c r="AN17330">
        <v>17326</v>
      </c>
      <c r="AO17330" s="11">
        <v>23584.98</v>
      </c>
      <c r="AP17330" s="9">
        <v>3.0280146689566094</v>
      </c>
    </row>
    <row r="17331" spans="40:42" x14ac:dyDescent="0.3">
      <c r="AN17331">
        <v>17327</v>
      </c>
      <c r="AO17331" s="11">
        <v>29969.79</v>
      </c>
      <c r="AP17331" s="9">
        <v>3.8805865876892756</v>
      </c>
    </row>
    <row r="17332" spans="40:42" x14ac:dyDescent="0.3">
      <c r="AN17332">
        <v>17328</v>
      </c>
      <c r="AO17332" s="11">
        <v>16370.68</v>
      </c>
      <c r="AP17332" s="9">
        <v>3.043805057172567</v>
      </c>
    </row>
    <row r="17333" spans="40:42" x14ac:dyDescent="0.3">
      <c r="AN17333">
        <v>17329</v>
      </c>
      <c r="AO17333" s="11">
        <v>26315.61</v>
      </c>
      <c r="AP17333" s="9">
        <v>3.4058939890856443</v>
      </c>
    </row>
    <row r="17334" spans="40:42" x14ac:dyDescent="0.3">
      <c r="AN17334">
        <v>17330</v>
      </c>
      <c r="AO17334" s="11">
        <v>23631.91</v>
      </c>
      <c r="AP17334" s="9">
        <v>3.1114362576558676</v>
      </c>
    </row>
    <row r="17335" spans="40:42" x14ac:dyDescent="0.3">
      <c r="AN17335">
        <v>17331</v>
      </c>
      <c r="AO17335" s="11">
        <v>32892.620000000003</v>
      </c>
      <c r="AP17335" s="9">
        <v>3.4415266050509365</v>
      </c>
    </row>
    <row r="17336" spans="40:42" x14ac:dyDescent="0.3">
      <c r="AN17336">
        <v>17332</v>
      </c>
      <c r="AO17336" s="11">
        <v>25546.06</v>
      </c>
      <c r="AP17336" s="9">
        <v>2.8344579956979903</v>
      </c>
    </row>
    <row r="17337" spans="40:42" x14ac:dyDescent="0.3">
      <c r="AN17337">
        <v>17333</v>
      </c>
      <c r="AO17337" s="11">
        <v>23197.27</v>
      </c>
      <c r="AP17337" s="9">
        <v>3.3939162839424042</v>
      </c>
    </row>
    <row r="17338" spans="40:42" x14ac:dyDescent="0.3">
      <c r="AN17338">
        <v>17334</v>
      </c>
      <c r="AO17338" s="11">
        <v>31736.33</v>
      </c>
      <c r="AP17338" s="9">
        <v>3.3990765585713048</v>
      </c>
    </row>
    <row r="17339" spans="40:42" x14ac:dyDescent="0.3">
      <c r="AN17339">
        <v>17335</v>
      </c>
      <c r="AO17339" s="11">
        <v>26088.99</v>
      </c>
      <c r="AP17339" s="9">
        <v>3.086913455853431</v>
      </c>
    </row>
    <row r="17340" spans="40:42" x14ac:dyDescent="0.3">
      <c r="AN17340">
        <v>17336</v>
      </c>
      <c r="AO17340" s="11">
        <v>28635.32</v>
      </c>
      <c r="AP17340" s="9">
        <v>3.334006961539953</v>
      </c>
    </row>
    <row r="17341" spans="40:42" x14ac:dyDescent="0.3">
      <c r="AN17341">
        <v>17337</v>
      </c>
      <c r="AO17341" s="11">
        <v>26232.1</v>
      </c>
      <c r="AP17341" s="9">
        <v>3.1062803368421261</v>
      </c>
    </row>
    <row r="17342" spans="40:42" x14ac:dyDescent="0.3">
      <c r="AN17342">
        <v>17338</v>
      </c>
      <c r="AO17342" s="11">
        <v>21808.15</v>
      </c>
      <c r="AP17342" s="9">
        <v>3.4905380432834723</v>
      </c>
    </row>
    <row r="17343" spans="40:42" x14ac:dyDescent="0.3">
      <c r="AN17343">
        <v>17339</v>
      </c>
      <c r="AO17343" s="11">
        <v>17149.57</v>
      </c>
      <c r="AP17343" s="9">
        <v>2.9881091290595103</v>
      </c>
    </row>
    <row r="17344" spans="40:42" x14ac:dyDescent="0.3">
      <c r="AN17344">
        <v>17340</v>
      </c>
      <c r="AO17344" s="11">
        <v>21447.15</v>
      </c>
      <c r="AP17344" s="9">
        <v>2.7211415269210777</v>
      </c>
    </row>
    <row r="17345" spans="40:42" x14ac:dyDescent="0.3">
      <c r="AN17345">
        <v>17341</v>
      </c>
      <c r="AO17345" s="11">
        <v>45932.47</v>
      </c>
      <c r="AP17345" s="9">
        <v>4.8049490993506607</v>
      </c>
    </row>
    <row r="17346" spans="40:42" x14ac:dyDescent="0.3">
      <c r="AN17346">
        <v>17342</v>
      </c>
      <c r="AO17346" s="11">
        <v>40242.730000000003</v>
      </c>
      <c r="AP17346" s="9">
        <v>3.2823407699238012</v>
      </c>
    </row>
    <row r="17347" spans="40:42" x14ac:dyDescent="0.3">
      <c r="AN17347">
        <v>17343</v>
      </c>
      <c r="AO17347" s="11">
        <v>26061.119999999999</v>
      </c>
      <c r="AP17347" s="9">
        <v>3.0841966387613522</v>
      </c>
    </row>
    <row r="17348" spans="40:42" x14ac:dyDescent="0.3">
      <c r="AN17348">
        <v>17344</v>
      </c>
      <c r="AO17348" s="11">
        <v>22863.73</v>
      </c>
      <c r="AP17348" s="9">
        <v>3.0351947508805206</v>
      </c>
    </row>
    <row r="17349" spans="40:42" x14ac:dyDescent="0.3">
      <c r="AN17349">
        <v>17345</v>
      </c>
      <c r="AO17349" s="11">
        <v>27325.119999999999</v>
      </c>
      <c r="AP17349" s="9">
        <v>3.4502054210094095</v>
      </c>
    </row>
    <row r="17350" spans="40:42" x14ac:dyDescent="0.3">
      <c r="AN17350">
        <v>17346</v>
      </c>
      <c r="AO17350" s="11">
        <v>26138.42</v>
      </c>
      <c r="AP17350" s="9">
        <v>3.0090865825171966</v>
      </c>
    </row>
    <row r="17351" spans="40:42" x14ac:dyDescent="0.3">
      <c r="AN17351">
        <v>17347</v>
      </c>
      <c r="AO17351" s="11">
        <v>30004.19</v>
      </c>
      <c r="AP17351" s="9">
        <v>3.7436939336580344</v>
      </c>
    </row>
    <row r="17352" spans="40:42" x14ac:dyDescent="0.3">
      <c r="AN17352">
        <v>17348</v>
      </c>
      <c r="AO17352" s="11">
        <v>26282.39</v>
      </c>
      <c r="AP17352" s="9">
        <v>3.3002065255192701</v>
      </c>
    </row>
    <row r="17353" spans="40:42" x14ac:dyDescent="0.3">
      <c r="AN17353">
        <v>17349</v>
      </c>
      <c r="AO17353" s="11">
        <v>29916.799999999999</v>
      </c>
      <c r="AP17353" s="9">
        <v>3.7540716806586296</v>
      </c>
    </row>
    <row r="17354" spans="40:42" x14ac:dyDescent="0.3">
      <c r="AN17354">
        <v>17350</v>
      </c>
      <c r="AO17354" s="11">
        <v>20849.86</v>
      </c>
      <c r="AP17354" s="9">
        <v>3.3844035769222947</v>
      </c>
    </row>
    <row r="17355" spans="40:42" x14ac:dyDescent="0.3">
      <c r="AN17355">
        <v>17351</v>
      </c>
      <c r="AO17355" s="11">
        <v>22026.3</v>
      </c>
      <c r="AP17355" s="9">
        <v>3.1022272716455443</v>
      </c>
    </row>
    <row r="17356" spans="40:42" x14ac:dyDescent="0.3">
      <c r="AN17356">
        <v>17352</v>
      </c>
      <c r="AO17356" s="11">
        <v>26969.49</v>
      </c>
      <c r="AP17356" s="9">
        <v>3.2660056566839066</v>
      </c>
    </row>
    <row r="17357" spans="40:42" x14ac:dyDescent="0.3">
      <c r="AN17357">
        <v>17353</v>
      </c>
      <c r="AO17357" s="11">
        <v>20152.95</v>
      </c>
      <c r="AP17357" s="9">
        <v>3.0492643338677516</v>
      </c>
    </row>
    <row r="17358" spans="40:42" x14ac:dyDescent="0.3">
      <c r="AN17358">
        <v>17354</v>
      </c>
      <c r="AO17358" s="11">
        <v>26499.74</v>
      </c>
      <c r="AP17358" s="9">
        <v>3.2924943837507401</v>
      </c>
    </row>
    <row r="17359" spans="40:42" x14ac:dyDescent="0.3">
      <c r="AN17359">
        <v>17355</v>
      </c>
      <c r="AO17359" s="11">
        <v>24330.95</v>
      </c>
      <c r="AP17359" s="9">
        <v>3.6377531167345416</v>
      </c>
    </row>
    <row r="17360" spans="40:42" x14ac:dyDescent="0.3">
      <c r="AN17360">
        <v>17356</v>
      </c>
      <c r="AO17360" s="11">
        <v>27882.62</v>
      </c>
      <c r="AP17360" s="9">
        <v>3.0615201827356704</v>
      </c>
    </row>
    <row r="17361" spans="40:42" x14ac:dyDescent="0.3">
      <c r="AN17361">
        <v>17357</v>
      </c>
      <c r="AO17361" s="11">
        <v>25084.19</v>
      </c>
      <c r="AP17361" s="9">
        <v>3.2522101492534961</v>
      </c>
    </row>
    <row r="17362" spans="40:42" x14ac:dyDescent="0.3">
      <c r="AN17362">
        <v>17358</v>
      </c>
      <c r="AO17362" s="11">
        <v>26401</v>
      </c>
      <c r="AP17362" s="9">
        <v>2.9226689630479599</v>
      </c>
    </row>
    <row r="17363" spans="40:42" x14ac:dyDescent="0.3">
      <c r="AN17363">
        <v>17359</v>
      </c>
      <c r="AO17363" s="11">
        <v>26060.85</v>
      </c>
      <c r="AP17363" s="9">
        <v>3.4881563944299629</v>
      </c>
    </row>
    <row r="17364" spans="40:42" x14ac:dyDescent="0.3">
      <c r="AN17364">
        <v>17360</v>
      </c>
      <c r="AO17364" s="11">
        <v>30891.7</v>
      </c>
      <c r="AP17364" s="9">
        <v>3.1639412066696995</v>
      </c>
    </row>
    <row r="17365" spans="40:42" x14ac:dyDescent="0.3">
      <c r="AN17365">
        <v>17361</v>
      </c>
      <c r="AO17365" s="11">
        <v>24118.51</v>
      </c>
      <c r="AP17365" s="9">
        <v>2.964885582572776</v>
      </c>
    </row>
    <row r="17366" spans="40:42" x14ac:dyDescent="0.3">
      <c r="AN17366">
        <v>17362</v>
      </c>
      <c r="AO17366" s="11">
        <v>25855.45</v>
      </c>
      <c r="AP17366" s="9">
        <v>3.1283150300844835</v>
      </c>
    </row>
    <row r="17367" spans="40:42" x14ac:dyDescent="0.3">
      <c r="AN17367">
        <v>17363</v>
      </c>
      <c r="AO17367" s="11">
        <v>23512.87</v>
      </c>
      <c r="AP17367" s="9">
        <v>3.1997144272153246</v>
      </c>
    </row>
    <row r="17368" spans="40:42" x14ac:dyDescent="0.3">
      <c r="AN17368">
        <v>17364</v>
      </c>
      <c r="AO17368" s="11">
        <v>28367.03</v>
      </c>
      <c r="AP17368" s="9">
        <v>3.694178759223369</v>
      </c>
    </row>
    <row r="17369" spans="40:42" x14ac:dyDescent="0.3">
      <c r="AN17369">
        <v>17365</v>
      </c>
      <c r="AO17369" s="11">
        <v>26611.8</v>
      </c>
      <c r="AP17369" s="9">
        <v>3.3446756859707514</v>
      </c>
    </row>
    <row r="17370" spans="40:42" x14ac:dyDescent="0.3">
      <c r="AN17370">
        <v>17366</v>
      </c>
      <c r="AO17370" s="11">
        <v>37884.76</v>
      </c>
      <c r="AP17370" s="9">
        <v>3.8848548066222404</v>
      </c>
    </row>
    <row r="17371" spans="40:42" x14ac:dyDescent="0.3">
      <c r="AN17371">
        <v>17367</v>
      </c>
      <c r="AO17371" s="11">
        <v>23033.51</v>
      </c>
      <c r="AP17371" s="9">
        <v>3.8038234567053069</v>
      </c>
    </row>
    <row r="17372" spans="40:42" x14ac:dyDescent="0.3">
      <c r="AN17372">
        <v>17368</v>
      </c>
      <c r="AO17372" s="11">
        <v>19114.71</v>
      </c>
      <c r="AP17372" s="9">
        <v>3.5384138159462544</v>
      </c>
    </row>
    <row r="17373" spans="40:42" x14ac:dyDescent="0.3">
      <c r="AN17373">
        <v>17369</v>
      </c>
      <c r="AO17373" s="11">
        <v>25101.35</v>
      </c>
      <c r="AP17373" s="9">
        <v>3.0011293183950567</v>
      </c>
    </row>
    <row r="17374" spans="40:42" x14ac:dyDescent="0.3">
      <c r="AN17374">
        <v>17370</v>
      </c>
      <c r="AO17374" s="11">
        <v>23681.74</v>
      </c>
      <c r="AP17374" s="9">
        <v>3.3739033629129391</v>
      </c>
    </row>
    <row r="17375" spans="40:42" x14ac:dyDescent="0.3">
      <c r="AN17375">
        <v>17371</v>
      </c>
      <c r="AO17375" s="11">
        <v>32998.79</v>
      </c>
      <c r="AP17375" s="9">
        <v>3.3206211098152361</v>
      </c>
    </row>
    <row r="17376" spans="40:42" x14ac:dyDescent="0.3">
      <c r="AN17376">
        <v>17372</v>
      </c>
      <c r="AO17376" s="11">
        <v>27835.73</v>
      </c>
      <c r="AP17376" s="9">
        <v>2.7181973091919427</v>
      </c>
    </row>
    <row r="17377" spans="40:42" x14ac:dyDescent="0.3">
      <c r="AN17377">
        <v>17373</v>
      </c>
      <c r="AO17377" s="11">
        <v>25745.48</v>
      </c>
      <c r="AP17377" s="9">
        <v>3.3741210182816652</v>
      </c>
    </row>
    <row r="17378" spans="40:42" x14ac:dyDescent="0.3">
      <c r="AN17378">
        <v>17374</v>
      </c>
      <c r="AO17378" s="11">
        <v>28837.24</v>
      </c>
      <c r="AP17378" s="9">
        <v>3.1811061000332579</v>
      </c>
    </row>
    <row r="17379" spans="40:42" x14ac:dyDescent="0.3">
      <c r="AN17379">
        <v>17375</v>
      </c>
      <c r="AO17379" s="11">
        <v>18126.189999999999</v>
      </c>
      <c r="AP17379" s="9">
        <v>3.1990555343630254</v>
      </c>
    </row>
    <row r="17380" spans="40:42" x14ac:dyDescent="0.3">
      <c r="AN17380">
        <v>17376</v>
      </c>
      <c r="AO17380" s="11">
        <v>22113.09</v>
      </c>
      <c r="AP17380" s="9">
        <v>3.146338784748222</v>
      </c>
    </row>
    <row r="17381" spans="40:42" x14ac:dyDescent="0.3">
      <c r="AN17381">
        <v>17377</v>
      </c>
      <c r="AO17381" s="11">
        <v>30521.67</v>
      </c>
      <c r="AP17381" s="9">
        <v>3.3730502996776703</v>
      </c>
    </row>
    <row r="17382" spans="40:42" x14ac:dyDescent="0.3">
      <c r="AN17382">
        <v>17378</v>
      </c>
      <c r="AO17382" s="11">
        <v>22234.04</v>
      </c>
      <c r="AP17382" s="9">
        <v>3.6453494841892069</v>
      </c>
    </row>
    <row r="17383" spans="40:42" x14ac:dyDescent="0.3">
      <c r="AN17383">
        <v>17379</v>
      </c>
      <c r="AO17383" s="11">
        <v>23361.59</v>
      </c>
      <c r="AP17383" s="9">
        <v>3.1272030946094262</v>
      </c>
    </row>
    <row r="17384" spans="40:42" x14ac:dyDescent="0.3">
      <c r="AN17384">
        <v>17380</v>
      </c>
      <c r="AO17384" s="11">
        <v>20095.650000000001</v>
      </c>
      <c r="AP17384" s="9">
        <v>3.6708421236298512</v>
      </c>
    </row>
    <row r="17385" spans="40:42" x14ac:dyDescent="0.3">
      <c r="AN17385">
        <v>17381</v>
      </c>
      <c r="AO17385" s="11">
        <v>23985.26</v>
      </c>
      <c r="AP17385" s="9">
        <v>3.2169626329274794</v>
      </c>
    </row>
    <row r="17386" spans="40:42" x14ac:dyDescent="0.3">
      <c r="AN17386">
        <v>17382</v>
      </c>
      <c r="AO17386" s="11">
        <v>30169.66</v>
      </c>
      <c r="AP17386" s="9">
        <v>2.8309863336882701</v>
      </c>
    </row>
    <row r="17387" spans="40:42" x14ac:dyDescent="0.3">
      <c r="AN17387">
        <v>17383</v>
      </c>
      <c r="AO17387" s="11">
        <v>24277.64</v>
      </c>
      <c r="AP17387" s="9">
        <v>4.0715762115830518</v>
      </c>
    </row>
    <row r="17388" spans="40:42" x14ac:dyDescent="0.3">
      <c r="AN17388">
        <v>17384</v>
      </c>
      <c r="AO17388" s="11">
        <v>24892.49</v>
      </c>
      <c r="AP17388" s="9">
        <v>3.510379641143794</v>
      </c>
    </row>
    <row r="17389" spans="40:42" x14ac:dyDescent="0.3">
      <c r="AN17389">
        <v>17385</v>
      </c>
      <c r="AO17389" s="11">
        <v>25508.62</v>
      </c>
      <c r="AP17389" s="9">
        <v>3.5715778289367481</v>
      </c>
    </row>
    <row r="17390" spans="40:42" x14ac:dyDescent="0.3">
      <c r="AN17390">
        <v>17386</v>
      </c>
      <c r="AO17390" s="11">
        <v>28462.54</v>
      </c>
      <c r="AP17390" s="9">
        <v>4.4622666874832175</v>
      </c>
    </row>
    <row r="17391" spans="40:42" x14ac:dyDescent="0.3">
      <c r="AN17391">
        <v>17387</v>
      </c>
      <c r="AO17391" s="11">
        <v>18921.43</v>
      </c>
      <c r="AP17391" s="9">
        <v>3.4055943587439326</v>
      </c>
    </row>
    <row r="17392" spans="40:42" x14ac:dyDescent="0.3">
      <c r="AN17392">
        <v>17388</v>
      </c>
      <c r="AO17392" s="11">
        <v>21944.15</v>
      </c>
      <c r="AP17392" s="9">
        <v>3.3260690775844157</v>
      </c>
    </row>
    <row r="17393" spans="40:42" x14ac:dyDescent="0.3">
      <c r="AN17393">
        <v>17389</v>
      </c>
      <c r="AO17393" s="11">
        <v>29578.05</v>
      </c>
      <c r="AP17393" s="9">
        <v>4.1674654893147478</v>
      </c>
    </row>
    <row r="17394" spans="40:42" x14ac:dyDescent="0.3">
      <c r="AN17394">
        <v>17390</v>
      </c>
      <c r="AO17394" s="11">
        <v>25048.02</v>
      </c>
      <c r="AP17394" s="9">
        <v>2.7563397245388006</v>
      </c>
    </row>
    <row r="17395" spans="40:42" x14ac:dyDescent="0.3">
      <c r="AN17395">
        <v>17391</v>
      </c>
      <c r="AO17395" s="11">
        <v>38527.31</v>
      </c>
      <c r="AP17395" s="9">
        <v>3.6978251057878606</v>
      </c>
    </row>
    <row r="17396" spans="40:42" x14ac:dyDescent="0.3">
      <c r="AN17396">
        <v>17392</v>
      </c>
      <c r="AO17396" s="11">
        <v>19939.7</v>
      </c>
      <c r="AP17396" s="9">
        <v>3.1663556323292541</v>
      </c>
    </row>
    <row r="17397" spans="40:42" x14ac:dyDescent="0.3">
      <c r="AN17397">
        <v>17393</v>
      </c>
      <c r="AO17397" s="11">
        <v>66850.679999999993</v>
      </c>
      <c r="AP17397" s="9">
        <v>5.2015041271068974</v>
      </c>
    </row>
    <row r="17398" spans="40:42" x14ac:dyDescent="0.3">
      <c r="AN17398">
        <v>17394</v>
      </c>
      <c r="AO17398" s="11">
        <v>24693.84</v>
      </c>
      <c r="AP17398" s="9">
        <v>3.1054854982897568</v>
      </c>
    </row>
    <row r="17399" spans="40:42" x14ac:dyDescent="0.3">
      <c r="AN17399">
        <v>17395</v>
      </c>
      <c r="AO17399" s="11">
        <v>15793.04</v>
      </c>
      <c r="AP17399" s="9">
        <v>3.0495035906642847</v>
      </c>
    </row>
    <row r="17400" spans="40:42" x14ac:dyDescent="0.3">
      <c r="AN17400">
        <v>17396</v>
      </c>
      <c r="AO17400" s="11">
        <v>20007.93</v>
      </c>
      <c r="AP17400" s="9">
        <v>3.1638932140705114</v>
      </c>
    </row>
    <row r="17401" spans="40:42" x14ac:dyDescent="0.3">
      <c r="AN17401">
        <v>17397</v>
      </c>
      <c r="AO17401" s="11">
        <v>25290.37</v>
      </c>
      <c r="AP17401" s="9">
        <v>3.3415484892492708</v>
      </c>
    </row>
    <row r="17402" spans="40:42" x14ac:dyDescent="0.3">
      <c r="AN17402">
        <v>17398</v>
      </c>
      <c r="AO17402" s="11">
        <v>25989.42</v>
      </c>
      <c r="AP17402" s="9">
        <v>2.821107988201244</v>
      </c>
    </row>
    <row r="17403" spans="40:42" x14ac:dyDescent="0.3">
      <c r="AN17403">
        <v>17399</v>
      </c>
      <c r="AO17403" s="11">
        <v>24063.7</v>
      </c>
      <c r="AP17403" s="9">
        <v>3.7489841742527683</v>
      </c>
    </row>
    <row r="17404" spans="40:42" x14ac:dyDescent="0.3">
      <c r="AN17404">
        <v>17400</v>
      </c>
      <c r="AO17404" s="11">
        <v>21967.74</v>
      </c>
      <c r="AP17404" s="9">
        <v>3.5692665495957647</v>
      </c>
    </row>
    <row r="17405" spans="40:42" x14ac:dyDescent="0.3">
      <c r="AN17405">
        <v>17401</v>
      </c>
      <c r="AO17405" s="11">
        <v>28401.64</v>
      </c>
      <c r="AP17405" s="9">
        <v>3.4109517528197735</v>
      </c>
    </row>
    <row r="17406" spans="40:42" x14ac:dyDescent="0.3">
      <c r="AN17406">
        <v>17402</v>
      </c>
      <c r="AO17406" s="11">
        <v>21964.48</v>
      </c>
      <c r="AP17406" s="9">
        <v>4.374735615475327</v>
      </c>
    </row>
    <row r="17407" spans="40:42" x14ac:dyDescent="0.3">
      <c r="AN17407">
        <v>17403</v>
      </c>
      <c r="AO17407" s="11">
        <v>32257.47</v>
      </c>
      <c r="AP17407" s="9">
        <v>3.2943783100854689</v>
      </c>
    </row>
    <row r="17408" spans="40:42" x14ac:dyDescent="0.3">
      <c r="AN17408">
        <v>17404</v>
      </c>
      <c r="AO17408" s="11">
        <v>25522.13</v>
      </c>
      <c r="AP17408" s="9">
        <v>3.5621275518297946</v>
      </c>
    </row>
    <row r="17409" spans="40:42" x14ac:dyDescent="0.3">
      <c r="AN17409">
        <v>17405</v>
      </c>
      <c r="AO17409" s="11">
        <v>31048.52</v>
      </c>
      <c r="AP17409" s="9">
        <v>3.7002436629204198</v>
      </c>
    </row>
    <row r="17410" spans="40:42" x14ac:dyDescent="0.3">
      <c r="AN17410">
        <v>17406</v>
      </c>
      <c r="AO17410" s="11">
        <v>32169.29</v>
      </c>
      <c r="AP17410" s="9">
        <v>3.629528212151913</v>
      </c>
    </row>
    <row r="17411" spans="40:42" x14ac:dyDescent="0.3">
      <c r="AN17411">
        <v>17407</v>
      </c>
      <c r="AO17411" s="11">
        <v>28409.86</v>
      </c>
      <c r="AP17411" s="9">
        <v>3.6157043279848935</v>
      </c>
    </row>
    <row r="17412" spans="40:42" x14ac:dyDescent="0.3">
      <c r="AN17412">
        <v>17408</v>
      </c>
      <c r="AO17412" s="11">
        <v>23199.79</v>
      </c>
      <c r="AP17412" s="9">
        <v>3.1640613306595267</v>
      </c>
    </row>
    <row r="17413" spans="40:42" x14ac:dyDescent="0.3">
      <c r="AN17413">
        <v>17409</v>
      </c>
      <c r="AO17413" s="11">
        <v>23510.6</v>
      </c>
      <c r="AP17413" s="9">
        <v>2.926302596480935</v>
      </c>
    </row>
    <row r="17414" spans="40:42" x14ac:dyDescent="0.3">
      <c r="AN17414">
        <v>17410</v>
      </c>
      <c r="AO17414" s="11">
        <v>23634.79</v>
      </c>
      <c r="AP17414" s="9">
        <v>3.3181923736518826</v>
      </c>
    </row>
    <row r="17415" spans="40:42" x14ac:dyDescent="0.3">
      <c r="AN17415">
        <v>17411</v>
      </c>
      <c r="AO17415" s="11">
        <v>30959.74</v>
      </c>
      <c r="AP17415" s="9">
        <v>3.915296738778729</v>
      </c>
    </row>
    <row r="17416" spans="40:42" x14ac:dyDescent="0.3">
      <c r="AN17416">
        <v>17412</v>
      </c>
      <c r="AO17416" s="11">
        <v>25208.07</v>
      </c>
      <c r="AP17416" s="9">
        <v>3.8103453150003546</v>
      </c>
    </row>
    <row r="17417" spans="40:42" x14ac:dyDescent="0.3">
      <c r="AN17417">
        <v>17413</v>
      </c>
      <c r="AO17417" s="11">
        <v>40551.75</v>
      </c>
      <c r="AP17417" s="9">
        <v>3.6335169463483967</v>
      </c>
    </row>
    <row r="17418" spans="40:42" x14ac:dyDescent="0.3">
      <c r="AN17418">
        <v>17414</v>
      </c>
      <c r="AO17418" s="11">
        <v>27871.17</v>
      </c>
      <c r="AP17418" s="9">
        <v>3.8961388750740502</v>
      </c>
    </row>
    <row r="17419" spans="40:42" x14ac:dyDescent="0.3">
      <c r="AN17419">
        <v>17415</v>
      </c>
      <c r="AO17419" s="11">
        <v>22372.69</v>
      </c>
      <c r="AP17419" s="9">
        <v>3.2972574722723542</v>
      </c>
    </row>
    <row r="17420" spans="40:42" x14ac:dyDescent="0.3">
      <c r="AN17420">
        <v>17416</v>
      </c>
      <c r="AO17420" s="11">
        <v>27257.24</v>
      </c>
      <c r="AP17420" s="9">
        <v>3.2877195840677205</v>
      </c>
    </row>
    <row r="17421" spans="40:42" x14ac:dyDescent="0.3">
      <c r="AN17421">
        <v>17417</v>
      </c>
      <c r="AO17421" s="11">
        <v>32761.81</v>
      </c>
      <c r="AP17421" s="9">
        <v>3.9312038580400879</v>
      </c>
    </row>
    <row r="17422" spans="40:42" x14ac:dyDescent="0.3">
      <c r="AN17422">
        <v>17418</v>
      </c>
      <c r="AO17422" s="11">
        <v>33349.49</v>
      </c>
      <c r="AP17422" s="9">
        <v>3.6375916172002132</v>
      </c>
    </row>
    <row r="17423" spans="40:42" x14ac:dyDescent="0.3">
      <c r="AN17423">
        <v>17419</v>
      </c>
      <c r="AO17423" s="11">
        <v>33168.39</v>
      </c>
      <c r="AP17423" s="9">
        <v>3.5283086086684263</v>
      </c>
    </row>
    <row r="17424" spans="40:42" x14ac:dyDescent="0.3">
      <c r="AN17424">
        <v>17420</v>
      </c>
      <c r="AO17424" s="11">
        <v>22421.41</v>
      </c>
      <c r="AP17424" s="9">
        <v>4.7294659738995035</v>
      </c>
    </row>
    <row r="17425" spans="40:42" x14ac:dyDescent="0.3">
      <c r="AN17425">
        <v>17421</v>
      </c>
      <c r="AO17425" s="11">
        <v>29147.38</v>
      </c>
      <c r="AP17425" s="9">
        <v>3.128976604150882</v>
      </c>
    </row>
    <row r="17426" spans="40:42" x14ac:dyDescent="0.3">
      <c r="AN17426">
        <v>17422</v>
      </c>
      <c r="AO17426" s="11">
        <v>26735.57</v>
      </c>
      <c r="AP17426" s="9">
        <v>3.3400459345816698</v>
      </c>
    </row>
    <row r="17427" spans="40:42" x14ac:dyDescent="0.3">
      <c r="AN17427">
        <v>17423</v>
      </c>
      <c r="AO17427" s="11">
        <v>20209.919999999998</v>
      </c>
      <c r="AP17427" s="9">
        <v>3.3970933283865077</v>
      </c>
    </row>
    <row r="17428" spans="40:42" x14ac:dyDescent="0.3">
      <c r="AN17428">
        <v>17424</v>
      </c>
      <c r="AO17428" s="11">
        <v>33218.17</v>
      </c>
      <c r="AP17428" s="9">
        <v>3.0217925843068656</v>
      </c>
    </row>
    <row r="17429" spans="40:42" x14ac:dyDescent="0.3">
      <c r="AN17429">
        <v>17425</v>
      </c>
      <c r="AO17429" s="11">
        <v>28010.84</v>
      </c>
      <c r="AP17429" s="9">
        <v>2.9379165421525428</v>
      </c>
    </row>
    <row r="17430" spans="40:42" x14ac:dyDescent="0.3">
      <c r="AN17430">
        <v>17426</v>
      </c>
      <c r="AO17430" s="11">
        <v>16236.8</v>
      </c>
      <c r="AP17430" s="9">
        <v>3.3546748404791007</v>
      </c>
    </row>
    <row r="17431" spans="40:42" x14ac:dyDescent="0.3">
      <c r="AN17431">
        <v>17427</v>
      </c>
      <c r="AO17431" s="11">
        <v>15023.87</v>
      </c>
      <c r="AP17431" s="9">
        <v>2.6609009337181408</v>
      </c>
    </row>
    <row r="17432" spans="40:42" x14ac:dyDescent="0.3">
      <c r="AN17432">
        <v>17428</v>
      </c>
      <c r="AO17432" s="11">
        <v>21095.51</v>
      </c>
      <c r="AP17432" s="9">
        <v>2.9494588327835225</v>
      </c>
    </row>
    <row r="17433" spans="40:42" x14ac:dyDescent="0.3">
      <c r="AN17433">
        <v>17429</v>
      </c>
      <c r="AO17433" s="11">
        <v>35320.92</v>
      </c>
      <c r="AP17433" s="9">
        <v>3.61876101720188</v>
      </c>
    </row>
    <row r="17434" spans="40:42" x14ac:dyDescent="0.3">
      <c r="AN17434">
        <v>17430</v>
      </c>
      <c r="AO17434" s="11">
        <v>20465.23</v>
      </c>
      <c r="AP17434" s="9">
        <v>3.565551748715206</v>
      </c>
    </row>
    <row r="17435" spans="40:42" x14ac:dyDescent="0.3">
      <c r="AN17435">
        <v>17431</v>
      </c>
      <c r="AO17435" s="11">
        <v>21701.15</v>
      </c>
      <c r="AP17435" s="9">
        <v>3.0756981504920438</v>
      </c>
    </row>
    <row r="17436" spans="40:42" x14ac:dyDescent="0.3">
      <c r="AN17436">
        <v>17432</v>
      </c>
      <c r="AO17436" s="11">
        <v>24427.64</v>
      </c>
      <c r="AP17436" s="9">
        <v>3.0031231280027946</v>
      </c>
    </row>
    <row r="17437" spans="40:42" x14ac:dyDescent="0.3">
      <c r="AN17437">
        <v>17433</v>
      </c>
      <c r="AO17437" s="11">
        <v>20137.46</v>
      </c>
      <c r="AP17437" s="9">
        <v>2.9771304477688125</v>
      </c>
    </row>
    <row r="17438" spans="40:42" x14ac:dyDescent="0.3">
      <c r="AN17438">
        <v>17434</v>
      </c>
      <c r="AO17438" s="11">
        <v>25825.4</v>
      </c>
      <c r="AP17438" s="9">
        <v>3.2563691141687006</v>
      </c>
    </row>
    <row r="17439" spans="40:42" x14ac:dyDescent="0.3">
      <c r="AN17439">
        <v>17435</v>
      </c>
      <c r="AO17439" s="11">
        <v>22717.86</v>
      </c>
      <c r="AP17439" s="9">
        <v>2.8628798531571138</v>
      </c>
    </row>
    <row r="17440" spans="40:42" x14ac:dyDescent="0.3">
      <c r="AN17440">
        <v>17436</v>
      </c>
      <c r="AO17440" s="11">
        <v>29898.71</v>
      </c>
      <c r="AP17440" s="9">
        <v>3.8720413613734506</v>
      </c>
    </row>
    <row r="17441" spans="40:42" x14ac:dyDescent="0.3">
      <c r="AN17441">
        <v>17437</v>
      </c>
      <c r="AO17441" s="11">
        <v>29679.3</v>
      </c>
      <c r="AP17441" s="9">
        <v>3.3951976965515196</v>
      </c>
    </row>
    <row r="17442" spans="40:42" x14ac:dyDescent="0.3">
      <c r="AN17442">
        <v>17438</v>
      </c>
      <c r="AO17442" s="11">
        <v>16027.02</v>
      </c>
      <c r="AP17442" s="9">
        <v>2.8152945168336236</v>
      </c>
    </row>
    <row r="17443" spans="40:42" x14ac:dyDescent="0.3">
      <c r="AN17443">
        <v>17439</v>
      </c>
      <c r="AO17443" s="11">
        <v>28016.98</v>
      </c>
      <c r="AP17443" s="9">
        <v>3.7931239095757334</v>
      </c>
    </row>
    <row r="17444" spans="40:42" x14ac:dyDescent="0.3">
      <c r="AN17444">
        <v>17440</v>
      </c>
      <c r="AO17444" s="11">
        <v>24454.32</v>
      </c>
      <c r="AP17444" s="9">
        <v>3.1808860568472626</v>
      </c>
    </row>
    <row r="17445" spans="40:42" x14ac:dyDescent="0.3">
      <c r="AN17445">
        <v>17441</v>
      </c>
      <c r="AO17445" s="11">
        <v>27179.279999999999</v>
      </c>
      <c r="AP17445" s="9">
        <v>2.8281482629812635</v>
      </c>
    </row>
    <row r="17446" spans="40:42" x14ac:dyDescent="0.3">
      <c r="AN17446">
        <v>17442</v>
      </c>
      <c r="AO17446" s="11">
        <v>31389.96</v>
      </c>
      <c r="AP17446" s="9">
        <v>3.5177689638044742</v>
      </c>
    </row>
    <row r="17447" spans="40:42" x14ac:dyDescent="0.3">
      <c r="AN17447">
        <v>17443</v>
      </c>
      <c r="AO17447" s="11">
        <v>21990.43</v>
      </c>
      <c r="AP17447" s="9">
        <v>3.28035454374489</v>
      </c>
    </row>
    <row r="17448" spans="40:42" x14ac:dyDescent="0.3">
      <c r="AN17448">
        <v>17444</v>
      </c>
      <c r="AO17448" s="11">
        <v>31952.58</v>
      </c>
      <c r="AP17448" s="9">
        <v>3.0767683641755257</v>
      </c>
    </row>
    <row r="17449" spans="40:42" x14ac:dyDescent="0.3">
      <c r="AN17449">
        <v>17445</v>
      </c>
      <c r="AO17449" s="11">
        <v>29031.279999999999</v>
      </c>
      <c r="AP17449" s="9">
        <v>3.9277104758346661</v>
      </c>
    </row>
    <row r="17450" spans="40:42" x14ac:dyDescent="0.3">
      <c r="AN17450">
        <v>17446</v>
      </c>
      <c r="AO17450" s="11">
        <v>27772.14</v>
      </c>
      <c r="AP17450" s="9">
        <v>3.7646867716617662</v>
      </c>
    </row>
    <row r="17451" spans="40:42" x14ac:dyDescent="0.3">
      <c r="AN17451">
        <v>17447</v>
      </c>
      <c r="AO17451" s="11">
        <v>33016.86</v>
      </c>
      <c r="AP17451" s="9">
        <v>3.4805916193469018</v>
      </c>
    </row>
    <row r="17452" spans="40:42" x14ac:dyDescent="0.3">
      <c r="AN17452">
        <v>17448</v>
      </c>
      <c r="AO17452" s="11">
        <v>28610.89</v>
      </c>
      <c r="AP17452" s="9">
        <v>2.9991414929020266</v>
      </c>
    </row>
    <row r="17453" spans="40:42" x14ac:dyDescent="0.3">
      <c r="AN17453">
        <v>17449</v>
      </c>
      <c r="AO17453" s="11">
        <v>34778.769999999997</v>
      </c>
      <c r="AP17453" s="9">
        <v>3.9437649449008587</v>
      </c>
    </row>
    <row r="17454" spans="40:42" x14ac:dyDescent="0.3">
      <c r="AN17454">
        <v>17450</v>
      </c>
      <c r="AO17454" s="11">
        <v>25326.05</v>
      </c>
      <c r="AP17454" s="9">
        <v>3.0967106086525038</v>
      </c>
    </row>
    <row r="17455" spans="40:42" x14ac:dyDescent="0.3">
      <c r="AN17455">
        <v>17451</v>
      </c>
      <c r="AO17455" s="11">
        <v>27056.52</v>
      </c>
      <c r="AP17455" s="9">
        <v>3.8025525985412805</v>
      </c>
    </row>
    <row r="17456" spans="40:42" x14ac:dyDescent="0.3">
      <c r="AN17456">
        <v>17452</v>
      </c>
      <c r="AO17456" s="11">
        <v>20762.82</v>
      </c>
      <c r="AP17456" s="9">
        <v>2.9901937396083955</v>
      </c>
    </row>
    <row r="17457" spans="40:42" x14ac:dyDescent="0.3">
      <c r="AN17457">
        <v>17453</v>
      </c>
      <c r="AO17457" s="11">
        <v>25698.14</v>
      </c>
      <c r="AP17457" s="9">
        <v>3.3546423034406865</v>
      </c>
    </row>
    <row r="17458" spans="40:42" x14ac:dyDescent="0.3">
      <c r="AN17458">
        <v>17454</v>
      </c>
      <c r="AO17458" s="11">
        <v>28011.98</v>
      </c>
      <c r="AP17458" s="9">
        <v>3.5264155577708194</v>
      </c>
    </row>
    <row r="17459" spans="40:42" x14ac:dyDescent="0.3">
      <c r="AN17459">
        <v>17455</v>
      </c>
      <c r="AO17459" s="11">
        <v>29247.5</v>
      </c>
      <c r="AP17459" s="9">
        <v>3.2444596507601084</v>
      </c>
    </row>
    <row r="17460" spans="40:42" x14ac:dyDescent="0.3">
      <c r="AN17460">
        <v>17456</v>
      </c>
      <c r="AO17460" s="11">
        <v>29642.03</v>
      </c>
      <c r="AP17460" s="9">
        <v>3.4376123152139257</v>
      </c>
    </row>
    <row r="17461" spans="40:42" x14ac:dyDescent="0.3">
      <c r="AN17461">
        <v>17457</v>
      </c>
      <c r="AO17461" s="11">
        <v>26757.78</v>
      </c>
      <c r="AP17461" s="9">
        <v>3.7412471026635057</v>
      </c>
    </row>
    <row r="17462" spans="40:42" x14ac:dyDescent="0.3">
      <c r="AN17462">
        <v>17458</v>
      </c>
      <c r="AO17462" s="11">
        <v>26527.01</v>
      </c>
      <c r="AP17462" s="9">
        <v>2.8679156054362189</v>
      </c>
    </row>
    <row r="17463" spans="40:42" x14ac:dyDescent="0.3">
      <c r="AN17463">
        <v>17459</v>
      </c>
      <c r="AO17463" s="11">
        <v>33498.07</v>
      </c>
      <c r="AP17463" s="9">
        <v>3.593897438994853</v>
      </c>
    </row>
    <row r="17464" spans="40:42" x14ac:dyDescent="0.3">
      <c r="AN17464">
        <v>17460</v>
      </c>
      <c r="AO17464" s="11">
        <v>21416.94</v>
      </c>
      <c r="AP17464" s="9">
        <v>3.116827070396464</v>
      </c>
    </row>
    <row r="17465" spans="40:42" x14ac:dyDescent="0.3">
      <c r="AN17465">
        <v>17461</v>
      </c>
      <c r="AO17465" s="11">
        <v>37345.269999999997</v>
      </c>
      <c r="AP17465" s="9">
        <v>3.2344672390186675</v>
      </c>
    </row>
    <row r="17466" spans="40:42" x14ac:dyDescent="0.3">
      <c r="AN17466">
        <v>17462</v>
      </c>
      <c r="AO17466" s="11">
        <v>28309.54</v>
      </c>
      <c r="AP17466" s="9">
        <v>3.280052874023542</v>
      </c>
    </row>
    <row r="17467" spans="40:42" x14ac:dyDescent="0.3">
      <c r="AN17467">
        <v>17463</v>
      </c>
      <c r="AO17467" s="11">
        <v>31951.23</v>
      </c>
      <c r="AP17467" s="9">
        <v>3.5808524063157217</v>
      </c>
    </row>
    <row r="17468" spans="40:42" x14ac:dyDescent="0.3">
      <c r="AN17468">
        <v>17464</v>
      </c>
      <c r="AO17468" s="11">
        <v>22556.26</v>
      </c>
      <c r="AP17468" s="9">
        <v>2.8854567083675606</v>
      </c>
    </row>
    <row r="17469" spans="40:42" x14ac:dyDescent="0.3">
      <c r="AN17469">
        <v>17465</v>
      </c>
      <c r="AO17469" s="11">
        <v>26685.94</v>
      </c>
      <c r="AP17469" s="9">
        <v>3.9417649691162642</v>
      </c>
    </row>
    <row r="17470" spans="40:42" x14ac:dyDescent="0.3">
      <c r="AN17470">
        <v>17466</v>
      </c>
      <c r="AO17470" s="11">
        <v>32261.79</v>
      </c>
      <c r="AP17470" s="9">
        <v>4.2911847915041985</v>
      </c>
    </row>
    <row r="17471" spans="40:42" x14ac:dyDescent="0.3">
      <c r="AN17471">
        <v>17467</v>
      </c>
      <c r="AO17471" s="11">
        <v>22601.55</v>
      </c>
      <c r="AP17471" s="9">
        <v>3.4387120331720356</v>
      </c>
    </row>
    <row r="17472" spans="40:42" x14ac:dyDescent="0.3">
      <c r="AN17472">
        <v>17468</v>
      </c>
      <c r="AO17472" s="11">
        <v>18340.009999999998</v>
      </c>
      <c r="AP17472" s="9">
        <v>3.9052703459372724</v>
      </c>
    </row>
    <row r="17473" spans="40:42" x14ac:dyDescent="0.3">
      <c r="AN17473">
        <v>17469</v>
      </c>
      <c r="AO17473" s="11">
        <v>36042.400000000001</v>
      </c>
      <c r="AP17473" s="9">
        <v>3.2290751922072491</v>
      </c>
    </row>
    <row r="17474" spans="40:42" x14ac:dyDescent="0.3">
      <c r="AN17474">
        <v>17470</v>
      </c>
      <c r="AO17474" s="11">
        <v>23083.81</v>
      </c>
      <c r="AP17474" s="9">
        <v>3.7309307953055413</v>
      </c>
    </row>
    <row r="17475" spans="40:42" x14ac:dyDescent="0.3">
      <c r="AN17475">
        <v>17471</v>
      </c>
      <c r="AO17475" s="11">
        <v>21407.79</v>
      </c>
      <c r="AP17475" s="9">
        <v>3.201256385892215</v>
      </c>
    </row>
    <row r="17476" spans="40:42" x14ac:dyDescent="0.3">
      <c r="AN17476">
        <v>17472</v>
      </c>
      <c r="AO17476" s="11">
        <v>36674.99</v>
      </c>
      <c r="AP17476" s="9">
        <v>4.620994511516316</v>
      </c>
    </row>
    <row r="17477" spans="40:42" x14ac:dyDescent="0.3">
      <c r="AN17477">
        <v>17473</v>
      </c>
      <c r="AO17477" s="11">
        <v>31373.82</v>
      </c>
      <c r="AP17477" s="9">
        <v>3.7931613347211806</v>
      </c>
    </row>
    <row r="17478" spans="40:42" x14ac:dyDescent="0.3">
      <c r="AN17478">
        <v>17474</v>
      </c>
      <c r="AO17478" s="11">
        <v>28000.68</v>
      </c>
      <c r="AP17478" s="9">
        <v>3.5948722771813579</v>
      </c>
    </row>
    <row r="17479" spans="40:42" x14ac:dyDescent="0.3">
      <c r="AN17479">
        <v>17475</v>
      </c>
      <c r="AO17479" s="11">
        <v>32798.959999999999</v>
      </c>
      <c r="AP17479" s="9">
        <v>3.2394088708939464</v>
      </c>
    </row>
    <row r="17480" spans="40:42" x14ac:dyDescent="0.3">
      <c r="AN17480">
        <v>17476</v>
      </c>
      <c r="AO17480" s="11">
        <v>29524.22</v>
      </c>
      <c r="AP17480" s="9">
        <v>3.3726327827653266</v>
      </c>
    </row>
    <row r="17481" spans="40:42" x14ac:dyDescent="0.3">
      <c r="AN17481">
        <v>17477</v>
      </c>
      <c r="AO17481" s="11">
        <v>23457.52</v>
      </c>
      <c r="AP17481" s="9">
        <v>3.1040817180687217</v>
      </c>
    </row>
    <row r="17482" spans="40:42" x14ac:dyDescent="0.3">
      <c r="AN17482">
        <v>17478</v>
      </c>
      <c r="AO17482" s="11">
        <v>37569.72</v>
      </c>
      <c r="AP17482" s="9">
        <v>3.8269764489769611</v>
      </c>
    </row>
    <row r="17483" spans="40:42" x14ac:dyDescent="0.3">
      <c r="AN17483">
        <v>17479</v>
      </c>
      <c r="AO17483" s="11">
        <v>20518.02</v>
      </c>
      <c r="AP17483" s="9">
        <v>3.1118450212529498</v>
      </c>
    </row>
    <row r="17484" spans="40:42" x14ac:dyDescent="0.3">
      <c r="AN17484">
        <v>17480</v>
      </c>
      <c r="AO17484" s="11">
        <v>45044.42</v>
      </c>
      <c r="AP17484" s="9">
        <v>4.7634116097467798</v>
      </c>
    </row>
    <row r="17485" spans="40:42" x14ac:dyDescent="0.3">
      <c r="AN17485">
        <v>17481</v>
      </c>
      <c r="AO17485" s="11">
        <v>24536.17</v>
      </c>
      <c r="AP17485" s="9">
        <v>3.8208277926405625</v>
      </c>
    </row>
    <row r="17486" spans="40:42" x14ac:dyDescent="0.3">
      <c r="AN17486">
        <v>17482</v>
      </c>
      <c r="AO17486" s="11">
        <v>32334.29</v>
      </c>
      <c r="AP17486" s="9">
        <v>3.3215815213237763</v>
      </c>
    </row>
    <row r="17487" spans="40:42" x14ac:dyDescent="0.3">
      <c r="AN17487">
        <v>17483</v>
      </c>
      <c r="AO17487" s="11">
        <v>23913.23</v>
      </c>
      <c r="AP17487" s="9">
        <v>4.1382727282772285</v>
      </c>
    </row>
    <row r="17488" spans="40:42" x14ac:dyDescent="0.3">
      <c r="AN17488">
        <v>17484</v>
      </c>
      <c r="AO17488" s="11">
        <v>22826.73</v>
      </c>
      <c r="AP17488" s="9">
        <v>3.2919711140705044</v>
      </c>
    </row>
    <row r="17489" spans="40:42" x14ac:dyDescent="0.3">
      <c r="AN17489">
        <v>17485</v>
      </c>
      <c r="AO17489" s="11">
        <v>15833.21</v>
      </c>
      <c r="AP17489" s="9">
        <v>2.9619016888888674</v>
      </c>
    </row>
    <row r="17490" spans="40:42" x14ac:dyDescent="0.3">
      <c r="AN17490">
        <v>17486</v>
      </c>
      <c r="AO17490" s="11">
        <v>26527.360000000001</v>
      </c>
      <c r="AP17490" s="9">
        <v>3.5571296753752537</v>
      </c>
    </row>
    <row r="17491" spans="40:42" x14ac:dyDescent="0.3">
      <c r="AN17491">
        <v>17487</v>
      </c>
      <c r="AO17491" s="11">
        <v>26808.84</v>
      </c>
      <c r="AP17491" s="9">
        <v>2.9822475126991446</v>
      </c>
    </row>
    <row r="17492" spans="40:42" x14ac:dyDescent="0.3">
      <c r="AN17492">
        <v>17488</v>
      </c>
      <c r="AO17492" s="11">
        <v>35781.01</v>
      </c>
      <c r="AP17492" s="9">
        <v>3.7208012511975408</v>
      </c>
    </row>
    <row r="17493" spans="40:42" x14ac:dyDescent="0.3">
      <c r="AN17493">
        <v>17489</v>
      </c>
      <c r="AO17493" s="11">
        <v>47678.31</v>
      </c>
      <c r="AP17493" s="9">
        <v>3.9903834616198885</v>
      </c>
    </row>
    <row r="17494" spans="40:42" x14ac:dyDescent="0.3">
      <c r="AN17494">
        <v>17490</v>
      </c>
      <c r="AO17494" s="11">
        <v>22827.14</v>
      </c>
      <c r="AP17494" s="9">
        <v>3.452726580823366</v>
      </c>
    </row>
    <row r="17495" spans="40:42" x14ac:dyDescent="0.3">
      <c r="AN17495">
        <v>17491</v>
      </c>
      <c r="AO17495" s="11">
        <v>31086.59</v>
      </c>
      <c r="AP17495" s="9">
        <v>2.5319423628904048</v>
      </c>
    </row>
    <row r="17496" spans="40:42" x14ac:dyDescent="0.3">
      <c r="AN17496">
        <v>17492</v>
      </c>
      <c r="AO17496" s="11">
        <v>26674.66</v>
      </c>
      <c r="AP17496" s="9">
        <v>3.8840369545629918</v>
      </c>
    </row>
    <row r="17497" spans="40:42" x14ac:dyDescent="0.3">
      <c r="AN17497">
        <v>17493</v>
      </c>
      <c r="AO17497" s="11">
        <v>22924.27</v>
      </c>
      <c r="AP17497" s="9">
        <v>3.2243450360294141</v>
      </c>
    </row>
    <row r="17498" spans="40:42" x14ac:dyDescent="0.3">
      <c r="AN17498">
        <v>17494</v>
      </c>
      <c r="AO17498" s="11">
        <v>26773.24</v>
      </c>
      <c r="AP17498" s="9">
        <v>3.4721060061836417</v>
      </c>
    </row>
    <row r="17499" spans="40:42" x14ac:dyDescent="0.3">
      <c r="AN17499">
        <v>17495</v>
      </c>
      <c r="AO17499" s="11">
        <v>31933.58</v>
      </c>
      <c r="AP17499" s="9">
        <v>3.135043483438213</v>
      </c>
    </row>
    <row r="17500" spans="40:42" x14ac:dyDescent="0.3">
      <c r="AN17500">
        <v>17496</v>
      </c>
      <c r="AO17500" s="11">
        <v>27700.06</v>
      </c>
      <c r="AP17500" s="9">
        <v>3.3605889988504947</v>
      </c>
    </row>
    <row r="17501" spans="40:42" x14ac:dyDescent="0.3">
      <c r="AN17501">
        <v>17497</v>
      </c>
      <c r="AO17501" s="11">
        <v>34290.699999999997</v>
      </c>
      <c r="AP17501" s="9">
        <v>3.9852365864831194</v>
      </c>
    </row>
    <row r="17502" spans="40:42" x14ac:dyDescent="0.3">
      <c r="AN17502">
        <v>17498</v>
      </c>
      <c r="AO17502" s="11">
        <v>21971.09</v>
      </c>
      <c r="AP17502" s="9">
        <v>3.0624337294349897</v>
      </c>
    </row>
    <row r="17503" spans="40:42" x14ac:dyDescent="0.3">
      <c r="AN17503">
        <v>17499</v>
      </c>
      <c r="AO17503" s="11">
        <v>22092.82</v>
      </c>
      <c r="AP17503" s="9">
        <v>3.900590041784882</v>
      </c>
    </row>
    <row r="17504" spans="40:42" x14ac:dyDescent="0.3">
      <c r="AN17504">
        <v>17500</v>
      </c>
      <c r="AO17504" s="11">
        <v>29068</v>
      </c>
      <c r="AP17504" s="9">
        <v>3.3706230203771228</v>
      </c>
    </row>
    <row r="17505" spans="40:42" x14ac:dyDescent="0.3">
      <c r="AN17505">
        <v>17501</v>
      </c>
      <c r="AO17505" s="11">
        <v>36352.06</v>
      </c>
      <c r="AP17505" s="9">
        <v>3.9340125484642092</v>
      </c>
    </row>
    <row r="17506" spans="40:42" x14ac:dyDescent="0.3">
      <c r="AN17506">
        <v>17502</v>
      </c>
      <c r="AO17506" s="11">
        <v>20789.330000000002</v>
      </c>
      <c r="AP17506" s="9">
        <v>4.1442670016370027</v>
      </c>
    </row>
    <row r="17507" spans="40:42" x14ac:dyDescent="0.3">
      <c r="AN17507">
        <v>17503</v>
      </c>
      <c r="AO17507" s="11">
        <v>28037.55</v>
      </c>
      <c r="AP17507" s="9">
        <v>3.6256947563217294</v>
      </c>
    </row>
    <row r="17508" spans="40:42" x14ac:dyDescent="0.3">
      <c r="AN17508">
        <v>17504</v>
      </c>
      <c r="AO17508" s="11">
        <v>25799.14</v>
      </c>
      <c r="AP17508" s="9">
        <v>3.7023600814079329</v>
      </c>
    </row>
    <row r="17509" spans="40:42" x14ac:dyDescent="0.3">
      <c r="AN17509">
        <v>17505</v>
      </c>
      <c r="AO17509" s="11">
        <v>19725.82</v>
      </c>
      <c r="AP17509" s="9">
        <v>3.5585633548252598</v>
      </c>
    </row>
    <row r="17510" spans="40:42" x14ac:dyDescent="0.3">
      <c r="AN17510">
        <v>17506</v>
      </c>
      <c r="AO17510" s="11">
        <v>28665.57</v>
      </c>
      <c r="AP17510" s="9">
        <v>3.4183643678233917</v>
      </c>
    </row>
    <row r="17511" spans="40:42" x14ac:dyDescent="0.3">
      <c r="AN17511">
        <v>17507</v>
      </c>
      <c r="AO17511" s="11">
        <v>32301.52</v>
      </c>
      <c r="AP17511" s="9">
        <v>3.391783685233865</v>
      </c>
    </row>
    <row r="17512" spans="40:42" x14ac:dyDescent="0.3">
      <c r="AN17512">
        <v>17508</v>
      </c>
      <c r="AO17512" s="11">
        <v>25684.52</v>
      </c>
      <c r="AP17512" s="9">
        <v>3.3796226035377188</v>
      </c>
    </row>
    <row r="17513" spans="40:42" x14ac:dyDescent="0.3">
      <c r="AN17513">
        <v>17509</v>
      </c>
      <c r="AO17513" s="11">
        <v>19915.02</v>
      </c>
      <c r="AP17513" s="9">
        <v>2.8070252490328387</v>
      </c>
    </row>
    <row r="17514" spans="40:42" x14ac:dyDescent="0.3">
      <c r="AN17514">
        <v>17510</v>
      </c>
      <c r="AO17514" s="11">
        <v>38552.92</v>
      </c>
      <c r="AP17514" s="9">
        <v>3.7923104666683156</v>
      </c>
    </row>
    <row r="17515" spans="40:42" x14ac:dyDescent="0.3">
      <c r="AN17515">
        <v>17511</v>
      </c>
      <c r="AO17515" s="11">
        <v>21153.97</v>
      </c>
      <c r="AP17515" s="9">
        <v>3.109543185538393</v>
      </c>
    </row>
    <row r="17516" spans="40:42" x14ac:dyDescent="0.3">
      <c r="AN17516">
        <v>17512</v>
      </c>
      <c r="AO17516" s="11">
        <v>23749.81</v>
      </c>
      <c r="AP17516" s="9">
        <v>3.160419957397389</v>
      </c>
    </row>
    <row r="17517" spans="40:42" x14ac:dyDescent="0.3">
      <c r="AN17517">
        <v>17513</v>
      </c>
      <c r="AO17517" s="11">
        <v>23748.71</v>
      </c>
      <c r="AP17517" s="9">
        <v>3.0919946450636453</v>
      </c>
    </row>
    <row r="17518" spans="40:42" x14ac:dyDescent="0.3">
      <c r="AN17518">
        <v>17514</v>
      </c>
      <c r="AO17518" s="11">
        <v>25544.73</v>
      </c>
      <c r="AP17518" s="9">
        <v>3.1653782938869233</v>
      </c>
    </row>
    <row r="17519" spans="40:42" x14ac:dyDescent="0.3">
      <c r="AN17519">
        <v>17515</v>
      </c>
      <c r="AO17519" s="11">
        <v>35612.050000000003</v>
      </c>
      <c r="AP17519" s="9">
        <v>3.6216465670004134</v>
      </c>
    </row>
    <row r="17520" spans="40:42" x14ac:dyDescent="0.3">
      <c r="AN17520">
        <v>17516</v>
      </c>
      <c r="AO17520" s="11">
        <v>41069.160000000003</v>
      </c>
      <c r="AP17520" s="9">
        <v>3.9995709187554072</v>
      </c>
    </row>
    <row r="17521" spans="40:42" x14ac:dyDescent="0.3">
      <c r="AN17521">
        <v>17517</v>
      </c>
      <c r="AO17521" s="11">
        <v>33697.86</v>
      </c>
      <c r="AP17521" s="9">
        <v>3.0147743327486545</v>
      </c>
    </row>
    <row r="17522" spans="40:42" x14ac:dyDescent="0.3">
      <c r="AN17522">
        <v>17518</v>
      </c>
      <c r="AO17522" s="11">
        <v>27970.080000000002</v>
      </c>
      <c r="AP17522" s="9">
        <v>2.9270980885804403</v>
      </c>
    </row>
    <row r="17523" spans="40:42" x14ac:dyDescent="0.3">
      <c r="AN17523">
        <v>17519</v>
      </c>
      <c r="AO17523" s="11">
        <v>29192.86</v>
      </c>
      <c r="AP17523" s="9">
        <v>3.7410439470078414</v>
      </c>
    </row>
    <row r="17524" spans="40:42" x14ac:dyDescent="0.3">
      <c r="AN17524">
        <v>17520</v>
      </c>
      <c r="AO17524" s="11">
        <v>32604.38</v>
      </c>
      <c r="AP17524" s="9">
        <v>3.5553836620538632</v>
      </c>
    </row>
    <row r="17525" spans="40:42" x14ac:dyDescent="0.3">
      <c r="AN17525">
        <v>17521</v>
      </c>
      <c r="AO17525" s="11">
        <v>28262.69</v>
      </c>
      <c r="AP17525" s="9">
        <v>3.010018573562649</v>
      </c>
    </row>
    <row r="17526" spans="40:42" x14ac:dyDescent="0.3">
      <c r="AN17526">
        <v>17522</v>
      </c>
      <c r="AO17526" s="11">
        <v>22610.47</v>
      </c>
      <c r="AP17526" s="9">
        <v>3.1137249293674003</v>
      </c>
    </row>
    <row r="17527" spans="40:42" x14ac:dyDescent="0.3">
      <c r="AN17527">
        <v>17523</v>
      </c>
      <c r="AO17527" s="11">
        <v>30357.17</v>
      </c>
      <c r="AP17527" s="9">
        <v>3.4918196968988462</v>
      </c>
    </row>
    <row r="17528" spans="40:42" x14ac:dyDescent="0.3">
      <c r="AN17528">
        <v>17524</v>
      </c>
      <c r="AO17528" s="11">
        <v>27251.62</v>
      </c>
      <c r="AP17528" s="9">
        <v>3.1987222856963391</v>
      </c>
    </row>
    <row r="17529" spans="40:42" x14ac:dyDescent="0.3">
      <c r="AN17529">
        <v>17525</v>
      </c>
      <c r="AO17529" s="11">
        <v>22794.93</v>
      </c>
      <c r="AP17529" s="9">
        <v>3.2506083036054405</v>
      </c>
    </row>
    <row r="17530" spans="40:42" x14ac:dyDescent="0.3">
      <c r="AN17530">
        <v>17526</v>
      </c>
      <c r="AO17530" s="11">
        <v>40815.440000000002</v>
      </c>
      <c r="AP17530" s="9">
        <v>3.0335347354274456</v>
      </c>
    </row>
    <row r="17531" spans="40:42" x14ac:dyDescent="0.3">
      <c r="AN17531">
        <v>17527</v>
      </c>
      <c r="AO17531" s="11">
        <v>21611.54</v>
      </c>
      <c r="AP17531" s="9">
        <v>3.3470522219197139</v>
      </c>
    </row>
    <row r="17532" spans="40:42" x14ac:dyDescent="0.3">
      <c r="AN17532">
        <v>17528</v>
      </c>
      <c r="AO17532" s="11">
        <v>29798.95</v>
      </c>
      <c r="AP17532" s="9">
        <v>3.8947586265066962</v>
      </c>
    </row>
    <row r="17533" spans="40:42" x14ac:dyDescent="0.3">
      <c r="AN17533">
        <v>17529</v>
      </c>
      <c r="AO17533" s="11">
        <v>16711.03</v>
      </c>
      <c r="AP17533" s="9">
        <v>3.3378654230290925</v>
      </c>
    </row>
    <row r="17534" spans="40:42" x14ac:dyDescent="0.3">
      <c r="AN17534">
        <v>17530</v>
      </c>
      <c r="AO17534" s="11">
        <v>18359.16</v>
      </c>
      <c r="AP17534" s="9">
        <v>2.9829225975300466</v>
      </c>
    </row>
    <row r="17535" spans="40:42" x14ac:dyDescent="0.3">
      <c r="AN17535">
        <v>17531</v>
      </c>
      <c r="AO17535" s="11">
        <v>34034.83</v>
      </c>
      <c r="AP17535" s="9">
        <v>3.0566109470940388</v>
      </c>
    </row>
    <row r="17536" spans="40:42" x14ac:dyDescent="0.3">
      <c r="AN17536">
        <v>17532</v>
      </c>
      <c r="AO17536" s="11">
        <v>36001.32</v>
      </c>
      <c r="AP17536" s="9">
        <v>3.656312231717104</v>
      </c>
    </row>
    <row r="17537" spans="40:42" x14ac:dyDescent="0.3">
      <c r="AN17537">
        <v>17533</v>
      </c>
      <c r="AO17537" s="11">
        <v>36107.69</v>
      </c>
      <c r="AP17537" s="9">
        <v>3.6259662522687677</v>
      </c>
    </row>
    <row r="17538" spans="40:42" x14ac:dyDescent="0.3">
      <c r="AN17538">
        <v>17534</v>
      </c>
      <c r="AO17538" s="11">
        <v>18562.7</v>
      </c>
      <c r="AP17538" s="9">
        <v>3.009549561095048</v>
      </c>
    </row>
    <row r="17539" spans="40:42" x14ac:dyDescent="0.3">
      <c r="AN17539">
        <v>17535</v>
      </c>
      <c r="AO17539" s="11">
        <v>25179.64</v>
      </c>
      <c r="AP17539" s="9">
        <v>2.9200833624426079</v>
      </c>
    </row>
    <row r="17540" spans="40:42" x14ac:dyDescent="0.3">
      <c r="AN17540">
        <v>17536</v>
      </c>
      <c r="AO17540" s="11">
        <v>27142.87</v>
      </c>
      <c r="AP17540" s="9">
        <v>3.3968557141496971</v>
      </c>
    </row>
    <row r="17541" spans="40:42" x14ac:dyDescent="0.3">
      <c r="AN17541">
        <v>17537</v>
      </c>
      <c r="AO17541" s="11">
        <v>24842.95</v>
      </c>
      <c r="AP17541" s="9">
        <v>2.9064469965739845</v>
      </c>
    </row>
    <row r="17542" spans="40:42" x14ac:dyDescent="0.3">
      <c r="AN17542">
        <v>17538</v>
      </c>
      <c r="AO17542" s="11">
        <v>25059.23</v>
      </c>
      <c r="AP17542" s="9">
        <v>3.3333842045054394</v>
      </c>
    </row>
    <row r="17543" spans="40:42" x14ac:dyDescent="0.3">
      <c r="AN17543">
        <v>17539</v>
      </c>
      <c r="AO17543" s="11">
        <v>23396.86</v>
      </c>
      <c r="AP17543" s="9">
        <v>3.4171076655105241</v>
      </c>
    </row>
    <row r="17544" spans="40:42" x14ac:dyDescent="0.3">
      <c r="AN17544">
        <v>17540</v>
      </c>
      <c r="AO17544" s="11">
        <v>24431.94</v>
      </c>
      <c r="AP17544" s="9">
        <v>2.7377829873258044</v>
      </c>
    </row>
    <row r="17545" spans="40:42" x14ac:dyDescent="0.3">
      <c r="AN17545">
        <v>17541</v>
      </c>
      <c r="AO17545" s="11">
        <v>19572.560000000001</v>
      </c>
      <c r="AP17545" s="9">
        <v>3.6320446559272375</v>
      </c>
    </row>
    <row r="17546" spans="40:42" x14ac:dyDescent="0.3">
      <c r="AN17546">
        <v>17542</v>
      </c>
      <c r="AO17546" s="11">
        <v>29778.1</v>
      </c>
      <c r="AP17546" s="9">
        <v>2.4864496807002761</v>
      </c>
    </row>
    <row r="17547" spans="40:42" x14ac:dyDescent="0.3">
      <c r="AN17547">
        <v>17543</v>
      </c>
      <c r="AO17547" s="11">
        <v>27355.91</v>
      </c>
      <c r="AP17547" s="9">
        <v>3.3820744777200491</v>
      </c>
    </row>
    <row r="17548" spans="40:42" x14ac:dyDescent="0.3">
      <c r="AN17548">
        <v>17544</v>
      </c>
      <c r="AO17548" s="11">
        <v>31681.87</v>
      </c>
      <c r="AP17548" s="9">
        <v>3.6765714730977948</v>
      </c>
    </row>
    <row r="17549" spans="40:42" x14ac:dyDescent="0.3">
      <c r="AN17549">
        <v>17545</v>
      </c>
      <c r="AO17549" s="11">
        <v>28019.1</v>
      </c>
      <c r="AP17549" s="9">
        <v>2.9541930761404593</v>
      </c>
    </row>
    <row r="17550" spans="40:42" x14ac:dyDescent="0.3">
      <c r="AN17550">
        <v>17546</v>
      </c>
      <c r="AO17550" s="11">
        <v>27663.31</v>
      </c>
      <c r="AP17550" s="9">
        <v>3.0518515403157527</v>
      </c>
    </row>
    <row r="17551" spans="40:42" x14ac:dyDescent="0.3">
      <c r="AN17551">
        <v>17547</v>
      </c>
      <c r="AO17551" s="11">
        <v>23010.3</v>
      </c>
      <c r="AP17551" s="9">
        <v>3.4314402457827229</v>
      </c>
    </row>
    <row r="17552" spans="40:42" x14ac:dyDescent="0.3">
      <c r="AN17552">
        <v>17548</v>
      </c>
      <c r="AO17552" s="11">
        <v>23721.54</v>
      </c>
      <c r="AP17552" s="9">
        <v>3.0608140821206091</v>
      </c>
    </row>
    <row r="17553" spans="40:42" x14ac:dyDescent="0.3">
      <c r="AN17553">
        <v>17549</v>
      </c>
      <c r="AO17553" s="11">
        <v>34775.980000000003</v>
      </c>
      <c r="AP17553" s="9">
        <v>3.2126276589292648</v>
      </c>
    </row>
    <row r="17554" spans="40:42" x14ac:dyDescent="0.3">
      <c r="AN17554">
        <v>17550</v>
      </c>
      <c r="AO17554" s="11">
        <v>25776.400000000001</v>
      </c>
      <c r="AP17554" s="9">
        <v>2.9597842588377086</v>
      </c>
    </row>
    <row r="17555" spans="40:42" x14ac:dyDescent="0.3">
      <c r="AN17555">
        <v>17551</v>
      </c>
      <c r="AO17555" s="11">
        <v>21050.47</v>
      </c>
      <c r="AP17555" s="9">
        <v>3.5082205171081151</v>
      </c>
    </row>
    <row r="17556" spans="40:42" x14ac:dyDescent="0.3">
      <c r="AN17556">
        <v>17552</v>
      </c>
      <c r="AO17556" s="11">
        <v>22022.07</v>
      </c>
      <c r="AP17556" s="9">
        <v>2.9769688621321766</v>
      </c>
    </row>
    <row r="17557" spans="40:42" x14ac:dyDescent="0.3">
      <c r="AN17557">
        <v>17553</v>
      </c>
      <c r="AO17557" s="11">
        <v>30171.47</v>
      </c>
      <c r="AP17557" s="9">
        <v>3.6076900037208985</v>
      </c>
    </row>
    <row r="17558" spans="40:42" x14ac:dyDescent="0.3">
      <c r="AN17558">
        <v>17554</v>
      </c>
      <c r="AO17558" s="11">
        <v>14963.91</v>
      </c>
      <c r="AP17558" s="9">
        <v>3.3308290554360993</v>
      </c>
    </row>
    <row r="17559" spans="40:42" x14ac:dyDescent="0.3">
      <c r="AN17559">
        <v>17555</v>
      </c>
      <c r="AO17559" s="11">
        <v>33526.449999999997</v>
      </c>
      <c r="AP17559" s="9">
        <v>3.9518270964505833</v>
      </c>
    </row>
    <row r="17560" spans="40:42" x14ac:dyDescent="0.3">
      <c r="AN17560">
        <v>17556</v>
      </c>
      <c r="AO17560" s="11">
        <v>36334.97</v>
      </c>
      <c r="AP17560" s="9">
        <v>4.2335907717451162</v>
      </c>
    </row>
    <row r="17561" spans="40:42" x14ac:dyDescent="0.3">
      <c r="AN17561">
        <v>17557</v>
      </c>
      <c r="AO17561" s="11">
        <v>30406.09</v>
      </c>
      <c r="AP17561" s="9">
        <v>3.4057340232411155</v>
      </c>
    </row>
    <row r="17562" spans="40:42" x14ac:dyDescent="0.3">
      <c r="AN17562">
        <v>17558</v>
      </c>
      <c r="AO17562" s="11">
        <v>37482.03</v>
      </c>
      <c r="AP17562" s="9">
        <v>3.2944329630306703</v>
      </c>
    </row>
    <row r="17563" spans="40:42" x14ac:dyDescent="0.3">
      <c r="AN17563">
        <v>17559</v>
      </c>
      <c r="AO17563" s="11">
        <v>17606.71</v>
      </c>
      <c r="AP17563" s="9">
        <v>2.7131300268519407</v>
      </c>
    </row>
    <row r="17564" spans="40:42" x14ac:dyDescent="0.3">
      <c r="AN17564">
        <v>17560</v>
      </c>
      <c r="AO17564" s="11">
        <v>39032.959999999999</v>
      </c>
      <c r="AP17564" s="9">
        <v>3.5922113982562811</v>
      </c>
    </row>
    <row r="17565" spans="40:42" x14ac:dyDescent="0.3">
      <c r="AN17565">
        <v>17561</v>
      </c>
      <c r="AO17565" s="11">
        <v>26248.38</v>
      </c>
      <c r="AP17565" s="9">
        <v>2.9025370208671335</v>
      </c>
    </row>
    <row r="17566" spans="40:42" x14ac:dyDescent="0.3">
      <c r="AN17566">
        <v>17562</v>
      </c>
      <c r="AO17566" s="11">
        <v>34272.14</v>
      </c>
      <c r="AP17566" s="9">
        <v>3.3640418069995204</v>
      </c>
    </row>
    <row r="17567" spans="40:42" x14ac:dyDescent="0.3">
      <c r="AN17567">
        <v>17563</v>
      </c>
      <c r="AO17567" s="11">
        <v>30325.23</v>
      </c>
      <c r="AP17567" s="9">
        <v>3.2913135689833446</v>
      </c>
    </row>
    <row r="17568" spans="40:42" x14ac:dyDescent="0.3">
      <c r="AN17568">
        <v>17564</v>
      </c>
      <c r="AO17568" s="11">
        <v>35690.17</v>
      </c>
      <c r="AP17568" s="9">
        <v>3.7624789069996947</v>
      </c>
    </row>
    <row r="17569" spans="40:42" x14ac:dyDescent="0.3">
      <c r="AN17569">
        <v>17565</v>
      </c>
      <c r="AO17569" s="11">
        <v>37942.449999999997</v>
      </c>
      <c r="AP17569" s="9">
        <v>3.3547568099007581</v>
      </c>
    </row>
    <row r="17570" spans="40:42" x14ac:dyDescent="0.3">
      <c r="AN17570">
        <v>17566</v>
      </c>
      <c r="AO17570" s="11">
        <v>17872.439999999999</v>
      </c>
      <c r="AP17570" s="9">
        <v>2.7820208763795145</v>
      </c>
    </row>
    <row r="17571" spans="40:42" x14ac:dyDescent="0.3">
      <c r="AN17571">
        <v>17567</v>
      </c>
      <c r="AO17571" s="11">
        <v>21357.54</v>
      </c>
      <c r="AP17571" s="9">
        <v>3.0552305760274248</v>
      </c>
    </row>
    <row r="17572" spans="40:42" x14ac:dyDescent="0.3">
      <c r="AN17572">
        <v>17568</v>
      </c>
      <c r="AO17572" s="11">
        <v>31655.119999999999</v>
      </c>
      <c r="AP17572" s="9">
        <v>3.7118775480533732</v>
      </c>
    </row>
    <row r="17573" spans="40:42" x14ac:dyDescent="0.3">
      <c r="AN17573">
        <v>17569</v>
      </c>
      <c r="AO17573" s="11">
        <v>24987.37</v>
      </c>
      <c r="AP17573" s="9">
        <v>3.3706929098168534</v>
      </c>
    </row>
    <row r="17574" spans="40:42" x14ac:dyDescent="0.3">
      <c r="AN17574">
        <v>17570</v>
      </c>
      <c r="AO17574" s="11">
        <v>24284.720000000001</v>
      </c>
      <c r="AP17574" s="9">
        <v>3.4848891241970268</v>
      </c>
    </row>
    <row r="17575" spans="40:42" x14ac:dyDescent="0.3">
      <c r="AN17575">
        <v>17571</v>
      </c>
      <c r="AO17575" s="11">
        <v>22258.36</v>
      </c>
      <c r="AP17575" s="9">
        <v>2.9814355633133318</v>
      </c>
    </row>
    <row r="17576" spans="40:42" x14ac:dyDescent="0.3">
      <c r="AN17576">
        <v>17572</v>
      </c>
      <c r="AO17576" s="11">
        <v>39964.31</v>
      </c>
      <c r="AP17576" s="9">
        <v>3.7983850063143296</v>
      </c>
    </row>
    <row r="17577" spans="40:42" x14ac:dyDescent="0.3">
      <c r="AN17577">
        <v>17573</v>
      </c>
      <c r="AO17577" s="11">
        <v>26019.77</v>
      </c>
      <c r="AP17577" s="9">
        <v>3.4508145130937735</v>
      </c>
    </row>
    <row r="17578" spans="40:42" x14ac:dyDescent="0.3">
      <c r="AN17578">
        <v>17574</v>
      </c>
      <c r="AO17578" s="11">
        <v>36094.46</v>
      </c>
      <c r="AP17578" s="9">
        <v>3.4873940462641286</v>
      </c>
    </row>
    <row r="17579" spans="40:42" x14ac:dyDescent="0.3">
      <c r="AN17579">
        <v>17575</v>
      </c>
      <c r="AO17579" s="11">
        <v>32347.19</v>
      </c>
      <c r="AP17579" s="9">
        <v>3.6939832378942192</v>
      </c>
    </row>
    <row r="17580" spans="40:42" x14ac:dyDescent="0.3">
      <c r="AN17580">
        <v>17576</v>
      </c>
      <c r="AO17580" s="11">
        <v>20985.23</v>
      </c>
      <c r="AP17580" s="9">
        <v>3.1467879342828304</v>
      </c>
    </row>
    <row r="17581" spans="40:42" x14ac:dyDescent="0.3">
      <c r="AN17581">
        <v>17577</v>
      </c>
      <c r="AO17581" s="11">
        <v>20215.32</v>
      </c>
      <c r="AP17581" s="9">
        <v>2.8065212589903088</v>
      </c>
    </row>
    <row r="17582" spans="40:42" x14ac:dyDescent="0.3">
      <c r="AN17582">
        <v>17578</v>
      </c>
      <c r="AO17582" s="11">
        <v>22698.76</v>
      </c>
      <c r="AP17582" s="9">
        <v>3.0747029773621111</v>
      </c>
    </row>
    <row r="17583" spans="40:42" x14ac:dyDescent="0.3">
      <c r="AN17583">
        <v>17579</v>
      </c>
      <c r="AO17583" s="11">
        <v>25036.75</v>
      </c>
      <c r="AP17583" s="9">
        <v>3.4446935699865331</v>
      </c>
    </row>
    <row r="17584" spans="40:42" x14ac:dyDescent="0.3">
      <c r="AN17584">
        <v>17580</v>
      </c>
      <c r="AO17584" s="11">
        <v>24955.32</v>
      </c>
      <c r="AP17584" s="9">
        <v>3.753357953942472</v>
      </c>
    </row>
    <row r="17585" spans="40:42" x14ac:dyDescent="0.3">
      <c r="AN17585">
        <v>17581</v>
      </c>
      <c r="AO17585" s="11">
        <v>26387.01</v>
      </c>
      <c r="AP17585" s="9">
        <v>3.3165011691171351</v>
      </c>
    </row>
    <row r="17586" spans="40:42" x14ac:dyDescent="0.3">
      <c r="AN17586">
        <v>17582</v>
      </c>
      <c r="AO17586" s="11">
        <v>32331.84</v>
      </c>
      <c r="AP17586" s="9">
        <v>3.85414112579025</v>
      </c>
    </row>
    <row r="17587" spans="40:42" x14ac:dyDescent="0.3">
      <c r="AN17587">
        <v>17583</v>
      </c>
      <c r="AO17587" s="11">
        <v>30816.71</v>
      </c>
      <c r="AP17587" s="9">
        <v>3.9959907610700944</v>
      </c>
    </row>
    <row r="17588" spans="40:42" x14ac:dyDescent="0.3">
      <c r="AN17588">
        <v>17584</v>
      </c>
      <c r="AO17588" s="11">
        <v>22637.26</v>
      </c>
      <c r="AP17588" s="9">
        <v>3.1492978910562202</v>
      </c>
    </row>
    <row r="17589" spans="40:42" x14ac:dyDescent="0.3">
      <c r="AN17589">
        <v>17585</v>
      </c>
      <c r="AO17589" s="11">
        <v>28610.84</v>
      </c>
      <c r="AP17589" s="9">
        <v>4.1052630615576486</v>
      </c>
    </row>
    <row r="17590" spans="40:42" x14ac:dyDescent="0.3">
      <c r="AN17590">
        <v>17586</v>
      </c>
      <c r="AO17590" s="11">
        <v>24214.13</v>
      </c>
      <c r="AP17590" s="9">
        <v>3.066058740084491</v>
      </c>
    </row>
    <row r="17591" spans="40:42" x14ac:dyDescent="0.3">
      <c r="AN17591">
        <v>17587</v>
      </c>
      <c r="AO17591" s="11">
        <v>22010.95</v>
      </c>
      <c r="AP17591" s="9">
        <v>2.9607350548071345</v>
      </c>
    </row>
    <row r="17592" spans="40:42" x14ac:dyDescent="0.3">
      <c r="AN17592">
        <v>17588</v>
      </c>
      <c r="AO17592" s="11">
        <v>33922.980000000003</v>
      </c>
      <c r="AP17592" s="9">
        <v>3.5212652169203471</v>
      </c>
    </row>
    <row r="17593" spans="40:42" x14ac:dyDescent="0.3">
      <c r="AN17593">
        <v>17589</v>
      </c>
      <c r="AO17593" s="11">
        <v>38374.49</v>
      </c>
      <c r="AP17593" s="9">
        <v>4.0197127953758702</v>
      </c>
    </row>
    <row r="17594" spans="40:42" x14ac:dyDescent="0.3">
      <c r="AN17594">
        <v>17590</v>
      </c>
      <c r="AO17594" s="11">
        <v>33774.31</v>
      </c>
      <c r="AP17594" s="9">
        <v>3.1369886548337682</v>
      </c>
    </row>
    <row r="17595" spans="40:42" x14ac:dyDescent="0.3">
      <c r="AN17595">
        <v>17591</v>
      </c>
      <c r="AO17595" s="11">
        <v>46117.279999999999</v>
      </c>
      <c r="AP17595" s="9">
        <v>3.7620656847240093</v>
      </c>
    </row>
    <row r="17596" spans="40:42" x14ac:dyDescent="0.3">
      <c r="AN17596">
        <v>17592</v>
      </c>
      <c r="AO17596" s="11">
        <v>28264.75</v>
      </c>
      <c r="AP17596" s="9">
        <v>3.3063855230314738</v>
      </c>
    </row>
    <row r="17597" spans="40:42" x14ac:dyDescent="0.3">
      <c r="AN17597">
        <v>17593</v>
      </c>
      <c r="AO17597" s="11">
        <v>23743.34</v>
      </c>
      <c r="AP17597" s="9">
        <v>3.3186777040534183</v>
      </c>
    </row>
    <row r="17598" spans="40:42" x14ac:dyDescent="0.3">
      <c r="AN17598">
        <v>17594</v>
      </c>
      <c r="AO17598" s="11">
        <v>19485.59</v>
      </c>
      <c r="AP17598" s="9">
        <v>3.3425606803925296</v>
      </c>
    </row>
    <row r="17599" spans="40:42" x14ac:dyDescent="0.3">
      <c r="AN17599">
        <v>17595</v>
      </c>
      <c r="AO17599" s="11">
        <v>22354.31</v>
      </c>
      <c r="AP17599" s="9">
        <v>2.6232064961596997</v>
      </c>
    </row>
    <row r="17600" spans="40:42" x14ac:dyDescent="0.3">
      <c r="AN17600">
        <v>17596</v>
      </c>
      <c r="AO17600" s="11">
        <v>24172.37</v>
      </c>
      <c r="AP17600" s="9">
        <v>3.5088306455283758</v>
      </c>
    </row>
    <row r="17601" spans="40:42" x14ac:dyDescent="0.3">
      <c r="AN17601">
        <v>17597</v>
      </c>
      <c r="AO17601" s="11">
        <v>22380.46</v>
      </c>
      <c r="AP17601" s="9">
        <v>3.0084249135718246</v>
      </c>
    </row>
    <row r="17602" spans="40:42" x14ac:dyDescent="0.3">
      <c r="AN17602">
        <v>17598</v>
      </c>
      <c r="AO17602" s="11">
        <v>32644.06</v>
      </c>
      <c r="AP17602" s="9">
        <v>4.1083254081950393</v>
      </c>
    </row>
    <row r="17603" spans="40:42" x14ac:dyDescent="0.3">
      <c r="AN17603">
        <v>17599</v>
      </c>
      <c r="AO17603" s="11">
        <v>31125.07</v>
      </c>
      <c r="AP17603" s="9">
        <v>3.2220003195753364</v>
      </c>
    </row>
    <row r="17604" spans="40:42" x14ac:dyDescent="0.3">
      <c r="AN17604">
        <v>17600</v>
      </c>
      <c r="AO17604" s="11">
        <v>28306.22</v>
      </c>
      <c r="AP17604" s="9">
        <v>3.8519668761327162</v>
      </c>
    </row>
    <row r="17605" spans="40:42" x14ac:dyDescent="0.3">
      <c r="AN17605">
        <v>17601</v>
      </c>
      <c r="AO17605" s="11">
        <v>29310.39</v>
      </c>
      <c r="AP17605" s="9">
        <v>3.7305018199088589</v>
      </c>
    </row>
    <row r="17606" spans="40:42" x14ac:dyDescent="0.3">
      <c r="AN17606">
        <v>17602</v>
      </c>
      <c r="AO17606" s="11">
        <v>31463.52</v>
      </c>
      <c r="AP17606" s="9">
        <v>4.6985927297889276</v>
      </c>
    </row>
    <row r="17607" spans="40:42" x14ac:dyDescent="0.3">
      <c r="AN17607">
        <v>17603</v>
      </c>
      <c r="AO17607" s="11">
        <v>29941.01</v>
      </c>
      <c r="AP17607" s="9">
        <v>3.8773342698081521</v>
      </c>
    </row>
    <row r="17608" spans="40:42" x14ac:dyDescent="0.3">
      <c r="AN17608">
        <v>17604</v>
      </c>
      <c r="AO17608" s="11">
        <v>45041.51</v>
      </c>
      <c r="AP17608" s="9">
        <v>3.4889862625178991</v>
      </c>
    </row>
    <row r="17609" spans="40:42" x14ac:dyDescent="0.3">
      <c r="AN17609">
        <v>17605</v>
      </c>
      <c r="AO17609" s="11">
        <v>45328.34</v>
      </c>
      <c r="AP17609" s="9">
        <v>3.6959090312091938</v>
      </c>
    </row>
    <row r="17610" spans="40:42" x14ac:dyDescent="0.3">
      <c r="AN17610">
        <v>17606</v>
      </c>
      <c r="AO17610" s="11">
        <v>38891.81</v>
      </c>
      <c r="AP17610" s="9">
        <v>3.7331768781954491</v>
      </c>
    </row>
    <row r="17611" spans="40:42" x14ac:dyDescent="0.3">
      <c r="AN17611">
        <v>17607</v>
      </c>
      <c r="AO17611" s="11">
        <v>22054.799999999999</v>
      </c>
      <c r="AP17611" s="9">
        <v>3.5930690307750948</v>
      </c>
    </row>
    <row r="17612" spans="40:42" x14ac:dyDescent="0.3">
      <c r="AN17612">
        <v>17608</v>
      </c>
      <c r="AO17612" s="11">
        <v>37847.78</v>
      </c>
      <c r="AP17612" s="9">
        <v>3.3444823123947338</v>
      </c>
    </row>
    <row r="17613" spans="40:42" x14ac:dyDescent="0.3">
      <c r="AN17613">
        <v>17609</v>
      </c>
      <c r="AO17613" s="11">
        <v>34097.39</v>
      </c>
      <c r="AP17613" s="9">
        <v>3.4144462207729034</v>
      </c>
    </row>
    <row r="17614" spans="40:42" x14ac:dyDescent="0.3">
      <c r="AN17614">
        <v>17610</v>
      </c>
      <c r="AO17614" s="11">
        <v>17685.95</v>
      </c>
      <c r="AP17614" s="9">
        <v>2.8728292525411647</v>
      </c>
    </row>
    <row r="17615" spans="40:42" x14ac:dyDescent="0.3">
      <c r="AN17615">
        <v>17611</v>
      </c>
      <c r="AO17615" s="11">
        <v>18177.990000000002</v>
      </c>
      <c r="AP17615" s="9">
        <v>3.8200961326436458</v>
      </c>
    </row>
    <row r="17616" spans="40:42" x14ac:dyDescent="0.3">
      <c r="AN17616">
        <v>17612</v>
      </c>
      <c r="AO17616" s="11">
        <v>20603.84</v>
      </c>
      <c r="AP17616" s="9">
        <v>2.9076658081437303</v>
      </c>
    </row>
    <row r="17617" spans="40:42" x14ac:dyDescent="0.3">
      <c r="AN17617">
        <v>17613</v>
      </c>
      <c r="AO17617" s="11">
        <v>21859.49</v>
      </c>
      <c r="AP17617" s="9">
        <v>3.5980260712957772</v>
      </c>
    </row>
    <row r="17618" spans="40:42" x14ac:dyDescent="0.3">
      <c r="AN17618">
        <v>17614</v>
      </c>
      <c r="AO17618" s="11">
        <v>14684.67</v>
      </c>
      <c r="AP17618" s="9">
        <v>2.8868933973974804</v>
      </c>
    </row>
    <row r="17619" spans="40:42" x14ac:dyDescent="0.3">
      <c r="AN17619">
        <v>17615</v>
      </c>
      <c r="AO17619" s="11">
        <v>22040.21</v>
      </c>
      <c r="AP17619" s="9">
        <v>3.5818343769432821</v>
      </c>
    </row>
    <row r="17620" spans="40:42" x14ac:dyDescent="0.3">
      <c r="AN17620">
        <v>17616</v>
      </c>
      <c r="AO17620" s="11">
        <v>50991.87</v>
      </c>
      <c r="AP17620" s="9">
        <v>4.2524660967622561</v>
      </c>
    </row>
    <row r="17621" spans="40:42" x14ac:dyDescent="0.3">
      <c r="AN17621">
        <v>17617</v>
      </c>
      <c r="AO17621" s="11">
        <v>24737.62</v>
      </c>
      <c r="AP17621" s="9">
        <v>3.0890568146737065</v>
      </c>
    </row>
    <row r="17622" spans="40:42" x14ac:dyDescent="0.3">
      <c r="AN17622">
        <v>17618</v>
      </c>
      <c r="AO17622" s="11">
        <v>30053.97</v>
      </c>
      <c r="AP17622" s="9">
        <v>2.858589744629374</v>
      </c>
    </row>
    <row r="17623" spans="40:42" x14ac:dyDescent="0.3">
      <c r="AN17623">
        <v>17619</v>
      </c>
      <c r="AO17623" s="11">
        <v>27214.92</v>
      </c>
      <c r="AP17623" s="9">
        <v>3.0233272214800815</v>
      </c>
    </row>
    <row r="17624" spans="40:42" x14ac:dyDescent="0.3">
      <c r="AN17624">
        <v>17620</v>
      </c>
      <c r="AO17624" s="11">
        <v>27116.31</v>
      </c>
      <c r="AP17624" s="9">
        <v>2.860509525735111</v>
      </c>
    </row>
    <row r="17625" spans="40:42" x14ac:dyDescent="0.3">
      <c r="AN17625">
        <v>17621</v>
      </c>
      <c r="AO17625" s="11">
        <v>25885.56</v>
      </c>
      <c r="AP17625" s="9">
        <v>3.1476103177497197</v>
      </c>
    </row>
    <row r="17626" spans="40:42" x14ac:dyDescent="0.3">
      <c r="AN17626">
        <v>17622</v>
      </c>
      <c r="AO17626" s="11">
        <v>39978.67</v>
      </c>
      <c r="AP17626" s="9">
        <v>4.3054815169496496</v>
      </c>
    </row>
    <row r="17627" spans="40:42" x14ac:dyDescent="0.3">
      <c r="AN17627">
        <v>17623</v>
      </c>
      <c r="AO17627" s="11">
        <v>23971.93</v>
      </c>
      <c r="AP17627" s="9">
        <v>3.319256254481123</v>
      </c>
    </row>
    <row r="17628" spans="40:42" x14ac:dyDescent="0.3">
      <c r="AN17628">
        <v>17624</v>
      </c>
      <c r="AO17628" s="11">
        <v>22704.74</v>
      </c>
      <c r="AP17628" s="9">
        <v>3.9435486674464455</v>
      </c>
    </row>
    <row r="17629" spans="40:42" x14ac:dyDescent="0.3">
      <c r="AN17629">
        <v>17625</v>
      </c>
      <c r="AO17629" s="11">
        <v>35300.58</v>
      </c>
      <c r="AP17629" s="9">
        <v>3.823767812714705</v>
      </c>
    </row>
    <row r="17630" spans="40:42" x14ac:dyDescent="0.3">
      <c r="AN17630">
        <v>17626</v>
      </c>
      <c r="AO17630" s="11">
        <v>34953.32</v>
      </c>
      <c r="AP17630" s="9">
        <v>3.8269582563420754</v>
      </c>
    </row>
    <row r="17631" spans="40:42" x14ac:dyDescent="0.3">
      <c r="AN17631">
        <v>17627</v>
      </c>
      <c r="AO17631" s="11">
        <v>30005.8</v>
      </c>
      <c r="AP17631" s="9">
        <v>4.1432827330139039</v>
      </c>
    </row>
    <row r="17632" spans="40:42" x14ac:dyDescent="0.3">
      <c r="AN17632">
        <v>17628</v>
      </c>
      <c r="AO17632" s="11">
        <v>19740.11</v>
      </c>
      <c r="AP17632" s="9">
        <v>3.1581871825558196</v>
      </c>
    </row>
    <row r="17633" spans="40:42" x14ac:dyDescent="0.3">
      <c r="AN17633">
        <v>17629</v>
      </c>
      <c r="AO17633" s="11">
        <v>20067.990000000002</v>
      </c>
      <c r="AP17633" s="9">
        <v>2.5801449049186282</v>
      </c>
    </row>
    <row r="17634" spans="40:42" x14ac:dyDescent="0.3">
      <c r="AN17634">
        <v>17630</v>
      </c>
      <c r="AO17634" s="11">
        <v>26224.25</v>
      </c>
      <c r="AP17634" s="9">
        <v>3.0607504354444206</v>
      </c>
    </row>
    <row r="17635" spans="40:42" x14ac:dyDescent="0.3">
      <c r="AN17635">
        <v>17631</v>
      </c>
      <c r="AO17635" s="11">
        <v>30351.47</v>
      </c>
      <c r="AP17635" s="9">
        <v>3.0539808360227712</v>
      </c>
    </row>
    <row r="17636" spans="40:42" x14ac:dyDescent="0.3">
      <c r="AN17636">
        <v>17632</v>
      </c>
      <c r="AO17636" s="11">
        <v>31751.64</v>
      </c>
      <c r="AP17636" s="9">
        <v>3.4191819277617674</v>
      </c>
    </row>
    <row r="17637" spans="40:42" x14ac:dyDescent="0.3">
      <c r="AN17637">
        <v>17633</v>
      </c>
      <c r="AO17637" s="11">
        <v>31234.62</v>
      </c>
      <c r="AP17637" s="9">
        <v>3.7891869583349056</v>
      </c>
    </row>
    <row r="17638" spans="40:42" x14ac:dyDescent="0.3">
      <c r="AN17638">
        <v>17634</v>
      </c>
      <c r="AO17638" s="11">
        <v>25781.95</v>
      </c>
      <c r="AP17638" s="9">
        <v>3.1785296152259477</v>
      </c>
    </row>
    <row r="17639" spans="40:42" x14ac:dyDescent="0.3">
      <c r="AN17639">
        <v>17635</v>
      </c>
      <c r="AO17639" s="11">
        <v>30023.4</v>
      </c>
      <c r="AP17639" s="9">
        <v>3.414577233789748</v>
      </c>
    </row>
    <row r="17640" spans="40:42" x14ac:dyDescent="0.3">
      <c r="AN17640">
        <v>17636</v>
      </c>
      <c r="AO17640" s="11">
        <v>20216.240000000002</v>
      </c>
      <c r="AP17640" s="9">
        <v>3.1977994478795329</v>
      </c>
    </row>
    <row r="17641" spans="40:42" x14ac:dyDescent="0.3">
      <c r="AN17641">
        <v>17637</v>
      </c>
      <c r="AO17641" s="11">
        <v>31116.560000000001</v>
      </c>
      <c r="AP17641" s="9">
        <v>3.59420133665839</v>
      </c>
    </row>
    <row r="17642" spans="40:42" x14ac:dyDescent="0.3">
      <c r="AN17642">
        <v>17638</v>
      </c>
      <c r="AO17642" s="11">
        <v>26019.25</v>
      </c>
      <c r="AP17642" s="9">
        <v>3.4260400310643186</v>
      </c>
    </row>
    <row r="17643" spans="40:42" x14ac:dyDescent="0.3">
      <c r="AN17643">
        <v>17639</v>
      </c>
      <c r="AO17643" s="11">
        <v>19530.560000000001</v>
      </c>
      <c r="AP17643" s="9">
        <v>3.8145119743320617</v>
      </c>
    </row>
    <row r="17644" spans="40:42" x14ac:dyDescent="0.3">
      <c r="AN17644">
        <v>17640</v>
      </c>
      <c r="AO17644" s="11">
        <v>21558.92</v>
      </c>
      <c r="AP17644" s="9">
        <v>2.5165480976195038</v>
      </c>
    </row>
    <row r="17645" spans="40:42" x14ac:dyDescent="0.3">
      <c r="AN17645">
        <v>17641</v>
      </c>
      <c r="AO17645" s="11">
        <v>25631.71</v>
      </c>
      <c r="AP17645" s="9">
        <v>3.2248393463003007</v>
      </c>
    </row>
    <row r="17646" spans="40:42" x14ac:dyDescent="0.3">
      <c r="AN17646">
        <v>17642</v>
      </c>
      <c r="AO17646" s="11">
        <v>45137.2</v>
      </c>
      <c r="AP17646" s="9">
        <v>3.4729668160303251</v>
      </c>
    </row>
    <row r="17647" spans="40:42" x14ac:dyDescent="0.3">
      <c r="AN17647">
        <v>17643</v>
      </c>
      <c r="AO17647" s="11">
        <v>32673.05</v>
      </c>
      <c r="AP17647" s="9">
        <v>3.51090461529237</v>
      </c>
    </row>
    <row r="17648" spans="40:42" x14ac:dyDescent="0.3">
      <c r="AN17648">
        <v>17644</v>
      </c>
      <c r="AO17648" s="11">
        <v>26378.57</v>
      </c>
      <c r="AP17648" s="9">
        <v>2.9715425920387855</v>
      </c>
    </row>
    <row r="17649" spans="40:42" x14ac:dyDescent="0.3">
      <c r="AN17649">
        <v>17645</v>
      </c>
      <c r="AO17649" s="11">
        <v>28191.919999999998</v>
      </c>
      <c r="AP17649" s="9">
        <v>3.6514338880290378</v>
      </c>
    </row>
    <row r="17650" spans="40:42" x14ac:dyDescent="0.3">
      <c r="AN17650">
        <v>17646</v>
      </c>
      <c r="AO17650" s="11">
        <v>34926.639999999999</v>
      </c>
      <c r="AP17650" s="9">
        <v>3.5072052807145115</v>
      </c>
    </row>
    <row r="17651" spans="40:42" x14ac:dyDescent="0.3">
      <c r="AN17651">
        <v>17647</v>
      </c>
      <c r="AO17651" s="11">
        <v>42016.02</v>
      </c>
      <c r="AP17651" s="9">
        <v>3.7107014946484256</v>
      </c>
    </row>
    <row r="17652" spans="40:42" x14ac:dyDescent="0.3">
      <c r="AN17652">
        <v>17648</v>
      </c>
      <c r="AO17652" s="11">
        <v>43484.23</v>
      </c>
      <c r="AP17652" s="9">
        <v>4.334828568667624</v>
      </c>
    </row>
    <row r="17653" spans="40:42" x14ac:dyDescent="0.3">
      <c r="AN17653">
        <v>17649</v>
      </c>
      <c r="AO17653" s="11">
        <v>26556.54</v>
      </c>
      <c r="AP17653" s="9">
        <v>3.1425646995966892</v>
      </c>
    </row>
    <row r="17654" spans="40:42" x14ac:dyDescent="0.3">
      <c r="AN17654">
        <v>17650</v>
      </c>
      <c r="AO17654" s="11">
        <v>26137.25</v>
      </c>
      <c r="AP17654" s="9">
        <v>2.623966625051334</v>
      </c>
    </row>
    <row r="17655" spans="40:42" x14ac:dyDescent="0.3">
      <c r="AN17655">
        <v>17651</v>
      </c>
      <c r="AO17655" s="11">
        <v>30386.61</v>
      </c>
      <c r="AP17655" s="9">
        <v>3.3182710986133923</v>
      </c>
    </row>
    <row r="17656" spans="40:42" x14ac:dyDescent="0.3">
      <c r="AN17656">
        <v>17652</v>
      </c>
      <c r="AO17656" s="11">
        <v>32323.29</v>
      </c>
      <c r="AP17656" s="9">
        <v>3.9120307361621536</v>
      </c>
    </row>
    <row r="17657" spans="40:42" x14ac:dyDescent="0.3">
      <c r="AN17657">
        <v>17653</v>
      </c>
      <c r="AO17657" s="11">
        <v>21313</v>
      </c>
      <c r="AP17657" s="9">
        <v>2.9728695777966587</v>
      </c>
    </row>
    <row r="17658" spans="40:42" x14ac:dyDescent="0.3">
      <c r="AN17658">
        <v>17654</v>
      </c>
      <c r="AO17658" s="11">
        <v>32917.54</v>
      </c>
      <c r="AP17658" s="9">
        <v>3.6432937132351353</v>
      </c>
    </row>
    <row r="17659" spans="40:42" x14ac:dyDescent="0.3">
      <c r="AN17659">
        <v>17655</v>
      </c>
      <c r="AO17659" s="11">
        <v>27336.16</v>
      </c>
      <c r="AP17659" s="9">
        <v>3.0121097205808036</v>
      </c>
    </row>
    <row r="17660" spans="40:42" x14ac:dyDescent="0.3">
      <c r="AN17660">
        <v>17656</v>
      </c>
      <c r="AO17660" s="11">
        <v>31450.65</v>
      </c>
      <c r="AP17660" s="9">
        <v>3.2622921036847057</v>
      </c>
    </row>
    <row r="17661" spans="40:42" x14ac:dyDescent="0.3">
      <c r="AN17661">
        <v>17657</v>
      </c>
      <c r="AO17661" s="11">
        <v>23129.54</v>
      </c>
      <c r="AP17661" s="9">
        <v>3.5313733124633231</v>
      </c>
    </row>
    <row r="17662" spans="40:42" x14ac:dyDescent="0.3">
      <c r="AN17662">
        <v>17658</v>
      </c>
      <c r="AO17662" s="11">
        <v>31231.96</v>
      </c>
      <c r="AP17662" s="9">
        <v>3.0608654459572202</v>
      </c>
    </row>
    <row r="17663" spans="40:42" x14ac:dyDescent="0.3">
      <c r="AN17663">
        <v>17659</v>
      </c>
      <c r="AO17663" s="11">
        <v>28352.59</v>
      </c>
      <c r="AP17663" s="9">
        <v>3.1834384409300824</v>
      </c>
    </row>
    <row r="17664" spans="40:42" x14ac:dyDescent="0.3">
      <c r="AN17664">
        <v>17660</v>
      </c>
      <c r="AO17664" s="11">
        <v>23283.38</v>
      </c>
      <c r="AP17664" s="9">
        <v>3.2810890761885831</v>
      </c>
    </row>
    <row r="17665" spans="40:42" x14ac:dyDescent="0.3">
      <c r="AN17665">
        <v>17661</v>
      </c>
      <c r="AO17665" s="11">
        <v>32397.89</v>
      </c>
      <c r="AP17665" s="9">
        <v>3.161323977871525</v>
      </c>
    </row>
    <row r="17666" spans="40:42" x14ac:dyDescent="0.3">
      <c r="AN17666">
        <v>17662</v>
      </c>
      <c r="AO17666" s="11">
        <v>34684.86</v>
      </c>
      <c r="AP17666" s="9">
        <v>3.427755911991778</v>
      </c>
    </row>
    <row r="17667" spans="40:42" x14ac:dyDescent="0.3">
      <c r="AN17667">
        <v>17663</v>
      </c>
      <c r="AO17667" s="11">
        <v>20536.55</v>
      </c>
      <c r="AP17667" s="9">
        <v>2.9747274575386013</v>
      </c>
    </row>
    <row r="17668" spans="40:42" x14ac:dyDescent="0.3">
      <c r="AN17668">
        <v>17664</v>
      </c>
      <c r="AO17668" s="11">
        <v>24694.880000000001</v>
      </c>
      <c r="AP17668" s="9">
        <v>3.4569208439905856</v>
      </c>
    </row>
    <row r="17669" spans="40:42" x14ac:dyDescent="0.3">
      <c r="AN17669">
        <v>17665</v>
      </c>
      <c r="AO17669" s="11">
        <v>28822.02</v>
      </c>
      <c r="AP17669" s="9">
        <v>3.7395765598036856</v>
      </c>
    </row>
    <row r="17670" spans="40:42" x14ac:dyDescent="0.3">
      <c r="AN17670">
        <v>17666</v>
      </c>
      <c r="AO17670" s="11">
        <v>28841.75</v>
      </c>
      <c r="AP17670" s="9">
        <v>3.5533569231790505</v>
      </c>
    </row>
    <row r="17671" spans="40:42" x14ac:dyDescent="0.3">
      <c r="AN17671">
        <v>17667</v>
      </c>
      <c r="AO17671" s="11">
        <v>29221.919999999998</v>
      </c>
      <c r="AP17671" s="9">
        <v>2.936657484834976</v>
      </c>
    </row>
    <row r="17672" spans="40:42" x14ac:dyDescent="0.3">
      <c r="AN17672">
        <v>17668</v>
      </c>
      <c r="AO17672" s="11">
        <v>28119.439999999999</v>
      </c>
      <c r="AP17672" s="9">
        <v>3.910364877640188</v>
      </c>
    </row>
    <row r="17673" spans="40:42" x14ac:dyDescent="0.3">
      <c r="AN17673">
        <v>17669</v>
      </c>
      <c r="AO17673" s="11">
        <v>18258.2</v>
      </c>
      <c r="AP17673" s="9">
        <v>3.0825615560250204</v>
      </c>
    </row>
    <row r="17674" spans="40:42" x14ac:dyDescent="0.3">
      <c r="AN17674">
        <v>17670</v>
      </c>
      <c r="AO17674" s="11">
        <v>25056.15</v>
      </c>
      <c r="AP17674" s="9">
        <v>3.2408464648780217</v>
      </c>
    </row>
    <row r="17675" spans="40:42" x14ac:dyDescent="0.3">
      <c r="AN17675">
        <v>17671</v>
      </c>
      <c r="AO17675" s="11">
        <v>28440.86</v>
      </c>
      <c r="AP17675" s="9">
        <v>3.4204885700809737</v>
      </c>
    </row>
    <row r="17676" spans="40:42" x14ac:dyDescent="0.3">
      <c r="AN17676">
        <v>17672</v>
      </c>
      <c r="AO17676" s="11">
        <v>19009.82</v>
      </c>
      <c r="AP17676" s="9">
        <v>3.0247711948911453</v>
      </c>
    </row>
    <row r="17677" spans="40:42" x14ac:dyDescent="0.3">
      <c r="AN17677">
        <v>17673</v>
      </c>
      <c r="AO17677" s="11">
        <v>26686.83</v>
      </c>
      <c r="AP17677" s="9">
        <v>3.2035089258315357</v>
      </c>
    </row>
    <row r="17678" spans="40:42" x14ac:dyDescent="0.3">
      <c r="AN17678">
        <v>17674</v>
      </c>
      <c r="AO17678" s="11">
        <v>21999.59</v>
      </c>
      <c r="AP17678" s="9">
        <v>3.6321236228868563</v>
      </c>
    </row>
    <row r="17679" spans="40:42" x14ac:dyDescent="0.3">
      <c r="AN17679">
        <v>17675</v>
      </c>
      <c r="AO17679" s="11">
        <v>25527.89</v>
      </c>
      <c r="AP17679" s="9">
        <v>3.4498506291575164</v>
      </c>
    </row>
    <row r="17680" spans="40:42" x14ac:dyDescent="0.3">
      <c r="AN17680">
        <v>17676</v>
      </c>
      <c r="AO17680" s="11">
        <v>35769.519999999997</v>
      </c>
      <c r="AP17680" s="9">
        <v>3.6642351258096513</v>
      </c>
    </row>
    <row r="17681" spans="40:42" x14ac:dyDescent="0.3">
      <c r="AN17681">
        <v>17677</v>
      </c>
      <c r="AO17681" s="11">
        <v>22421.73</v>
      </c>
      <c r="AP17681" s="9">
        <v>3.1818419747575715</v>
      </c>
    </row>
    <row r="17682" spans="40:42" x14ac:dyDescent="0.3">
      <c r="AN17682">
        <v>17678</v>
      </c>
      <c r="AO17682" s="11">
        <v>50063.71</v>
      </c>
      <c r="AP17682" s="9">
        <v>3.834151617413176</v>
      </c>
    </row>
    <row r="17683" spans="40:42" x14ac:dyDescent="0.3">
      <c r="AN17683">
        <v>17679</v>
      </c>
      <c r="AO17683" s="11">
        <v>26282.7</v>
      </c>
      <c r="AP17683" s="9">
        <v>2.7860043494248772</v>
      </c>
    </row>
    <row r="17684" spans="40:42" x14ac:dyDescent="0.3">
      <c r="AN17684">
        <v>17680</v>
      </c>
      <c r="AO17684" s="11">
        <v>34006.01</v>
      </c>
      <c r="AP17684" s="9">
        <v>3.6990968910508721</v>
      </c>
    </row>
    <row r="17685" spans="40:42" x14ac:dyDescent="0.3">
      <c r="AN17685">
        <v>17681</v>
      </c>
      <c r="AO17685" s="11">
        <v>24888.06</v>
      </c>
      <c r="AP17685" s="9">
        <v>3.5750307920795112</v>
      </c>
    </row>
    <row r="17686" spans="40:42" x14ac:dyDescent="0.3">
      <c r="AN17686">
        <v>17682</v>
      </c>
      <c r="AO17686" s="11">
        <v>19817.599999999999</v>
      </c>
      <c r="AP17686" s="9">
        <v>2.7892727640591315</v>
      </c>
    </row>
    <row r="17687" spans="40:42" x14ac:dyDescent="0.3">
      <c r="AN17687">
        <v>17683</v>
      </c>
      <c r="AO17687" s="11">
        <v>24335.08</v>
      </c>
      <c r="AP17687" s="9">
        <v>3.4021188891041922</v>
      </c>
    </row>
    <row r="17688" spans="40:42" x14ac:dyDescent="0.3">
      <c r="AN17688">
        <v>17684</v>
      </c>
      <c r="AO17688" s="11">
        <v>33594.04</v>
      </c>
      <c r="AP17688" s="9">
        <v>3.4999983508719095</v>
      </c>
    </row>
    <row r="17689" spans="40:42" x14ac:dyDescent="0.3">
      <c r="AN17689">
        <v>17685</v>
      </c>
      <c r="AO17689" s="11">
        <v>24631.41</v>
      </c>
      <c r="AP17689" s="9">
        <v>3.3246029856927044</v>
      </c>
    </row>
    <row r="17690" spans="40:42" x14ac:dyDescent="0.3">
      <c r="AN17690">
        <v>17686</v>
      </c>
      <c r="AO17690" s="11">
        <v>36510.6</v>
      </c>
      <c r="AP17690" s="9">
        <v>3.6113112930745732</v>
      </c>
    </row>
    <row r="17691" spans="40:42" x14ac:dyDescent="0.3">
      <c r="AN17691">
        <v>17687</v>
      </c>
      <c r="AO17691" s="11">
        <v>24548.97</v>
      </c>
      <c r="AP17691" s="9">
        <v>3.6324307977445627</v>
      </c>
    </row>
    <row r="17692" spans="40:42" x14ac:dyDescent="0.3">
      <c r="AN17692">
        <v>17688</v>
      </c>
      <c r="AO17692" s="11">
        <v>24912.92</v>
      </c>
      <c r="AP17692" s="9">
        <v>3.2100225070375896</v>
      </c>
    </row>
    <row r="17693" spans="40:42" x14ac:dyDescent="0.3">
      <c r="AN17693">
        <v>17689</v>
      </c>
      <c r="AO17693" s="11">
        <v>31704.92</v>
      </c>
      <c r="AP17693" s="9">
        <v>3.8516357552117197</v>
      </c>
    </row>
    <row r="17694" spans="40:42" x14ac:dyDescent="0.3">
      <c r="AN17694">
        <v>17690</v>
      </c>
      <c r="AO17694" s="11">
        <v>24604.240000000002</v>
      </c>
      <c r="AP17694" s="9">
        <v>3.1638384200087208</v>
      </c>
    </row>
    <row r="17695" spans="40:42" x14ac:dyDescent="0.3">
      <c r="AN17695">
        <v>17691</v>
      </c>
      <c r="AO17695" s="11">
        <v>30345.61</v>
      </c>
      <c r="AP17695" s="9">
        <v>3.0305129684968737</v>
      </c>
    </row>
    <row r="17696" spans="40:42" x14ac:dyDescent="0.3">
      <c r="AN17696">
        <v>17692</v>
      </c>
      <c r="AO17696" s="11">
        <v>23309.98</v>
      </c>
      <c r="AP17696" s="9">
        <v>3.2787006467530255</v>
      </c>
    </row>
    <row r="17697" spans="40:42" x14ac:dyDescent="0.3">
      <c r="AN17697">
        <v>17693</v>
      </c>
      <c r="AO17697" s="11">
        <v>28956.69</v>
      </c>
      <c r="AP17697" s="9">
        <v>3.7567120541056536</v>
      </c>
    </row>
    <row r="17698" spans="40:42" x14ac:dyDescent="0.3">
      <c r="AN17698">
        <v>17694</v>
      </c>
      <c r="AO17698" s="11">
        <v>25212.639999999999</v>
      </c>
      <c r="AP17698" s="9">
        <v>3.1320635469339284</v>
      </c>
    </row>
    <row r="17699" spans="40:42" x14ac:dyDescent="0.3">
      <c r="AN17699">
        <v>17695</v>
      </c>
      <c r="AO17699" s="11">
        <v>21458.05</v>
      </c>
      <c r="AP17699" s="9">
        <v>3.6093596334781877</v>
      </c>
    </row>
    <row r="17700" spans="40:42" x14ac:dyDescent="0.3">
      <c r="AN17700">
        <v>17696</v>
      </c>
      <c r="AO17700" s="11">
        <v>31749.38</v>
      </c>
      <c r="AP17700" s="9">
        <v>3.4356237658846034</v>
      </c>
    </row>
    <row r="17701" spans="40:42" x14ac:dyDescent="0.3">
      <c r="AN17701">
        <v>17697</v>
      </c>
      <c r="AO17701" s="11">
        <v>37466.03</v>
      </c>
      <c r="AP17701" s="9">
        <v>4.289365207554213</v>
      </c>
    </row>
    <row r="17702" spans="40:42" x14ac:dyDescent="0.3">
      <c r="AN17702">
        <v>17698</v>
      </c>
      <c r="AO17702" s="11">
        <v>25980.240000000002</v>
      </c>
      <c r="AP17702" s="9">
        <v>3.2201198252296588</v>
      </c>
    </row>
    <row r="17703" spans="40:42" x14ac:dyDescent="0.3">
      <c r="AN17703">
        <v>17699</v>
      </c>
      <c r="AO17703" s="11">
        <v>36032.959999999999</v>
      </c>
      <c r="AP17703" s="9">
        <v>3.4156193157549275</v>
      </c>
    </row>
    <row r="17704" spans="40:42" x14ac:dyDescent="0.3">
      <c r="AN17704">
        <v>17700</v>
      </c>
      <c r="AO17704" s="11">
        <v>27813.26</v>
      </c>
      <c r="AP17704" s="9">
        <v>3.3119001572680959</v>
      </c>
    </row>
    <row r="17705" spans="40:42" x14ac:dyDescent="0.3">
      <c r="AN17705">
        <v>17701</v>
      </c>
      <c r="AO17705" s="11">
        <v>39285.07</v>
      </c>
      <c r="AP17705" s="9">
        <v>3.2751974520198051</v>
      </c>
    </row>
    <row r="17706" spans="40:42" x14ac:dyDescent="0.3">
      <c r="AN17706">
        <v>17702</v>
      </c>
      <c r="AO17706" s="11">
        <v>23197.46</v>
      </c>
      <c r="AP17706" s="9">
        <v>3.6374038807858926</v>
      </c>
    </row>
    <row r="17707" spans="40:42" x14ac:dyDescent="0.3">
      <c r="AN17707">
        <v>17703</v>
      </c>
      <c r="AO17707" s="11">
        <v>25755.200000000001</v>
      </c>
      <c r="AP17707" s="9">
        <v>3.0974330269539774</v>
      </c>
    </row>
    <row r="17708" spans="40:42" x14ac:dyDescent="0.3">
      <c r="AN17708">
        <v>17704</v>
      </c>
      <c r="AO17708" s="11">
        <v>18037.12</v>
      </c>
      <c r="AP17708" s="9">
        <v>3.7149397704927565</v>
      </c>
    </row>
    <row r="17709" spans="40:42" x14ac:dyDescent="0.3">
      <c r="AN17709">
        <v>17705</v>
      </c>
      <c r="AO17709" s="11">
        <v>22595.77</v>
      </c>
      <c r="AP17709" s="9">
        <v>2.8910719477388991</v>
      </c>
    </row>
    <row r="17710" spans="40:42" x14ac:dyDescent="0.3">
      <c r="AN17710">
        <v>17706</v>
      </c>
      <c r="AO17710" s="11">
        <v>23353.98</v>
      </c>
      <c r="AP17710" s="9">
        <v>2.615039766100907</v>
      </c>
    </row>
    <row r="17711" spans="40:42" x14ac:dyDescent="0.3">
      <c r="AN17711">
        <v>17707</v>
      </c>
      <c r="AO17711" s="11">
        <v>24711.23</v>
      </c>
      <c r="AP17711" s="9">
        <v>3.5405272874692235</v>
      </c>
    </row>
    <row r="17712" spans="40:42" x14ac:dyDescent="0.3">
      <c r="AN17712">
        <v>17708</v>
      </c>
      <c r="AO17712" s="11">
        <v>37719.86</v>
      </c>
      <c r="AP17712" s="9">
        <v>2.9173635239786102</v>
      </c>
    </row>
    <row r="17713" spans="40:42" x14ac:dyDescent="0.3">
      <c r="AN17713">
        <v>17709</v>
      </c>
      <c r="AO17713" s="11">
        <v>42189.36</v>
      </c>
      <c r="AP17713" s="9">
        <v>4.1924219870439021</v>
      </c>
    </row>
    <row r="17714" spans="40:42" x14ac:dyDescent="0.3">
      <c r="AN17714">
        <v>17710</v>
      </c>
      <c r="AO17714" s="11">
        <v>20994.76</v>
      </c>
      <c r="AP17714" s="9">
        <v>3.5330212687457889</v>
      </c>
    </row>
    <row r="17715" spans="40:42" x14ac:dyDescent="0.3">
      <c r="AN17715">
        <v>17711</v>
      </c>
      <c r="AO17715" s="11">
        <v>23032.81</v>
      </c>
      <c r="AP17715" s="9">
        <v>2.8667549138702797</v>
      </c>
    </row>
    <row r="17716" spans="40:42" x14ac:dyDescent="0.3">
      <c r="AN17716">
        <v>17712</v>
      </c>
      <c r="AO17716" s="11">
        <v>18745.419999999998</v>
      </c>
      <c r="AP17716" s="9">
        <v>3.5103011306970995</v>
      </c>
    </row>
    <row r="17717" spans="40:42" x14ac:dyDescent="0.3">
      <c r="AN17717">
        <v>17713</v>
      </c>
      <c r="AO17717" s="11">
        <v>23671.34</v>
      </c>
      <c r="AP17717" s="9">
        <v>3.6933757575535568</v>
      </c>
    </row>
    <row r="17718" spans="40:42" x14ac:dyDescent="0.3">
      <c r="AN17718">
        <v>17714</v>
      </c>
      <c r="AO17718" s="11">
        <v>38795.550000000003</v>
      </c>
      <c r="AP17718" s="9">
        <v>3.365330101650311</v>
      </c>
    </row>
    <row r="17719" spans="40:42" x14ac:dyDescent="0.3">
      <c r="AN17719">
        <v>17715</v>
      </c>
      <c r="AO17719" s="11">
        <v>23849.29</v>
      </c>
      <c r="AP17719" s="9">
        <v>3.5649944676677565</v>
      </c>
    </row>
    <row r="17720" spans="40:42" x14ac:dyDescent="0.3">
      <c r="AN17720">
        <v>17716</v>
      </c>
      <c r="AO17720" s="11">
        <v>41868.449999999997</v>
      </c>
      <c r="AP17720" s="9">
        <v>4.2690826145993235</v>
      </c>
    </row>
    <row r="17721" spans="40:42" x14ac:dyDescent="0.3">
      <c r="AN17721">
        <v>17717</v>
      </c>
      <c r="AO17721" s="11">
        <v>20787.96</v>
      </c>
      <c r="AP17721" s="9">
        <v>3.0234745427320417</v>
      </c>
    </row>
    <row r="17722" spans="40:42" x14ac:dyDescent="0.3">
      <c r="AN17722">
        <v>17718</v>
      </c>
      <c r="AO17722" s="11">
        <v>42134.39</v>
      </c>
      <c r="AP17722" s="9">
        <v>3.5653299191842445</v>
      </c>
    </row>
    <row r="17723" spans="40:42" x14ac:dyDescent="0.3">
      <c r="AN17723">
        <v>17719</v>
      </c>
      <c r="AO17723" s="11">
        <v>19534.560000000001</v>
      </c>
      <c r="AP17723" s="9">
        <v>3.5586741569945035</v>
      </c>
    </row>
    <row r="17724" spans="40:42" x14ac:dyDescent="0.3">
      <c r="AN17724">
        <v>17720</v>
      </c>
      <c r="AO17724" s="11">
        <v>19029.63</v>
      </c>
      <c r="AP17724" s="9">
        <v>3.0229704280643279</v>
      </c>
    </row>
    <row r="17725" spans="40:42" x14ac:dyDescent="0.3">
      <c r="AN17725">
        <v>17721</v>
      </c>
      <c r="AO17725" s="11">
        <v>25378.12</v>
      </c>
      <c r="AP17725" s="9">
        <v>3.7822643324209322</v>
      </c>
    </row>
    <row r="17726" spans="40:42" x14ac:dyDescent="0.3">
      <c r="AN17726">
        <v>17722</v>
      </c>
      <c r="AO17726" s="11">
        <v>31605.72</v>
      </c>
      <c r="AP17726" s="9">
        <v>3.4049204395718897</v>
      </c>
    </row>
    <row r="17727" spans="40:42" x14ac:dyDescent="0.3">
      <c r="AN17727">
        <v>17723</v>
      </c>
      <c r="AO17727" s="11">
        <v>31032.34</v>
      </c>
      <c r="AP17727" s="9">
        <v>3.0314034691008014</v>
      </c>
    </row>
    <row r="17728" spans="40:42" x14ac:dyDescent="0.3">
      <c r="AN17728">
        <v>17724</v>
      </c>
      <c r="AO17728" s="11">
        <v>30406.35</v>
      </c>
      <c r="AP17728" s="9">
        <v>3.0899180500390475</v>
      </c>
    </row>
    <row r="17729" spans="40:42" x14ac:dyDescent="0.3">
      <c r="AN17729">
        <v>17725</v>
      </c>
      <c r="AO17729" s="11">
        <v>21561.46</v>
      </c>
      <c r="AP17729" s="9">
        <v>4.0846785018705152</v>
      </c>
    </row>
    <row r="17730" spans="40:42" x14ac:dyDescent="0.3">
      <c r="AN17730">
        <v>17726</v>
      </c>
      <c r="AO17730" s="11">
        <v>27387.61</v>
      </c>
      <c r="AP17730" s="9">
        <v>2.9701255504165895</v>
      </c>
    </row>
    <row r="17731" spans="40:42" x14ac:dyDescent="0.3">
      <c r="AN17731">
        <v>17727</v>
      </c>
      <c r="AO17731" s="11">
        <v>21622.98</v>
      </c>
      <c r="AP17731" s="9">
        <v>3.8246246472949328</v>
      </c>
    </row>
    <row r="17732" spans="40:42" x14ac:dyDescent="0.3">
      <c r="AN17732">
        <v>17728</v>
      </c>
      <c r="AO17732" s="11">
        <v>35049.65</v>
      </c>
      <c r="AP17732" s="9">
        <v>3.1170061255010042</v>
      </c>
    </row>
    <row r="17733" spans="40:42" x14ac:dyDescent="0.3">
      <c r="AN17733">
        <v>17729</v>
      </c>
      <c r="AO17733" s="11">
        <v>16435.03</v>
      </c>
      <c r="AP17733" s="9">
        <v>3.3791519067843372</v>
      </c>
    </row>
    <row r="17734" spans="40:42" x14ac:dyDescent="0.3">
      <c r="AN17734">
        <v>17730</v>
      </c>
      <c r="AO17734" s="11">
        <v>32471.21</v>
      </c>
      <c r="AP17734" s="9">
        <v>3.8648120857549282</v>
      </c>
    </row>
    <row r="17735" spans="40:42" x14ac:dyDescent="0.3">
      <c r="AN17735">
        <v>17731</v>
      </c>
      <c r="AO17735" s="11">
        <v>30494.15</v>
      </c>
      <c r="AP17735" s="9">
        <v>3.613120466777743</v>
      </c>
    </row>
    <row r="17736" spans="40:42" x14ac:dyDescent="0.3">
      <c r="AN17736">
        <v>17732</v>
      </c>
      <c r="AO17736" s="11">
        <v>37089.01</v>
      </c>
      <c r="AP17736" s="9">
        <v>4.1132475552043433</v>
      </c>
    </row>
    <row r="17737" spans="40:42" x14ac:dyDescent="0.3">
      <c r="AN17737">
        <v>17733</v>
      </c>
      <c r="AO17737" s="11">
        <v>29792.59</v>
      </c>
      <c r="AP17737" s="9">
        <v>3.6120621509751034</v>
      </c>
    </row>
    <row r="17738" spans="40:42" x14ac:dyDescent="0.3">
      <c r="AN17738">
        <v>17734</v>
      </c>
      <c r="AO17738" s="11">
        <v>33478.81</v>
      </c>
      <c r="AP17738" s="9">
        <v>3.2224185249728881</v>
      </c>
    </row>
    <row r="17739" spans="40:42" x14ac:dyDescent="0.3">
      <c r="AN17739">
        <v>17735</v>
      </c>
      <c r="AO17739" s="11">
        <v>49091.44</v>
      </c>
      <c r="AP17739" s="9">
        <v>5.0790637249718147</v>
      </c>
    </row>
    <row r="17740" spans="40:42" x14ac:dyDescent="0.3">
      <c r="AN17740">
        <v>17736</v>
      </c>
      <c r="AO17740" s="11">
        <v>23064.22</v>
      </c>
      <c r="AP17740" s="9">
        <v>3.2599843420644885</v>
      </c>
    </row>
    <row r="17741" spans="40:42" x14ac:dyDescent="0.3">
      <c r="AN17741">
        <v>17737</v>
      </c>
      <c r="AO17741" s="11">
        <v>38181.67</v>
      </c>
      <c r="AP17741" s="9">
        <v>3.7795758462421789</v>
      </c>
    </row>
    <row r="17742" spans="40:42" x14ac:dyDescent="0.3">
      <c r="AN17742">
        <v>17738</v>
      </c>
      <c r="AO17742" s="11">
        <v>28312.23</v>
      </c>
      <c r="AP17742" s="9">
        <v>3.233111503729599</v>
      </c>
    </row>
    <row r="17743" spans="40:42" x14ac:dyDescent="0.3">
      <c r="AN17743">
        <v>17739</v>
      </c>
      <c r="AO17743" s="11">
        <v>26908.53</v>
      </c>
      <c r="AP17743" s="9">
        <v>3.5393093703380125</v>
      </c>
    </row>
    <row r="17744" spans="40:42" x14ac:dyDescent="0.3">
      <c r="AN17744">
        <v>17740</v>
      </c>
      <c r="AO17744" s="11">
        <v>21515.19</v>
      </c>
      <c r="AP17744" s="9">
        <v>3.9203701106348694</v>
      </c>
    </row>
    <row r="17745" spans="40:42" x14ac:dyDescent="0.3">
      <c r="AN17745">
        <v>17741</v>
      </c>
      <c r="AO17745" s="11">
        <v>22370.61</v>
      </c>
      <c r="AP17745" s="9">
        <v>3.9394196921248481</v>
      </c>
    </row>
    <row r="17746" spans="40:42" x14ac:dyDescent="0.3">
      <c r="AN17746">
        <v>17742</v>
      </c>
      <c r="AO17746" s="11">
        <v>27523.919999999998</v>
      </c>
      <c r="AP17746" s="9">
        <v>3.6427812067014513</v>
      </c>
    </row>
    <row r="17747" spans="40:42" x14ac:dyDescent="0.3">
      <c r="AN17747">
        <v>17743</v>
      </c>
      <c r="AO17747" s="11">
        <v>32895.39</v>
      </c>
      <c r="AP17747" s="9">
        <v>4.0814747195932322</v>
      </c>
    </row>
    <row r="17748" spans="40:42" x14ac:dyDescent="0.3">
      <c r="AN17748">
        <v>17744</v>
      </c>
      <c r="AO17748" s="11">
        <v>24282.91</v>
      </c>
      <c r="AP17748" s="9">
        <v>3.1513704045828668</v>
      </c>
    </row>
    <row r="17749" spans="40:42" x14ac:dyDescent="0.3">
      <c r="AN17749">
        <v>17745</v>
      </c>
      <c r="AO17749" s="11">
        <v>19380.07</v>
      </c>
      <c r="AP17749" s="9">
        <v>3.3605077222537409</v>
      </c>
    </row>
    <row r="17750" spans="40:42" x14ac:dyDescent="0.3">
      <c r="AN17750">
        <v>17746</v>
      </c>
      <c r="AO17750" s="11">
        <v>29698.41</v>
      </c>
      <c r="AP17750" s="9">
        <v>3.1352348816398949</v>
      </c>
    </row>
    <row r="17751" spans="40:42" x14ac:dyDescent="0.3">
      <c r="AN17751">
        <v>17747</v>
      </c>
      <c r="AO17751" s="11">
        <v>40455.040000000001</v>
      </c>
      <c r="AP17751" s="9">
        <v>4.2950069396702935</v>
      </c>
    </row>
    <row r="17752" spans="40:42" x14ac:dyDescent="0.3">
      <c r="AN17752">
        <v>17748</v>
      </c>
      <c r="AO17752" s="11">
        <v>52522.44</v>
      </c>
      <c r="AP17752" s="9">
        <v>3.8325311496154364</v>
      </c>
    </row>
    <row r="17753" spans="40:42" x14ac:dyDescent="0.3">
      <c r="AN17753">
        <v>17749</v>
      </c>
      <c r="AO17753" s="11">
        <v>23837.01</v>
      </c>
      <c r="AP17753" s="9">
        <v>3.4290358296917636</v>
      </c>
    </row>
    <row r="17754" spans="40:42" x14ac:dyDescent="0.3">
      <c r="AN17754">
        <v>17750</v>
      </c>
      <c r="AO17754" s="11">
        <v>30779.26</v>
      </c>
      <c r="AP17754" s="9">
        <v>3.8082276343248314</v>
      </c>
    </row>
    <row r="17755" spans="40:42" x14ac:dyDescent="0.3">
      <c r="AN17755">
        <v>17751</v>
      </c>
      <c r="AO17755" s="11">
        <v>27791.81</v>
      </c>
      <c r="AP17755" s="9">
        <v>3.2497433451937012</v>
      </c>
    </row>
    <row r="17756" spans="40:42" x14ac:dyDescent="0.3">
      <c r="AN17756">
        <v>17752</v>
      </c>
      <c r="AO17756" s="11">
        <v>29487.68</v>
      </c>
      <c r="AP17756" s="9">
        <v>3.3489111221890941</v>
      </c>
    </row>
    <row r="17757" spans="40:42" x14ac:dyDescent="0.3">
      <c r="AN17757">
        <v>17753</v>
      </c>
      <c r="AO17757" s="11">
        <v>32153.53</v>
      </c>
      <c r="AP17757" s="9">
        <v>3.4843509877825305</v>
      </c>
    </row>
    <row r="17758" spans="40:42" x14ac:dyDescent="0.3">
      <c r="AN17758">
        <v>17754</v>
      </c>
      <c r="AO17758" s="11">
        <v>27448.17</v>
      </c>
      <c r="AP17758" s="9">
        <v>3.5029088161561792</v>
      </c>
    </row>
    <row r="17759" spans="40:42" x14ac:dyDescent="0.3">
      <c r="AN17759">
        <v>17755</v>
      </c>
      <c r="AO17759" s="11">
        <v>22298.84</v>
      </c>
      <c r="AP17759" s="9">
        <v>3.0540108316684349</v>
      </c>
    </row>
    <row r="17760" spans="40:42" x14ac:dyDescent="0.3">
      <c r="AN17760">
        <v>17756</v>
      </c>
      <c r="AO17760" s="11">
        <v>28902.12</v>
      </c>
      <c r="AP17760" s="9">
        <v>3.8013214562348301</v>
      </c>
    </row>
    <row r="17761" spans="40:42" x14ac:dyDescent="0.3">
      <c r="AN17761">
        <v>17757</v>
      </c>
      <c r="AO17761" s="11">
        <v>29880.51</v>
      </c>
      <c r="AP17761" s="9">
        <v>3.2437055520181559</v>
      </c>
    </row>
    <row r="17762" spans="40:42" x14ac:dyDescent="0.3">
      <c r="AN17762">
        <v>17758</v>
      </c>
      <c r="AO17762" s="11">
        <v>18765.22</v>
      </c>
      <c r="AP17762" s="9">
        <v>3.0308844965307267</v>
      </c>
    </row>
    <row r="17763" spans="40:42" x14ac:dyDescent="0.3">
      <c r="AN17763">
        <v>17759</v>
      </c>
      <c r="AO17763" s="11">
        <v>20148.13</v>
      </c>
      <c r="AP17763" s="9">
        <v>2.9476889271905047</v>
      </c>
    </row>
    <row r="17764" spans="40:42" x14ac:dyDescent="0.3">
      <c r="AN17764">
        <v>17760</v>
      </c>
      <c r="AO17764" s="11">
        <v>34002.44</v>
      </c>
      <c r="AP17764" s="9">
        <v>3.0876692431504633</v>
      </c>
    </row>
    <row r="17765" spans="40:42" x14ac:dyDescent="0.3">
      <c r="AN17765">
        <v>17761</v>
      </c>
      <c r="AO17765" s="11">
        <v>26853.84</v>
      </c>
      <c r="AP17765" s="9">
        <v>2.8353298449748059</v>
      </c>
    </row>
    <row r="17766" spans="40:42" x14ac:dyDescent="0.3">
      <c r="AN17766">
        <v>17762</v>
      </c>
      <c r="AO17766" s="11">
        <v>27091.13</v>
      </c>
      <c r="AP17766" s="9">
        <v>3.2447116747823945</v>
      </c>
    </row>
    <row r="17767" spans="40:42" x14ac:dyDescent="0.3">
      <c r="AN17767">
        <v>17763</v>
      </c>
      <c r="AO17767" s="11">
        <v>31984.78</v>
      </c>
      <c r="AP17767" s="9">
        <v>3.9615516803311746</v>
      </c>
    </row>
    <row r="17768" spans="40:42" x14ac:dyDescent="0.3">
      <c r="AN17768">
        <v>17764</v>
      </c>
      <c r="AO17768" s="11">
        <v>37368.79</v>
      </c>
      <c r="AP17768" s="9">
        <v>2.7891453848833936</v>
      </c>
    </row>
    <row r="17769" spans="40:42" x14ac:dyDescent="0.3">
      <c r="AN17769">
        <v>17765</v>
      </c>
      <c r="AO17769" s="11">
        <v>35585.31</v>
      </c>
      <c r="AP17769" s="9">
        <v>3.8840056155569389</v>
      </c>
    </row>
    <row r="17770" spans="40:42" x14ac:dyDescent="0.3">
      <c r="AN17770">
        <v>17766</v>
      </c>
      <c r="AO17770" s="11">
        <v>30325.4</v>
      </c>
      <c r="AP17770" s="9">
        <v>3.0716382357924443</v>
      </c>
    </row>
    <row r="17771" spans="40:42" x14ac:dyDescent="0.3">
      <c r="AN17771">
        <v>17767</v>
      </c>
      <c r="AO17771" s="11">
        <v>23223.25</v>
      </c>
      <c r="AP17771" s="9">
        <v>3.2860825289853945</v>
      </c>
    </row>
    <row r="17772" spans="40:42" x14ac:dyDescent="0.3">
      <c r="AN17772">
        <v>17768</v>
      </c>
      <c r="AO17772" s="11">
        <v>15918.4</v>
      </c>
      <c r="AP17772" s="9">
        <v>2.8580368031682357</v>
      </c>
    </row>
    <row r="17773" spans="40:42" x14ac:dyDescent="0.3">
      <c r="AN17773">
        <v>17769</v>
      </c>
      <c r="AO17773" s="11">
        <v>22207.25</v>
      </c>
      <c r="AP17773" s="9">
        <v>3.4998405514352102</v>
      </c>
    </row>
    <row r="17774" spans="40:42" x14ac:dyDescent="0.3">
      <c r="AN17774">
        <v>17770</v>
      </c>
      <c r="AO17774" s="11">
        <v>37276.61</v>
      </c>
      <c r="AP17774" s="9">
        <v>3.3412697567049285</v>
      </c>
    </row>
    <row r="17775" spans="40:42" x14ac:dyDescent="0.3">
      <c r="AN17775">
        <v>17771</v>
      </c>
      <c r="AO17775" s="11">
        <v>29977.32</v>
      </c>
      <c r="AP17775" s="9">
        <v>3.1756765183240461</v>
      </c>
    </row>
    <row r="17776" spans="40:42" x14ac:dyDescent="0.3">
      <c r="AN17776">
        <v>17772</v>
      </c>
      <c r="AO17776" s="11">
        <v>27025.439999999999</v>
      </c>
      <c r="AP17776" s="9">
        <v>3.149883310499582</v>
      </c>
    </row>
    <row r="17777" spans="40:42" x14ac:dyDescent="0.3">
      <c r="AN17777">
        <v>17773</v>
      </c>
      <c r="AO17777" s="11">
        <v>23122.35</v>
      </c>
      <c r="AP17777" s="9">
        <v>3.1835640432617027</v>
      </c>
    </row>
    <row r="17778" spans="40:42" x14ac:dyDescent="0.3">
      <c r="AN17778">
        <v>17774</v>
      </c>
      <c r="AO17778" s="11">
        <v>23025.4</v>
      </c>
      <c r="AP17778" s="9">
        <v>3.3615132629157083</v>
      </c>
    </row>
    <row r="17779" spans="40:42" x14ac:dyDescent="0.3">
      <c r="AN17779">
        <v>17775</v>
      </c>
      <c r="AO17779" s="11">
        <v>24714.03</v>
      </c>
      <c r="AP17779" s="9">
        <v>2.7998028197814713</v>
      </c>
    </row>
    <row r="17780" spans="40:42" x14ac:dyDescent="0.3">
      <c r="AN17780">
        <v>17776</v>
      </c>
      <c r="AO17780" s="11">
        <v>21136.1</v>
      </c>
      <c r="AP17780" s="9">
        <v>3.0886410472242538</v>
      </c>
    </row>
    <row r="17781" spans="40:42" x14ac:dyDescent="0.3">
      <c r="AN17781">
        <v>17777</v>
      </c>
      <c r="AO17781" s="11">
        <v>30759.95</v>
      </c>
      <c r="AP17781" s="9">
        <v>3.840708340208665</v>
      </c>
    </row>
    <row r="17782" spans="40:42" x14ac:dyDescent="0.3">
      <c r="AN17782">
        <v>17778</v>
      </c>
      <c r="AO17782" s="11">
        <v>25494.58</v>
      </c>
      <c r="AP17782" s="9">
        <v>3.3968684678448828</v>
      </c>
    </row>
    <row r="17783" spans="40:42" x14ac:dyDescent="0.3">
      <c r="AN17783">
        <v>17779</v>
      </c>
      <c r="AO17783" s="11">
        <v>19002.57</v>
      </c>
      <c r="AP17783" s="9">
        <v>2.7454857318926007</v>
      </c>
    </row>
    <row r="17784" spans="40:42" x14ac:dyDescent="0.3">
      <c r="AN17784">
        <v>17780</v>
      </c>
      <c r="AO17784" s="11">
        <v>20634.68</v>
      </c>
      <c r="AP17784" s="9">
        <v>3.0678894952032176</v>
      </c>
    </row>
    <row r="17785" spans="40:42" x14ac:dyDescent="0.3">
      <c r="AN17785">
        <v>17781</v>
      </c>
      <c r="AO17785" s="11">
        <v>34416.120000000003</v>
      </c>
      <c r="AP17785" s="9">
        <v>3.4801133341345496</v>
      </c>
    </row>
    <row r="17786" spans="40:42" x14ac:dyDescent="0.3">
      <c r="AN17786">
        <v>17782</v>
      </c>
      <c r="AO17786" s="11">
        <v>25268.01</v>
      </c>
      <c r="AP17786" s="9">
        <v>3.9696705342297811</v>
      </c>
    </row>
    <row r="17787" spans="40:42" x14ac:dyDescent="0.3">
      <c r="AN17787">
        <v>17783</v>
      </c>
      <c r="AO17787" s="11">
        <v>19196.310000000001</v>
      </c>
      <c r="AP17787" s="9">
        <v>2.8164279135242589</v>
      </c>
    </row>
    <row r="17788" spans="40:42" x14ac:dyDescent="0.3">
      <c r="AN17788">
        <v>17784</v>
      </c>
      <c r="AO17788" s="11">
        <v>23932.49</v>
      </c>
      <c r="AP17788" s="9">
        <v>3.4227454357100915</v>
      </c>
    </row>
    <row r="17789" spans="40:42" x14ac:dyDescent="0.3">
      <c r="AN17789">
        <v>17785</v>
      </c>
      <c r="AO17789" s="11">
        <v>21856.69</v>
      </c>
      <c r="AP17789" s="9">
        <v>3.3300199135156912</v>
      </c>
    </row>
    <row r="17790" spans="40:42" x14ac:dyDescent="0.3">
      <c r="AN17790">
        <v>17786</v>
      </c>
      <c r="AO17790" s="11">
        <v>16047.48</v>
      </c>
      <c r="AP17790" s="9">
        <v>3.3235903849842945</v>
      </c>
    </row>
    <row r="17791" spans="40:42" x14ac:dyDescent="0.3">
      <c r="AN17791">
        <v>17787</v>
      </c>
      <c r="AO17791" s="11">
        <v>20610.150000000001</v>
      </c>
      <c r="AP17791" s="9">
        <v>2.8365547663273945</v>
      </c>
    </row>
    <row r="17792" spans="40:42" x14ac:dyDescent="0.3">
      <c r="AN17792">
        <v>17788</v>
      </c>
      <c r="AO17792" s="11">
        <v>37083.24</v>
      </c>
      <c r="AP17792" s="9">
        <v>3.4560246082380255</v>
      </c>
    </row>
    <row r="17793" spans="40:42" x14ac:dyDescent="0.3">
      <c r="AN17793">
        <v>17789</v>
      </c>
      <c r="AO17793" s="11">
        <v>30799.56</v>
      </c>
      <c r="AP17793" s="9">
        <v>3.7413456274946282</v>
      </c>
    </row>
    <row r="17794" spans="40:42" x14ac:dyDescent="0.3">
      <c r="AN17794">
        <v>17790</v>
      </c>
      <c r="AO17794" s="11">
        <v>27711.5</v>
      </c>
      <c r="AP17794" s="9">
        <v>3.7700933060358897</v>
      </c>
    </row>
    <row r="17795" spans="40:42" x14ac:dyDescent="0.3">
      <c r="AN17795">
        <v>17791</v>
      </c>
      <c r="AO17795" s="11">
        <v>15619.62</v>
      </c>
      <c r="AP17795" s="9">
        <v>3.2620437666250655</v>
      </c>
    </row>
    <row r="17796" spans="40:42" x14ac:dyDescent="0.3">
      <c r="AN17796">
        <v>17792</v>
      </c>
      <c r="AO17796" s="11">
        <v>22201.64</v>
      </c>
      <c r="AP17796" s="9">
        <v>3.2892510335478029</v>
      </c>
    </row>
    <row r="17797" spans="40:42" x14ac:dyDescent="0.3">
      <c r="AN17797">
        <v>17793</v>
      </c>
      <c r="AO17797" s="11">
        <v>22659.91</v>
      </c>
      <c r="AP17797" s="9">
        <v>3.1150767837982682</v>
      </c>
    </row>
    <row r="17798" spans="40:42" x14ac:dyDescent="0.3">
      <c r="AN17798">
        <v>17794</v>
      </c>
      <c r="AO17798" s="11">
        <v>47235.6</v>
      </c>
      <c r="AP17798" s="9">
        <v>3.6357737340726772</v>
      </c>
    </row>
    <row r="17799" spans="40:42" x14ac:dyDescent="0.3">
      <c r="AN17799">
        <v>17795</v>
      </c>
      <c r="AO17799" s="11">
        <v>24461.82</v>
      </c>
      <c r="AP17799" s="9">
        <v>3.5568946181544669</v>
      </c>
    </row>
    <row r="17800" spans="40:42" x14ac:dyDescent="0.3">
      <c r="AN17800">
        <v>17796</v>
      </c>
      <c r="AO17800" s="11">
        <v>25031.15</v>
      </c>
      <c r="AP17800" s="9">
        <v>3.2136361005416219</v>
      </c>
    </row>
    <row r="17801" spans="40:42" x14ac:dyDescent="0.3">
      <c r="AN17801">
        <v>17797</v>
      </c>
      <c r="AO17801" s="11">
        <v>39399.26</v>
      </c>
      <c r="AP17801" s="9">
        <v>3.2934407311043921</v>
      </c>
    </row>
    <row r="17802" spans="40:42" x14ac:dyDescent="0.3">
      <c r="AN17802">
        <v>17798</v>
      </c>
      <c r="AO17802" s="11">
        <v>25916.66</v>
      </c>
      <c r="AP17802" s="9">
        <v>2.9216824564924138</v>
      </c>
    </row>
    <row r="17803" spans="40:42" x14ac:dyDescent="0.3">
      <c r="AN17803">
        <v>17799</v>
      </c>
      <c r="AO17803" s="11">
        <v>32616.720000000001</v>
      </c>
      <c r="AP17803" s="9">
        <v>3.1937062270410155</v>
      </c>
    </row>
    <row r="17804" spans="40:42" x14ac:dyDescent="0.3">
      <c r="AN17804">
        <v>17800</v>
      </c>
      <c r="AO17804" s="11">
        <v>28385.279999999999</v>
      </c>
      <c r="AP17804" s="9">
        <v>3.2351821276589683</v>
      </c>
    </row>
    <row r="17805" spans="40:42" x14ac:dyDescent="0.3">
      <c r="AN17805">
        <v>17801</v>
      </c>
      <c r="AO17805" s="11">
        <v>30697.11</v>
      </c>
      <c r="AP17805" s="9">
        <v>3.7494812443103633</v>
      </c>
    </row>
    <row r="17806" spans="40:42" x14ac:dyDescent="0.3">
      <c r="AN17806">
        <v>17802</v>
      </c>
      <c r="AO17806" s="11">
        <v>33743.620000000003</v>
      </c>
      <c r="AP17806" s="9">
        <v>3.9011172813624646</v>
      </c>
    </row>
    <row r="17807" spans="40:42" x14ac:dyDescent="0.3">
      <c r="AN17807">
        <v>17803</v>
      </c>
      <c r="AO17807" s="11">
        <v>16367.26</v>
      </c>
      <c r="AP17807" s="9">
        <v>3.0435465180493497</v>
      </c>
    </row>
    <row r="17808" spans="40:42" x14ac:dyDescent="0.3">
      <c r="AN17808">
        <v>17804</v>
      </c>
      <c r="AO17808" s="11">
        <v>31872.45</v>
      </c>
      <c r="AP17808" s="9">
        <v>3.6029487690295841</v>
      </c>
    </row>
    <row r="17809" spans="40:42" x14ac:dyDescent="0.3">
      <c r="AN17809">
        <v>17805</v>
      </c>
      <c r="AO17809" s="11">
        <v>28005.94</v>
      </c>
      <c r="AP17809" s="9">
        <v>2.796029353984173</v>
      </c>
    </row>
    <row r="17810" spans="40:42" x14ac:dyDescent="0.3">
      <c r="AN17810">
        <v>17806</v>
      </c>
      <c r="AO17810" s="11">
        <v>18752.099999999999</v>
      </c>
      <c r="AP17810" s="9">
        <v>3.7637327070955657</v>
      </c>
    </row>
    <row r="17811" spans="40:42" x14ac:dyDescent="0.3">
      <c r="AN17811">
        <v>17807</v>
      </c>
      <c r="AO17811" s="11">
        <v>30061.03</v>
      </c>
      <c r="AP17811" s="9">
        <v>3.4407056807501264</v>
      </c>
    </row>
    <row r="17812" spans="40:42" x14ac:dyDescent="0.3">
      <c r="AN17812">
        <v>17808</v>
      </c>
      <c r="AO17812" s="11">
        <v>28322.87</v>
      </c>
      <c r="AP17812" s="9">
        <v>3.0694094247198862</v>
      </c>
    </row>
    <row r="17813" spans="40:42" x14ac:dyDescent="0.3">
      <c r="AN17813">
        <v>17809</v>
      </c>
      <c r="AO17813" s="11">
        <v>14213.7</v>
      </c>
      <c r="AP17813" s="9">
        <v>2.7045640895528837</v>
      </c>
    </row>
    <row r="17814" spans="40:42" x14ac:dyDescent="0.3">
      <c r="AN17814">
        <v>17810</v>
      </c>
      <c r="AO17814" s="11">
        <v>31705.18</v>
      </c>
      <c r="AP17814" s="9">
        <v>3.3786160822508253</v>
      </c>
    </row>
    <row r="17815" spans="40:42" x14ac:dyDescent="0.3">
      <c r="AN17815">
        <v>17811</v>
      </c>
      <c r="AO17815" s="11">
        <v>27761.31</v>
      </c>
      <c r="AP17815" s="9">
        <v>3.6899164076979938</v>
      </c>
    </row>
    <row r="17816" spans="40:42" x14ac:dyDescent="0.3">
      <c r="AN17816">
        <v>17812</v>
      </c>
      <c r="AO17816" s="11">
        <v>32085.11</v>
      </c>
      <c r="AP17816" s="9">
        <v>2.9875839679998442</v>
      </c>
    </row>
    <row r="17817" spans="40:42" x14ac:dyDescent="0.3">
      <c r="AN17817">
        <v>17813</v>
      </c>
      <c r="AO17817" s="11">
        <v>29432.79</v>
      </c>
      <c r="AP17817" s="9">
        <v>3.4958887147644147</v>
      </c>
    </row>
    <row r="17818" spans="40:42" x14ac:dyDescent="0.3">
      <c r="AN17818">
        <v>17814</v>
      </c>
      <c r="AO17818" s="11">
        <v>29423.26</v>
      </c>
      <c r="AP17818" s="9">
        <v>4.2309103533622592</v>
      </c>
    </row>
    <row r="17819" spans="40:42" x14ac:dyDescent="0.3">
      <c r="AN17819">
        <v>17815</v>
      </c>
      <c r="AO17819" s="11">
        <v>48106.15</v>
      </c>
      <c r="AP17819" s="9">
        <v>4.0559196718105923</v>
      </c>
    </row>
    <row r="17820" spans="40:42" x14ac:dyDescent="0.3">
      <c r="AN17820">
        <v>17816</v>
      </c>
      <c r="AO17820" s="11">
        <v>28332.48</v>
      </c>
      <c r="AP17820" s="9">
        <v>3.5234562931098741</v>
      </c>
    </row>
    <row r="17821" spans="40:42" x14ac:dyDescent="0.3">
      <c r="AN17821">
        <v>17817</v>
      </c>
      <c r="AO17821" s="11">
        <v>26686.16</v>
      </c>
      <c r="AP17821" s="9">
        <v>3.522689580086078</v>
      </c>
    </row>
    <row r="17822" spans="40:42" x14ac:dyDescent="0.3">
      <c r="AN17822">
        <v>17818</v>
      </c>
      <c r="AO17822" s="11">
        <v>17349.39</v>
      </c>
      <c r="AP17822" s="9">
        <v>2.8682040423836139</v>
      </c>
    </row>
    <row r="17823" spans="40:42" x14ac:dyDescent="0.3">
      <c r="AN17823">
        <v>17819</v>
      </c>
      <c r="AO17823" s="11">
        <v>25245.87</v>
      </c>
      <c r="AP17823" s="9">
        <v>3.2134376455297562</v>
      </c>
    </row>
    <row r="17824" spans="40:42" x14ac:dyDescent="0.3">
      <c r="AN17824">
        <v>17820</v>
      </c>
      <c r="AO17824" s="11">
        <v>37743.35</v>
      </c>
      <c r="AP17824" s="9">
        <v>4.1727065296221548</v>
      </c>
    </row>
    <row r="17825" spans="40:42" x14ac:dyDescent="0.3">
      <c r="AN17825">
        <v>17821</v>
      </c>
      <c r="AO17825" s="11">
        <v>35080.879999999997</v>
      </c>
      <c r="AP17825" s="9">
        <v>4.349764754182428</v>
      </c>
    </row>
    <row r="17826" spans="40:42" x14ac:dyDescent="0.3">
      <c r="AN17826">
        <v>17822</v>
      </c>
      <c r="AO17826" s="11">
        <v>41168.519999999997</v>
      </c>
      <c r="AP17826" s="9">
        <v>3.5576978016319494</v>
      </c>
    </row>
    <row r="17827" spans="40:42" x14ac:dyDescent="0.3">
      <c r="AN17827">
        <v>17823</v>
      </c>
      <c r="AO17827" s="11">
        <v>38930.550000000003</v>
      </c>
      <c r="AP17827" s="9">
        <v>3.5252263508734738</v>
      </c>
    </row>
    <row r="17828" spans="40:42" x14ac:dyDescent="0.3">
      <c r="AN17828">
        <v>17824</v>
      </c>
      <c r="AO17828" s="11">
        <v>32318.65</v>
      </c>
      <c r="AP17828" s="9">
        <v>3.3114716418127204</v>
      </c>
    </row>
    <row r="17829" spans="40:42" x14ac:dyDescent="0.3">
      <c r="AN17829">
        <v>17825</v>
      </c>
      <c r="AO17829" s="11">
        <v>35902.1</v>
      </c>
      <c r="AP17829" s="9">
        <v>4.1091915519074353</v>
      </c>
    </row>
    <row r="17830" spans="40:42" x14ac:dyDescent="0.3">
      <c r="AN17830">
        <v>17826</v>
      </c>
      <c r="AO17830" s="11">
        <v>36702.080000000002</v>
      </c>
      <c r="AP17830" s="9">
        <v>3.4748694357215499</v>
      </c>
    </row>
    <row r="17831" spans="40:42" x14ac:dyDescent="0.3">
      <c r="AN17831">
        <v>17827</v>
      </c>
      <c r="AO17831" s="11">
        <v>25649.21</v>
      </c>
      <c r="AP17831" s="9">
        <v>2.826861087321324</v>
      </c>
    </row>
    <row r="17832" spans="40:42" x14ac:dyDescent="0.3">
      <c r="AN17832">
        <v>17828</v>
      </c>
      <c r="AO17832" s="11">
        <v>20498.05</v>
      </c>
      <c r="AP17832" s="9">
        <v>3.2132374445840863</v>
      </c>
    </row>
    <row r="17833" spans="40:42" x14ac:dyDescent="0.3">
      <c r="AN17833">
        <v>17829</v>
      </c>
      <c r="AO17833" s="11">
        <v>25750.59</v>
      </c>
      <c r="AP17833" s="9">
        <v>3.3592061305941607</v>
      </c>
    </row>
    <row r="17834" spans="40:42" x14ac:dyDescent="0.3">
      <c r="AN17834">
        <v>17830</v>
      </c>
      <c r="AO17834" s="11">
        <v>33282.33</v>
      </c>
      <c r="AP17834" s="9">
        <v>3.3108771394550116</v>
      </c>
    </row>
    <row r="17835" spans="40:42" x14ac:dyDescent="0.3">
      <c r="AN17835">
        <v>17831</v>
      </c>
      <c r="AO17835" s="11">
        <v>22590.59</v>
      </c>
      <c r="AP17835" s="9">
        <v>3.0912485439420476</v>
      </c>
    </row>
    <row r="17836" spans="40:42" x14ac:dyDescent="0.3">
      <c r="AN17836">
        <v>17832</v>
      </c>
      <c r="AO17836" s="11">
        <v>36230.71</v>
      </c>
      <c r="AP17836" s="9">
        <v>3.7506301446775869</v>
      </c>
    </row>
    <row r="17837" spans="40:42" x14ac:dyDescent="0.3">
      <c r="AN17837">
        <v>17833</v>
      </c>
      <c r="AO17837" s="11">
        <v>25542.43</v>
      </c>
      <c r="AP17837" s="9">
        <v>3.3572521540870897</v>
      </c>
    </row>
    <row r="17838" spans="40:42" x14ac:dyDescent="0.3">
      <c r="AN17838">
        <v>17834</v>
      </c>
      <c r="AO17838" s="11">
        <v>31686.28</v>
      </c>
      <c r="AP17838" s="9">
        <v>3.3469457802157341</v>
      </c>
    </row>
    <row r="17839" spans="40:42" x14ac:dyDescent="0.3">
      <c r="AN17839">
        <v>17835</v>
      </c>
      <c r="AO17839" s="11">
        <v>19259.55</v>
      </c>
      <c r="AP17839" s="9">
        <v>2.9579295512004986</v>
      </c>
    </row>
    <row r="17840" spans="40:42" x14ac:dyDescent="0.3">
      <c r="AN17840">
        <v>17836</v>
      </c>
      <c r="AO17840" s="11">
        <v>32218.91</v>
      </c>
      <c r="AP17840" s="9">
        <v>3.7270903232657568</v>
      </c>
    </row>
    <row r="17841" spans="40:42" x14ac:dyDescent="0.3">
      <c r="AN17841">
        <v>17837</v>
      </c>
      <c r="AO17841" s="11">
        <v>19652.939999999999</v>
      </c>
      <c r="AP17841" s="9">
        <v>3.0914526789818417</v>
      </c>
    </row>
    <row r="17842" spans="40:42" x14ac:dyDescent="0.3">
      <c r="AN17842">
        <v>17838</v>
      </c>
      <c r="AO17842" s="11">
        <v>22092.16</v>
      </c>
      <c r="AP17842" s="9">
        <v>2.9889121034339783</v>
      </c>
    </row>
    <row r="17843" spans="40:42" x14ac:dyDescent="0.3">
      <c r="AN17843">
        <v>17839</v>
      </c>
      <c r="AO17843" s="11">
        <v>28395.16</v>
      </c>
      <c r="AP17843" s="9">
        <v>3.6645421401884741</v>
      </c>
    </row>
    <row r="17844" spans="40:42" x14ac:dyDescent="0.3">
      <c r="AN17844">
        <v>17840</v>
      </c>
      <c r="AO17844" s="11">
        <v>37996.47</v>
      </c>
      <c r="AP17844" s="9">
        <v>3.805223455701241</v>
      </c>
    </row>
    <row r="17845" spans="40:42" x14ac:dyDescent="0.3">
      <c r="AN17845">
        <v>17841</v>
      </c>
      <c r="AO17845" s="11">
        <v>19699.45</v>
      </c>
      <c r="AP17845" s="9">
        <v>2.7029002464190626</v>
      </c>
    </row>
    <row r="17846" spans="40:42" x14ac:dyDescent="0.3">
      <c r="AN17846">
        <v>17842</v>
      </c>
      <c r="AO17846" s="11">
        <v>36710.03</v>
      </c>
      <c r="AP17846" s="9">
        <v>3.7800056631680845</v>
      </c>
    </row>
    <row r="17847" spans="40:42" x14ac:dyDescent="0.3">
      <c r="AN17847">
        <v>17843</v>
      </c>
      <c r="AO17847" s="11">
        <v>22200.99</v>
      </c>
      <c r="AP17847" s="9">
        <v>3.354563811573287</v>
      </c>
    </row>
    <row r="17848" spans="40:42" x14ac:dyDescent="0.3">
      <c r="AN17848">
        <v>17844</v>
      </c>
      <c r="AO17848" s="11">
        <v>29435.51</v>
      </c>
      <c r="AP17848" s="9">
        <v>3.453262662410324</v>
      </c>
    </row>
    <row r="17849" spans="40:42" x14ac:dyDescent="0.3">
      <c r="AN17849">
        <v>17845</v>
      </c>
      <c r="AO17849" s="11">
        <v>21703.1</v>
      </c>
      <c r="AP17849" s="9">
        <v>3.0808306831923478</v>
      </c>
    </row>
    <row r="17850" spans="40:42" x14ac:dyDescent="0.3">
      <c r="AN17850">
        <v>17846</v>
      </c>
      <c r="AO17850" s="11">
        <v>21834.86</v>
      </c>
      <c r="AP17850" s="9">
        <v>3.5238429150841739</v>
      </c>
    </row>
    <row r="17851" spans="40:42" x14ac:dyDescent="0.3">
      <c r="AN17851">
        <v>17847</v>
      </c>
      <c r="AO17851" s="11">
        <v>30759.96</v>
      </c>
      <c r="AP17851" s="9">
        <v>3.3340230998938196</v>
      </c>
    </row>
    <row r="17852" spans="40:42" x14ac:dyDescent="0.3">
      <c r="AN17852">
        <v>17848</v>
      </c>
      <c r="AO17852" s="11">
        <v>46223.65</v>
      </c>
      <c r="AP17852" s="9">
        <v>5.170373680823297</v>
      </c>
    </row>
    <row r="17853" spans="40:42" x14ac:dyDescent="0.3">
      <c r="AN17853">
        <v>17849</v>
      </c>
      <c r="AO17853" s="11">
        <v>22271.98</v>
      </c>
      <c r="AP17853" s="9">
        <v>3.1903738324526945</v>
      </c>
    </row>
    <row r="17854" spans="40:42" x14ac:dyDescent="0.3">
      <c r="AN17854">
        <v>17850</v>
      </c>
      <c r="AO17854" s="11">
        <v>36774.449999999997</v>
      </c>
      <c r="AP17854" s="9">
        <v>3.9044218213587061</v>
      </c>
    </row>
    <row r="17855" spans="40:42" x14ac:dyDescent="0.3">
      <c r="AN17855">
        <v>17851</v>
      </c>
      <c r="AO17855" s="11">
        <v>16981.22</v>
      </c>
      <c r="AP17855" s="9">
        <v>2.864168297787971</v>
      </c>
    </row>
    <row r="17856" spans="40:42" x14ac:dyDescent="0.3">
      <c r="AN17856">
        <v>17852</v>
      </c>
      <c r="AO17856" s="11">
        <v>23835.599999999999</v>
      </c>
      <c r="AP17856" s="9">
        <v>2.6179053393992353</v>
      </c>
    </row>
    <row r="17857" spans="40:42" x14ac:dyDescent="0.3">
      <c r="AN17857">
        <v>17853</v>
      </c>
      <c r="AO17857" s="11">
        <v>32520.44</v>
      </c>
      <c r="AP17857" s="9">
        <v>3.366885105710832</v>
      </c>
    </row>
    <row r="17858" spans="40:42" x14ac:dyDescent="0.3">
      <c r="AN17858">
        <v>17854</v>
      </c>
      <c r="AO17858" s="11">
        <v>26404.57</v>
      </c>
      <c r="AP17858" s="9">
        <v>3.3649763259082497</v>
      </c>
    </row>
    <row r="17859" spans="40:42" x14ac:dyDescent="0.3">
      <c r="AN17859">
        <v>17855</v>
      </c>
      <c r="AO17859" s="11">
        <v>31618.11</v>
      </c>
      <c r="AP17859" s="9">
        <v>3.181708713474126</v>
      </c>
    </row>
    <row r="17860" spans="40:42" x14ac:dyDescent="0.3">
      <c r="AN17860">
        <v>17856</v>
      </c>
      <c r="AO17860" s="11">
        <v>41471.589999999997</v>
      </c>
      <c r="AP17860" s="9">
        <v>3.6143592365566306</v>
      </c>
    </row>
    <row r="17861" spans="40:42" x14ac:dyDescent="0.3">
      <c r="AN17861">
        <v>17857</v>
      </c>
      <c r="AO17861" s="11">
        <v>46508.34</v>
      </c>
      <c r="AP17861" s="9">
        <v>3.5538729976921499</v>
      </c>
    </row>
    <row r="17862" spans="40:42" x14ac:dyDescent="0.3">
      <c r="AN17862">
        <v>17858</v>
      </c>
      <c r="AO17862" s="11">
        <v>18207.8</v>
      </c>
      <c r="AP17862" s="9">
        <v>2.7284239065471678</v>
      </c>
    </row>
    <row r="17863" spans="40:42" x14ac:dyDescent="0.3">
      <c r="AN17863">
        <v>17859</v>
      </c>
      <c r="AO17863" s="11">
        <v>41003.089999999997</v>
      </c>
      <c r="AP17863" s="9">
        <v>4.1048246380660904</v>
      </c>
    </row>
    <row r="17864" spans="40:42" x14ac:dyDescent="0.3">
      <c r="AN17864">
        <v>17860</v>
      </c>
      <c r="AO17864" s="11">
        <v>39083.230000000003</v>
      </c>
      <c r="AP17864" s="9">
        <v>3.60053995093776</v>
      </c>
    </row>
    <row r="17865" spans="40:42" x14ac:dyDescent="0.3">
      <c r="AN17865">
        <v>17861</v>
      </c>
      <c r="AO17865" s="11">
        <v>26587.21</v>
      </c>
      <c r="AP17865" s="9">
        <v>2.898502653809687</v>
      </c>
    </row>
    <row r="17866" spans="40:42" x14ac:dyDescent="0.3">
      <c r="AN17866">
        <v>17862</v>
      </c>
      <c r="AO17866" s="11">
        <v>18459.98</v>
      </c>
      <c r="AP17866" s="9">
        <v>3.0957826605797156</v>
      </c>
    </row>
    <row r="17867" spans="40:42" x14ac:dyDescent="0.3">
      <c r="AN17867">
        <v>17863</v>
      </c>
      <c r="AO17867" s="11">
        <v>25316.3</v>
      </c>
      <c r="AP17867" s="9">
        <v>3.4403840888371788</v>
      </c>
    </row>
    <row r="17868" spans="40:42" x14ac:dyDescent="0.3">
      <c r="AN17868">
        <v>17864</v>
      </c>
      <c r="AO17868" s="11">
        <v>29233.53</v>
      </c>
      <c r="AP17868" s="9">
        <v>4.614145227975869</v>
      </c>
    </row>
    <row r="17869" spans="40:42" x14ac:dyDescent="0.3">
      <c r="AN17869">
        <v>17865</v>
      </c>
      <c r="AO17869" s="11">
        <v>21340.68</v>
      </c>
      <c r="AP17869" s="9">
        <v>3.2515793961495887</v>
      </c>
    </row>
    <row r="17870" spans="40:42" x14ac:dyDescent="0.3">
      <c r="AN17870">
        <v>17866</v>
      </c>
      <c r="AO17870" s="11">
        <v>23615.9</v>
      </c>
      <c r="AP17870" s="9">
        <v>3.1075883406101834</v>
      </c>
    </row>
    <row r="17871" spans="40:42" x14ac:dyDescent="0.3">
      <c r="AN17871">
        <v>17867</v>
      </c>
      <c r="AO17871" s="11">
        <v>12773.25</v>
      </c>
      <c r="AP17871" s="9">
        <v>2.6773671883910506</v>
      </c>
    </row>
    <row r="17872" spans="40:42" x14ac:dyDescent="0.3">
      <c r="AN17872">
        <v>17868</v>
      </c>
      <c r="AO17872" s="11">
        <v>32943.480000000003</v>
      </c>
      <c r="AP17872" s="9">
        <v>3.1048037764798986</v>
      </c>
    </row>
    <row r="17873" spans="40:42" x14ac:dyDescent="0.3">
      <c r="AN17873">
        <v>17869</v>
      </c>
      <c r="AO17873" s="11">
        <v>29662.01</v>
      </c>
      <c r="AP17873" s="9">
        <v>3.2936623611627471</v>
      </c>
    </row>
    <row r="17874" spans="40:42" x14ac:dyDescent="0.3">
      <c r="AN17874">
        <v>17870</v>
      </c>
      <c r="AO17874" s="11">
        <v>42553.94</v>
      </c>
      <c r="AP17874" s="9">
        <v>3.5335911220358174</v>
      </c>
    </row>
    <row r="17875" spans="40:42" x14ac:dyDescent="0.3">
      <c r="AN17875">
        <v>17871</v>
      </c>
      <c r="AO17875" s="11">
        <v>23777.040000000001</v>
      </c>
      <c r="AP17875" s="9">
        <v>3.3930320852876852</v>
      </c>
    </row>
    <row r="17876" spans="40:42" x14ac:dyDescent="0.3">
      <c r="AN17876">
        <v>17872</v>
      </c>
      <c r="AO17876" s="11">
        <v>37080.379999999997</v>
      </c>
      <c r="AP17876" s="9">
        <v>4.0105538878206612</v>
      </c>
    </row>
    <row r="17877" spans="40:42" x14ac:dyDescent="0.3">
      <c r="AN17877">
        <v>17873</v>
      </c>
      <c r="AO17877" s="11">
        <v>18685.169999999998</v>
      </c>
      <c r="AP17877" s="9">
        <v>3.3720306044536805</v>
      </c>
    </row>
    <row r="17878" spans="40:42" x14ac:dyDescent="0.3">
      <c r="AN17878">
        <v>17874</v>
      </c>
      <c r="AO17878" s="11">
        <v>21095.58</v>
      </c>
      <c r="AP17878" s="9">
        <v>3.0599284039794248</v>
      </c>
    </row>
    <row r="17879" spans="40:42" x14ac:dyDescent="0.3">
      <c r="AN17879">
        <v>17875</v>
      </c>
      <c r="AO17879" s="11">
        <v>39249.71</v>
      </c>
      <c r="AP17879" s="9">
        <v>3.6282459371082822</v>
      </c>
    </row>
    <row r="17880" spans="40:42" x14ac:dyDescent="0.3">
      <c r="AN17880">
        <v>17876</v>
      </c>
      <c r="AO17880" s="11">
        <v>30432.02</v>
      </c>
      <c r="AP17880" s="9">
        <v>3.0775856303657592</v>
      </c>
    </row>
    <row r="17881" spans="40:42" x14ac:dyDescent="0.3">
      <c r="AN17881">
        <v>17877</v>
      </c>
      <c r="AO17881" s="11">
        <v>21199.89</v>
      </c>
      <c r="AP17881" s="9">
        <v>3.351446430861857</v>
      </c>
    </row>
    <row r="17882" spans="40:42" x14ac:dyDescent="0.3">
      <c r="AN17882">
        <v>17878</v>
      </c>
      <c r="AO17882" s="11">
        <v>28011.45</v>
      </c>
      <c r="AP17882" s="9">
        <v>3.2517786045819026</v>
      </c>
    </row>
    <row r="17883" spans="40:42" x14ac:dyDescent="0.3">
      <c r="AN17883">
        <v>17879</v>
      </c>
      <c r="AO17883" s="11">
        <v>21064.92</v>
      </c>
      <c r="AP17883" s="9">
        <v>3.2974642875617421</v>
      </c>
    </row>
    <row r="17884" spans="40:42" x14ac:dyDescent="0.3">
      <c r="AN17884">
        <v>17880</v>
      </c>
      <c r="AO17884" s="11">
        <v>22768.65</v>
      </c>
      <c r="AP17884" s="9">
        <v>3.2007172630459433</v>
      </c>
    </row>
    <row r="17885" spans="40:42" x14ac:dyDescent="0.3">
      <c r="AN17885">
        <v>17881</v>
      </c>
      <c r="AO17885" s="11">
        <v>27035.34</v>
      </c>
      <c r="AP17885" s="9">
        <v>3.4368865769928263</v>
      </c>
    </row>
    <row r="17886" spans="40:42" x14ac:dyDescent="0.3">
      <c r="AN17886">
        <v>17882</v>
      </c>
      <c r="AO17886" s="11">
        <v>24324.94</v>
      </c>
      <c r="AP17886" s="9">
        <v>3.389721946844972</v>
      </c>
    </row>
    <row r="17887" spans="40:42" x14ac:dyDescent="0.3">
      <c r="AN17887">
        <v>17883</v>
      </c>
      <c r="AO17887" s="11">
        <v>34233.65</v>
      </c>
      <c r="AP17887" s="9">
        <v>3.1839541876463446</v>
      </c>
    </row>
    <row r="17888" spans="40:42" x14ac:dyDescent="0.3">
      <c r="AN17888">
        <v>17884</v>
      </c>
      <c r="AO17888" s="11">
        <v>29202.71</v>
      </c>
      <c r="AP17888" s="9">
        <v>3.94322764014438</v>
      </c>
    </row>
    <row r="17889" spans="40:42" x14ac:dyDescent="0.3">
      <c r="AN17889">
        <v>17885</v>
      </c>
      <c r="AO17889" s="11">
        <v>25519.1</v>
      </c>
      <c r="AP17889" s="9">
        <v>3.1291620723709013</v>
      </c>
    </row>
    <row r="17890" spans="40:42" x14ac:dyDescent="0.3">
      <c r="AN17890">
        <v>17886</v>
      </c>
      <c r="AO17890" s="11">
        <v>32078.32</v>
      </c>
      <c r="AP17890" s="9">
        <v>3.5752567473110894</v>
      </c>
    </row>
    <row r="17891" spans="40:42" x14ac:dyDescent="0.3">
      <c r="AN17891">
        <v>17887</v>
      </c>
      <c r="AO17891" s="11">
        <v>18543.46</v>
      </c>
      <c r="AP17891" s="9">
        <v>2.794561203241777</v>
      </c>
    </row>
    <row r="17892" spans="40:42" x14ac:dyDescent="0.3">
      <c r="AN17892">
        <v>17888</v>
      </c>
      <c r="AO17892" s="11">
        <v>13909.33</v>
      </c>
      <c r="AP17892" s="9">
        <v>2.9564094405791392</v>
      </c>
    </row>
    <row r="17893" spans="40:42" x14ac:dyDescent="0.3">
      <c r="AN17893">
        <v>17889</v>
      </c>
      <c r="AO17893" s="11">
        <v>34320.46</v>
      </c>
      <c r="AP17893" s="9">
        <v>4.0830133851415997</v>
      </c>
    </row>
    <row r="17894" spans="40:42" x14ac:dyDescent="0.3">
      <c r="AN17894">
        <v>17890</v>
      </c>
      <c r="AO17894" s="11">
        <v>29305.05</v>
      </c>
      <c r="AP17894" s="9">
        <v>3.2672714014753108</v>
      </c>
    </row>
    <row r="17895" spans="40:42" x14ac:dyDescent="0.3">
      <c r="AN17895">
        <v>17891</v>
      </c>
      <c r="AO17895" s="11">
        <v>25911.75</v>
      </c>
      <c r="AP17895" s="9">
        <v>2.9766253674218928</v>
      </c>
    </row>
    <row r="17896" spans="40:42" x14ac:dyDescent="0.3">
      <c r="AN17896">
        <v>17892</v>
      </c>
      <c r="AO17896" s="11">
        <v>34034.730000000003</v>
      </c>
      <c r="AP17896" s="9">
        <v>4.3579109061105168</v>
      </c>
    </row>
    <row r="17897" spans="40:42" x14ac:dyDescent="0.3">
      <c r="AN17897">
        <v>17893</v>
      </c>
      <c r="AO17897" s="11">
        <v>19993.189999999999</v>
      </c>
      <c r="AP17897" s="9">
        <v>3.4947251907171357</v>
      </c>
    </row>
    <row r="17898" spans="40:42" x14ac:dyDescent="0.3">
      <c r="AN17898">
        <v>17894</v>
      </c>
      <c r="AO17898" s="11">
        <v>22934.22</v>
      </c>
      <c r="AP17898" s="9">
        <v>3.2378187801233955</v>
      </c>
    </row>
    <row r="17899" spans="40:42" x14ac:dyDescent="0.3">
      <c r="AN17899">
        <v>17895</v>
      </c>
      <c r="AO17899" s="11">
        <v>21747.5</v>
      </c>
      <c r="AP17899" s="9">
        <v>3.3808391125181165</v>
      </c>
    </row>
    <row r="17900" spans="40:42" x14ac:dyDescent="0.3">
      <c r="AN17900">
        <v>17896</v>
      </c>
      <c r="AO17900" s="11">
        <v>20254.830000000002</v>
      </c>
      <c r="AP17900" s="9">
        <v>3.0216057410934263</v>
      </c>
    </row>
    <row r="17901" spans="40:42" x14ac:dyDescent="0.3">
      <c r="AN17901">
        <v>17897</v>
      </c>
      <c r="AO17901" s="11">
        <v>35179.129999999997</v>
      </c>
      <c r="AP17901" s="9">
        <v>3.7955458708461243</v>
      </c>
    </row>
    <row r="17902" spans="40:42" x14ac:dyDescent="0.3">
      <c r="AN17902">
        <v>17898</v>
      </c>
      <c r="AO17902" s="11">
        <v>19117.7</v>
      </c>
      <c r="AP17902" s="9">
        <v>3.4623121119009141</v>
      </c>
    </row>
    <row r="17903" spans="40:42" x14ac:dyDescent="0.3">
      <c r="AN17903">
        <v>17899</v>
      </c>
      <c r="AO17903" s="11">
        <v>35770.19</v>
      </c>
      <c r="AP17903" s="9">
        <v>3.3663439689595376</v>
      </c>
    </row>
    <row r="17904" spans="40:42" x14ac:dyDescent="0.3">
      <c r="AN17904">
        <v>17900</v>
      </c>
      <c r="AO17904" s="11">
        <v>33503.199999999997</v>
      </c>
      <c r="AP17904" s="9">
        <v>3.2234838668297408</v>
      </c>
    </row>
    <row r="17905" spans="40:42" x14ac:dyDescent="0.3">
      <c r="AN17905">
        <v>17901</v>
      </c>
      <c r="AO17905" s="11">
        <v>28430.29</v>
      </c>
      <c r="AP17905" s="9">
        <v>3.3355234686952824</v>
      </c>
    </row>
    <row r="17906" spans="40:42" x14ac:dyDescent="0.3">
      <c r="AN17906">
        <v>17902</v>
      </c>
      <c r="AO17906" s="11">
        <v>19004.599999999999</v>
      </c>
      <c r="AP17906" s="9">
        <v>3.0852820465064799</v>
      </c>
    </row>
    <row r="17907" spans="40:42" x14ac:dyDescent="0.3">
      <c r="AN17907">
        <v>17903</v>
      </c>
      <c r="AO17907" s="11">
        <v>24627.77</v>
      </c>
      <c r="AP17907" s="9">
        <v>3.4033198302727334</v>
      </c>
    </row>
    <row r="17908" spans="40:42" x14ac:dyDescent="0.3">
      <c r="AN17908">
        <v>17904</v>
      </c>
      <c r="AO17908" s="11">
        <v>26495.33</v>
      </c>
      <c r="AP17908" s="9">
        <v>3.5033654196842585</v>
      </c>
    </row>
    <row r="17909" spans="40:42" x14ac:dyDescent="0.3">
      <c r="AN17909">
        <v>17905</v>
      </c>
      <c r="AO17909" s="11">
        <v>28057.41</v>
      </c>
      <c r="AP17909" s="9">
        <v>3.1348637576172269</v>
      </c>
    </row>
    <row r="17910" spans="40:42" x14ac:dyDescent="0.3">
      <c r="AN17910">
        <v>17906</v>
      </c>
      <c r="AO17910" s="11">
        <v>24131.9</v>
      </c>
      <c r="AP17910" s="9">
        <v>3.504430502203185</v>
      </c>
    </row>
    <row r="17911" spans="40:42" x14ac:dyDescent="0.3">
      <c r="AN17911">
        <v>17907</v>
      </c>
      <c r="AO17911" s="11">
        <v>43021.59</v>
      </c>
      <c r="AP17911" s="9">
        <v>4.0312181045024156</v>
      </c>
    </row>
    <row r="17912" spans="40:42" x14ac:dyDescent="0.3">
      <c r="AN17912">
        <v>17908</v>
      </c>
      <c r="AO17912" s="11">
        <v>26731.89</v>
      </c>
      <c r="AP17912" s="9">
        <v>3.070365734750915</v>
      </c>
    </row>
    <row r="17913" spans="40:42" x14ac:dyDescent="0.3">
      <c r="AN17913">
        <v>17909</v>
      </c>
      <c r="AO17913" s="11">
        <v>14501.81</v>
      </c>
      <c r="AP17913" s="9">
        <v>3.1031172472953585</v>
      </c>
    </row>
    <row r="17914" spans="40:42" x14ac:dyDescent="0.3">
      <c r="AN17914">
        <v>17910</v>
      </c>
      <c r="AO17914" s="11">
        <v>27434.639999999999</v>
      </c>
      <c r="AP17914" s="9">
        <v>3.265710290925552</v>
      </c>
    </row>
    <row r="17915" spans="40:42" x14ac:dyDescent="0.3">
      <c r="AN17915">
        <v>17911</v>
      </c>
      <c r="AO17915" s="11">
        <v>19179.490000000002</v>
      </c>
      <c r="AP17915" s="9">
        <v>2.9587464219817816</v>
      </c>
    </row>
    <row r="17916" spans="40:42" x14ac:dyDescent="0.3">
      <c r="AN17916">
        <v>17912</v>
      </c>
      <c r="AO17916" s="11">
        <v>29302.02</v>
      </c>
      <c r="AP17916" s="9">
        <v>3.4398236895955074</v>
      </c>
    </row>
    <row r="17917" spans="40:42" x14ac:dyDescent="0.3">
      <c r="AN17917">
        <v>17913</v>
      </c>
      <c r="AO17917" s="11">
        <v>32027.32</v>
      </c>
      <c r="AP17917" s="9">
        <v>3.5125819483677874</v>
      </c>
    </row>
    <row r="17918" spans="40:42" x14ac:dyDescent="0.3">
      <c r="AN17918">
        <v>17914</v>
      </c>
      <c r="AO17918" s="11">
        <v>35004.6</v>
      </c>
      <c r="AP17918" s="9">
        <v>3.0697955780506172</v>
      </c>
    </row>
    <row r="17919" spans="40:42" x14ac:dyDescent="0.3">
      <c r="AN17919">
        <v>17915</v>
      </c>
      <c r="AO17919" s="11">
        <v>26421.29</v>
      </c>
      <c r="AP17919" s="9">
        <v>3.9468641368873438</v>
      </c>
    </row>
    <row r="17920" spans="40:42" x14ac:dyDescent="0.3">
      <c r="AN17920">
        <v>17916</v>
      </c>
      <c r="AO17920" s="11">
        <v>22866.45</v>
      </c>
      <c r="AP17920" s="9">
        <v>3.2684715421541655</v>
      </c>
    </row>
    <row r="17921" spans="40:42" x14ac:dyDescent="0.3">
      <c r="AN17921">
        <v>17917</v>
      </c>
      <c r="AO17921" s="11">
        <v>34922.28</v>
      </c>
      <c r="AP17921" s="9">
        <v>3.6020241697282502</v>
      </c>
    </row>
    <row r="17922" spans="40:42" x14ac:dyDescent="0.3">
      <c r="AN17922">
        <v>17918</v>
      </c>
      <c r="AO17922" s="11">
        <v>46397.35</v>
      </c>
      <c r="AP17922" s="9">
        <v>3.5741080892859354</v>
      </c>
    </row>
    <row r="17923" spans="40:42" x14ac:dyDescent="0.3">
      <c r="AN17923">
        <v>17919</v>
      </c>
      <c r="AO17923" s="11">
        <v>32404.68</v>
      </c>
      <c r="AP17923" s="9">
        <v>3.5291956250071186</v>
      </c>
    </row>
    <row r="17924" spans="40:42" x14ac:dyDescent="0.3">
      <c r="AN17924">
        <v>17920</v>
      </c>
      <c r="AO17924" s="11">
        <v>27644.74</v>
      </c>
      <c r="AP17924" s="9">
        <v>3.5585292690194561</v>
      </c>
    </row>
    <row r="17925" spans="40:42" x14ac:dyDescent="0.3">
      <c r="AN17925">
        <v>17921</v>
      </c>
      <c r="AO17925" s="11">
        <v>44355.06</v>
      </c>
      <c r="AP17925" s="9">
        <v>4.3409727259243329</v>
      </c>
    </row>
    <row r="17926" spans="40:42" x14ac:dyDescent="0.3">
      <c r="AN17926">
        <v>17922</v>
      </c>
      <c r="AO17926" s="11">
        <v>34365.03</v>
      </c>
      <c r="AP17926" s="9">
        <v>2.8999394136416261</v>
      </c>
    </row>
    <row r="17927" spans="40:42" x14ac:dyDescent="0.3">
      <c r="AN17927">
        <v>17923</v>
      </c>
      <c r="AO17927" s="11">
        <v>15894.46</v>
      </c>
      <c r="AP17927" s="9">
        <v>3.8877480441492596</v>
      </c>
    </row>
    <row r="17928" spans="40:42" x14ac:dyDescent="0.3">
      <c r="AN17928">
        <v>17924</v>
      </c>
      <c r="AO17928" s="11">
        <v>24197.02</v>
      </c>
      <c r="AP17928" s="9">
        <v>3.353803629849891</v>
      </c>
    </row>
    <row r="17929" spans="40:42" x14ac:dyDescent="0.3">
      <c r="AN17929">
        <v>17925</v>
      </c>
      <c r="AO17929" s="11">
        <v>20560.919999999998</v>
      </c>
      <c r="AP17929" s="9">
        <v>3.2801895131455288</v>
      </c>
    </row>
    <row r="17930" spans="40:42" x14ac:dyDescent="0.3">
      <c r="AN17930">
        <v>17926</v>
      </c>
      <c r="AO17930" s="11">
        <v>33132.230000000003</v>
      </c>
      <c r="AP17930" s="9">
        <v>3.360034160937718</v>
      </c>
    </row>
    <row r="17931" spans="40:42" x14ac:dyDescent="0.3">
      <c r="AN17931">
        <v>17927</v>
      </c>
      <c r="AO17931" s="11">
        <v>21086.13</v>
      </c>
      <c r="AP17931" s="9">
        <v>2.7437491792232458</v>
      </c>
    </row>
    <row r="17932" spans="40:42" x14ac:dyDescent="0.3">
      <c r="AN17932">
        <v>17928</v>
      </c>
      <c r="AO17932" s="11">
        <v>29862.87</v>
      </c>
      <c r="AP17932" s="9">
        <v>3.1009367584502456</v>
      </c>
    </row>
    <row r="17933" spans="40:42" x14ac:dyDescent="0.3">
      <c r="AN17933">
        <v>17929</v>
      </c>
      <c r="AO17933" s="11">
        <v>33573.57</v>
      </c>
      <c r="AP17933" s="9">
        <v>3.362997870124373</v>
      </c>
    </row>
    <row r="17934" spans="40:42" x14ac:dyDescent="0.3">
      <c r="AN17934">
        <v>17930</v>
      </c>
      <c r="AO17934" s="11">
        <v>30613.91</v>
      </c>
      <c r="AP17934" s="9">
        <v>4.1577056004532382</v>
      </c>
    </row>
    <row r="17935" spans="40:42" x14ac:dyDescent="0.3">
      <c r="AN17935">
        <v>17931</v>
      </c>
      <c r="AO17935" s="11">
        <v>26844.14</v>
      </c>
      <c r="AP17935" s="9">
        <v>3.5738015461410404</v>
      </c>
    </row>
    <row r="17936" spans="40:42" x14ac:dyDescent="0.3">
      <c r="AN17936">
        <v>17932</v>
      </c>
      <c r="AO17936" s="11">
        <v>20261.8</v>
      </c>
      <c r="AP17936" s="9">
        <v>3.0981403491093462</v>
      </c>
    </row>
    <row r="17937" spans="40:42" x14ac:dyDescent="0.3">
      <c r="AN17937">
        <v>17933</v>
      </c>
      <c r="AO17937" s="11">
        <v>19040.93</v>
      </c>
      <c r="AP17937" s="9">
        <v>3.4828344778275802</v>
      </c>
    </row>
    <row r="17938" spans="40:42" x14ac:dyDescent="0.3">
      <c r="AN17938">
        <v>17934</v>
      </c>
      <c r="AO17938" s="11">
        <v>26615.24</v>
      </c>
      <c r="AP17938" s="9">
        <v>3.0910625444814839</v>
      </c>
    </row>
    <row r="17939" spans="40:42" x14ac:dyDescent="0.3">
      <c r="AN17939">
        <v>17935</v>
      </c>
      <c r="AO17939" s="11">
        <v>21712.27</v>
      </c>
      <c r="AP17939" s="9">
        <v>3.2909508817759692</v>
      </c>
    </row>
    <row r="17940" spans="40:42" x14ac:dyDescent="0.3">
      <c r="AN17940">
        <v>17936</v>
      </c>
      <c r="AO17940" s="11">
        <v>35139.760000000002</v>
      </c>
      <c r="AP17940" s="9">
        <v>3.52609069340006</v>
      </c>
    </row>
    <row r="17941" spans="40:42" x14ac:dyDescent="0.3">
      <c r="AN17941">
        <v>17937</v>
      </c>
      <c r="AO17941" s="11">
        <v>23946.73</v>
      </c>
      <c r="AP17941" s="9">
        <v>3.1870777604888376</v>
      </c>
    </row>
    <row r="17942" spans="40:42" x14ac:dyDescent="0.3">
      <c r="AN17942">
        <v>17938</v>
      </c>
      <c r="AO17942" s="11">
        <v>17688.34</v>
      </c>
      <c r="AP17942" s="9">
        <v>3.9199131932433482</v>
      </c>
    </row>
    <row r="17943" spans="40:42" x14ac:dyDescent="0.3">
      <c r="AN17943">
        <v>17939</v>
      </c>
      <c r="AO17943" s="11">
        <v>40603.96</v>
      </c>
      <c r="AP17943" s="9">
        <v>3.9561213888319635</v>
      </c>
    </row>
    <row r="17944" spans="40:42" x14ac:dyDescent="0.3">
      <c r="AN17944">
        <v>17940</v>
      </c>
      <c r="AO17944" s="11">
        <v>22318.53</v>
      </c>
      <c r="AP17944" s="9">
        <v>3.8026095967710902</v>
      </c>
    </row>
    <row r="17945" spans="40:42" x14ac:dyDescent="0.3">
      <c r="AN17945">
        <v>17941</v>
      </c>
      <c r="AO17945" s="11">
        <v>28445.8</v>
      </c>
      <c r="AP17945" s="9">
        <v>3.0667430670877929</v>
      </c>
    </row>
    <row r="17946" spans="40:42" x14ac:dyDescent="0.3">
      <c r="AN17946">
        <v>17942</v>
      </c>
      <c r="AO17946" s="11">
        <v>24467.25</v>
      </c>
      <c r="AP17946" s="9">
        <v>3.0607836319188255</v>
      </c>
    </row>
    <row r="17947" spans="40:42" x14ac:dyDescent="0.3">
      <c r="AN17947">
        <v>17943</v>
      </c>
      <c r="AO17947" s="11">
        <v>21833.45</v>
      </c>
      <c r="AP17947" s="9">
        <v>3.1635429661129377</v>
      </c>
    </row>
    <row r="17948" spans="40:42" x14ac:dyDescent="0.3">
      <c r="AN17948">
        <v>17944</v>
      </c>
      <c r="AO17948" s="11">
        <v>44570.62</v>
      </c>
      <c r="AP17948" s="9">
        <v>4.1126247247160777</v>
      </c>
    </row>
    <row r="17949" spans="40:42" x14ac:dyDescent="0.3">
      <c r="AN17949">
        <v>17945</v>
      </c>
      <c r="AO17949" s="11">
        <v>25670.07</v>
      </c>
      <c r="AP17949" s="9">
        <v>3.4026842880153341</v>
      </c>
    </row>
    <row r="17950" spans="40:42" x14ac:dyDescent="0.3">
      <c r="AN17950">
        <v>17946</v>
      </c>
      <c r="AO17950" s="11">
        <v>18712.95</v>
      </c>
      <c r="AP17950" s="9">
        <v>3.2533026898357051</v>
      </c>
    </row>
    <row r="17951" spans="40:42" x14ac:dyDescent="0.3">
      <c r="AN17951">
        <v>17947</v>
      </c>
      <c r="AO17951" s="11">
        <v>28030.03</v>
      </c>
      <c r="AP17951" s="9">
        <v>3.8187053561427167</v>
      </c>
    </row>
    <row r="17952" spans="40:42" x14ac:dyDescent="0.3">
      <c r="AN17952">
        <v>17948</v>
      </c>
      <c r="AO17952" s="11">
        <v>29262.240000000002</v>
      </c>
      <c r="AP17952" s="9">
        <v>2.8769617255955859</v>
      </c>
    </row>
    <row r="17953" spans="40:42" x14ac:dyDescent="0.3">
      <c r="AN17953">
        <v>17949</v>
      </c>
      <c r="AO17953" s="11">
        <v>39693.339999999997</v>
      </c>
      <c r="AP17953" s="9">
        <v>3.7821686530105447</v>
      </c>
    </row>
    <row r="17954" spans="40:42" x14ac:dyDescent="0.3">
      <c r="AN17954">
        <v>17950</v>
      </c>
      <c r="AO17954" s="11">
        <v>28078.27</v>
      </c>
      <c r="AP17954" s="9">
        <v>3.3007828004339967</v>
      </c>
    </row>
    <row r="17955" spans="40:42" x14ac:dyDescent="0.3">
      <c r="AN17955">
        <v>17951</v>
      </c>
      <c r="AO17955" s="11">
        <v>29465.21</v>
      </c>
      <c r="AP17955" s="9">
        <v>3.7436596750151754</v>
      </c>
    </row>
    <row r="17956" spans="40:42" x14ac:dyDescent="0.3">
      <c r="AN17956">
        <v>17952</v>
      </c>
      <c r="AO17956" s="11">
        <v>29587.97</v>
      </c>
      <c r="AP17956" s="9">
        <v>3.2342573307850935</v>
      </c>
    </row>
    <row r="17957" spans="40:42" x14ac:dyDescent="0.3">
      <c r="AN17957">
        <v>17953</v>
      </c>
      <c r="AO17957" s="11">
        <v>27547.74</v>
      </c>
      <c r="AP17957" s="9">
        <v>3.3294547987473844</v>
      </c>
    </row>
    <row r="17958" spans="40:42" x14ac:dyDescent="0.3">
      <c r="AN17958">
        <v>17954</v>
      </c>
      <c r="AO17958" s="11">
        <v>20747.830000000002</v>
      </c>
      <c r="AP17958" s="9">
        <v>2.9139610905406155</v>
      </c>
    </row>
    <row r="17959" spans="40:42" x14ac:dyDescent="0.3">
      <c r="AN17959">
        <v>17955</v>
      </c>
      <c r="AO17959" s="11">
        <v>24153.16</v>
      </c>
      <c r="AP17959" s="9">
        <v>2.9548617660780847</v>
      </c>
    </row>
    <row r="17960" spans="40:42" x14ac:dyDescent="0.3">
      <c r="AN17960">
        <v>17956</v>
      </c>
      <c r="AO17960" s="11">
        <v>26683.74</v>
      </c>
      <c r="AP17960" s="9">
        <v>2.8668528435932759</v>
      </c>
    </row>
    <row r="17961" spans="40:42" x14ac:dyDescent="0.3">
      <c r="AN17961">
        <v>17957</v>
      </c>
      <c r="AO17961" s="11">
        <v>36997.49</v>
      </c>
      <c r="AP17961" s="9">
        <v>2.9469917365604137</v>
      </c>
    </row>
    <row r="17962" spans="40:42" x14ac:dyDescent="0.3">
      <c r="AN17962">
        <v>17958</v>
      </c>
      <c r="AO17962" s="11">
        <v>25662.67</v>
      </c>
      <c r="AP17962" s="9">
        <v>3.0033965666713849</v>
      </c>
    </row>
    <row r="17963" spans="40:42" x14ac:dyDescent="0.3">
      <c r="AN17963">
        <v>17959</v>
      </c>
      <c r="AO17963" s="11">
        <v>30288.73</v>
      </c>
      <c r="AP17963" s="9">
        <v>3.6079269234388125</v>
      </c>
    </row>
    <row r="17964" spans="40:42" x14ac:dyDescent="0.3">
      <c r="AN17964">
        <v>17960</v>
      </c>
      <c r="AO17964" s="11">
        <v>18745.05</v>
      </c>
      <c r="AP17964" s="9">
        <v>3.580425818793342</v>
      </c>
    </row>
    <row r="17965" spans="40:42" x14ac:dyDescent="0.3">
      <c r="AN17965">
        <v>17961</v>
      </c>
      <c r="AO17965" s="11">
        <v>18444.14</v>
      </c>
      <c r="AP17965" s="9">
        <v>3.1518950663058587</v>
      </c>
    </row>
    <row r="17966" spans="40:42" x14ac:dyDescent="0.3">
      <c r="AN17966">
        <v>17962</v>
      </c>
      <c r="AO17966" s="11">
        <v>23704.400000000001</v>
      </c>
      <c r="AP17966" s="9">
        <v>3.4689940858597543</v>
      </c>
    </row>
    <row r="17967" spans="40:42" x14ac:dyDescent="0.3">
      <c r="AN17967">
        <v>17963</v>
      </c>
      <c r="AO17967" s="11">
        <v>20294.009999999998</v>
      </c>
      <c r="AP17967" s="9">
        <v>3.3106682799337648</v>
      </c>
    </row>
    <row r="17968" spans="40:42" x14ac:dyDescent="0.3">
      <c r="AN17968">
        <v>17964</v>
      </c>
      <c r="AO17968" s="11">
        <v>44233.73</v>
      </c>
      <c r="AP17968" s="9">
        <v>3.7394897053413918</v>
      </c>
    </row>
    <row r="17969" spans="40:42" x14ac:dyDescent="0.3">
      <c r="AN17969">
        <v>17965</v>
      </c>
      <c r="AO17969" s="11">
        <v>23771.360000000001</v>
      </c>
      <c r="AP17969" s="9">
        <v>3.0754847586956799</v>
      </c>
    </row>
    <row r="17970" spans="40:42" x14ac:dyDescent="0.3">
      <c r="AN17970">
        <v>17966</v>
      </c>
      <c r="AO17970" s="11">
        <v>27857.759999999998</v>
      </c>
      <c r="AP17970" s="9">
        <v>2.894523655313701</v>
      </c>
    </row>
    <row r="17971" spans="40:42" x14ac:dyDescent="0.3">
      <c r="AN17971">
        <v>17967</v>
      </c>
      <c r="AO17971" s="11">
        <v>29438.92</v>
      </c>
      <c r="AP17971" s="9">
        <v>3.564063013615888</v>
      </c>
    </row>
    <row r="17972" spans="40:42" x14ac:dyDescent="0.3">
      <c r="AN17972">
        <v>17968</v>
      </c>
      <c r="AO17972" s="11">
        <v>27619.439999999999</v>
      </c>
      <c r="AP17972" s="9">
        <v>3.5474449786945668</v>
      </c>
    </row>
    <row r="17973" spans="40:42" x14ac:dyDescent="0.3">
      <c r="AN17973">
        <v>17969</v>
      </c>
      <c r="AO17973" s="11">
        <v>37193.03</v>
      </c>
      <c r="AP17973" s="9">
        <v>3.4201299532967639</v>
      </c>
    </row>
    <row r="17974" spans="40:42" x14ac:dyDescent="0.3">
      <c r="AN17974">
        <v>17970</v>
      </c>
      <c r="AO17974" s="11">
        <v>51483.55</v>
      </c>
      <c r="AP17974" s="9">
        <v>4.3967298963341426</v>
      </c>
    </row>
    <row r="17975" spans="40:42" x14ac:dyDescent="0.3">
      <c r="AN17975">
        <v>17971</v>
      </c>
      <c r="AO17975" s="11">
        <v>36995.69</v>
      </c>
      <c r="AP17975" s="9">
        <v>3.3645823705177929</v>
      </c>
    </row>
    <row r="17976" spans="40:42" x14ac:dyDescent="0.3">
      <c r="AN17976">
        <v>17972</v>
      </c>
      <c r="AO17976" s="11">
        <v>27347.62</v>
      </c>
      <c r="AP17976" s="9">
        <v>3.9515071513593831</v>
      </c>
    </row>
    <row r="17977" spans="40:42" x14ac:dyDescent="0.3">
      <c r="AN17977">
        <v>17973</v>
      </c>
      <c r="AO17977" s="11">
        <v>26031.19</v>
      </c>
      <c r="AP17977" s="9">
        <v>2.9729410305344897</v>
      </c>
    </row>
    <row r="17978" spans="40:42" x14ac:dyDescent="0.3">
      <c r="AN17978">
        <v>17974</v>
      </c>
      <c r="AO17978" s="11">
        <v>24963.81</v>
      </c>
      <c r="AP17978" s="9">
        <v>3.5822657403309113</v>
      </c>
    </row>
    <row r="17979" spans="40:42" x14ac:dyDescent="0.3">
      <c r="AN17979">
        <v>17975</v>
      </c>
      <c r="AO17979" s="11">
        <v>35045.800000000003</v>
      </c>
      <c r="AP17979" s="9">
        <v>3.3696987713082862</v>
      </c>
    </row>
    <row r="17980" spans="40:42" x14ac:dyDescent="0.3">
      <c r="AN17980">
        <v>17976</v>
      </c>
      <c r="AO17980" s="11">
        <v>28982.31</v>
      </c>
      <c r="AP17980" s="9">
        <v>3.4739796554639959</v>
      </c>
    </row>
    <row r="17981" spans="40:42" x14ac:dyDescent="0.3">
      <c r="AN17981">
        <v>17977</v>
      </c>
      <c r="AO17981" s="11">
        <v>22308.5</v>
      </c>
      <c r="AP17981" s="9">
        <v>2.9066331334669391</v>
      </c>
    </row>
    <row r="17982" spans="40:42" x14ac:dyDescent="0.3">
      <c r="AN17982">
        <v>17978</v>
      </c>
      <c r="AO17982" s="11">
        <v>30472.880000000001</v>
      </c>
      <c r="AP17982" s="9">
        <v>3.6853053583395332</v>
      </c>
    </row>
    <row r="17983" spans="40:42" x14ac:dyDescent="0.3">
      <c r="AN17983">
        <v>17979</v>
      </c>
      <c r="AO17983" s="11">
        <v>21316.74</v>
      </c>
      <c r="AP17983" s="9">
        <v>3.2260895205458411</v>
      </c>
    </row>
    <row r="17984" spans="40:42" x14ac:dyDescent="0.3">
      <c r="AN17984">
        <v>17980</v>
      </c>
      <c r="AO17984" s="11">
        <v>19555.43</v>
      </c>
      <c r="AP17984" s="9">
        <v>2.8781645592668088</v>
      </c>
    </row>
    <row r="17985" spans="40:42" x14ac:dyDescent="0.3">
      <c r="AN17985">
        <v>17981</v>
      </c>
      <c r="AO17985" s="11">
        <v>23157.39</v>
      </c>
      <c r="AP17985" s="9">
        <v>3.1524146616122084</v>
      </c>
    </row>
    <row r="17986" spans="40:42" x14ac:dyDescent="0.3">
      <c r="AN17986">
        <v>17982</v>
      </c>
      <c r="AO17986" s="11">
        <v>19788.900000000001</v>
      </c>
      <c r="AP17986" s="9">
        <v>2.785948067990037</v>
      </c>
    </row>
    <row r="17987" spans="40:42" x14ac:dyDescent="0.3">
      <c r="AN17987">
        <v>17983</v>
      </c>
      <c r="AO17987" s="11">
        <v>42985.760000000002</v>
      </c>
      <c r="AP17987" s="9">
        <v>4.0915224538334707</v>
      </c>
    </row>
    <row r="17988" spans="40:42" x14ac:dyDescent="0.3">
      <c r="AN17988">
        <v>17984</v>
      </c>
      <c r="AO17988" s="11">
        <v>24183.33</v>
      </c>
      <c r="AP17988" s="9">
        <v>3.3395577049616287</v>
      </c>
    </row>
    <row r="17989" spans="40:42" x14ac:dyDescent="0.3">
      <c r="AN17989">
        <v>17985</v>
      </c>
      <c r="AO17989" s="11">
        <v>19466.41</v>
      </c>
      <c r="AP17989" s="9">
        <v>3.3213284574939803</v>
      </c>
    </row>
    <row r="17990" spans="40:42" x14ac:dyDescent="0.3">
      <c r="AN17990">
        <v>17986</v>
      </c>
      <c r="AO17990" s="11">
        <v>23453.46</v>
      </c>
      <c r="AP17990" s="9">
        <v>2.7784005570945198</v>
      </c>
    </row>
    <row r="17991" spans="40:42" x14ac:dyDescent="0.3">
      <c r="AN17991">
        <v>17987</v>
      </c>
      <c r="AO17991" s="11">
        <v>30544.52</v>
      </c>
      <c r="AP17991" s="9">
        <v>2.8099003828902958</v>
      </c>
    </row>
    <row r="17992" spans="40:42" x14ac:dyDescent="0.3">
      <c r="AN17992">
        <v>17988</v>
      </c>
      <c r="AO17992" s="11">
        <v>23448.54</v>
      </c>
      <c r="AP17992" s="9">
        <v>3.1907933736231322</v>
      </c>
    </row>
    <row r="17993" spans="40:42" x14ac:dyDescent="0.3">
      <c r="AN17993">
        <v>17989</v>
      </c>
      <c r="AO17993" s="11">
        <v>30463.34</v>
      </c>
      <c r="AP17993" s="9">
        <v>3.4164476265209722</v>
      </c>
    </row>
    <row r="17994" spans="40:42" x14ac:dyDescent="0.3">
      <c r="AN17994">
        <v>17990</v>
      </c>
      <c r="AO17994" s="11">
        <v>16921.57</v>
      </c>
      <c r="AP17994" s="9">
        <v>3.4678463864212774</v>
      </c>
    </row>
    <row r="17995" spans="40:42" x14ac:dyDescent="0.3">
      <c r="AN17995">
        <v>17991</v>
      </c>
      <c r="AO17995" s="11">
        <v>28996.41</v>
      </c>
      <c r="AP17995" s="9">
        <v>3.5221797908074515</v>
      </c>
    </row>
    <row r="17996" spans="40:42" x14ac:dyDescent="0.3">
      <c r="AN17996">
        <v>17992</v>
      </c>
      <c r="AO17996" s="11">
        <v>34534.910000000003</v>
      </c>
      <c r="AP17996" s="9">
        <v>3.4128366449751737</v>
      </c>
    </row>
    <row r="17997" spans="40:42" x14ac:dyDescent="0.3">
      <c r="AN17997">
        <v>17993</v>
      </c>
      <c r="AO17997" s="11">
        <v>24410.71</v>
      </c>
      <c r="AP17997" s="9">
        <v>3.94562956213209</v>
      </c>
    </row>
    <row r="17998" spans="40:42" x14ac:dyDescent="0.3">
      <c r="AN17998">
        <v>17994</v>
      </c>
      <c r="AO17998" s="11">
        <v>18777.57</v>
      </c>
      <c r="AP17998" s="9">
        <v>3.4043453314392575</v>
      </c>
    </row>
    <row r="17999" spans="40:42" x14ac:dyDescent="0.3">
      <c r="AN17999">
        <v>17995</v>
      </c>
      <c r="AO17999" s="11">
        <v>31745.59</v>
      </c>
      <c r="AP17999" s="9">
        <v>3.1381390392713731</v>
      </c>
    </row>
    <row r="18000" spans="40:42" x14ac:dyDescent="0.3">
      <c r="AN18000">
        <v>17996</v>
      </c>
      <c r="AO18000" s="11">
        <v>30390.71</v>
      </c>
      <c r="AP18000" s="9">
        <v>3.4435014115325386</v>
      </c>
    </row>
    <row r="18001" spans="40:42" x14ac:dyDescent="0.3">
      <c r="AN18001">
        <v>17997</v>
      </c>
      <c r="AO18001" s="11">
        <v>11278.51</v>
      </c>
      <c r="AP18001" s="9">
        <v>3.3304862264983965</v>
      </c>
    </row>
    <row r="18002" spans="40:42" x14ac:dyDescent="0.3">
      <c r="AN18002">
        <v>17998</v>
      </c>
      <c r="AO18002" s="11">
        <v>24650.03</v>
      </c>
      <c r="AP18002" s="9">
        <v>3.3931628783509349</v>
      </c>
    </row>
    <row r="18003" spans="40:42" x14ac:dyDescent="0.3">
      <c r="AN18003">
        <v>17999</v>
      </c>
      <c r="AO18003" s="11">
        <v>33590.46</v>
      </c>
      <c r="AP18003" s="9">
        <v>3.2828148750141373</v>
      </c>
    </row>
    <row r="18004" spans="40:42" x14ac:dyDescent="0.3">
      <c r="AN18004">
        <v>18000</v>
      </c>
      <c r="AO18004" s="11">
        <v>27296.79</v>
      </c>
      <c r="AP18004" s="9">
        <v>4.3404253998953957</v>
      </c>
    </row>
    <row r="18005" spans="40:42" x14ac:dyDescent="0.3">
      <c r="AN18005">
        <v>18001</v>
      </c>
      <c r="AO18005" s="11">
        <v>20082.16</v>
      </c>
      <c r="AP18005" s="9">
        <v>3.2544349865903892</v>
      </c>
    </row>
    <row r="18006" spans="40:42" x14ac:dyDescent="0.3">
      <c r="AN18006">
        <v>18002</v>
      </c>
      <c r="AO18006" s="11">
        <v>38185.360000000001</v>
      </c>
      <c r="AP18006" s="9">
        <v>3.4227317416848129</v>
      </c>
    </row>
    <row r="18007" spans="40:42" x14ac:dyDescent="0.3">
      <c r="AN18007">
        <v>18003</v>
      </c>
      <c r="AO18007" s="11">
        <v>38328.589999999997</v>
      </c>
      <c r="AP18007" s="9">
        <v>4.7228927677285979</v>
      </c>
    </row>
    <row r="18008" spans="40:42" x14ac:dyDescent="0.3">
      <c r="AN18008">
        <v>18004</v>
      </c>
      <c r="AO18008" s="11">
        <v>18538.73</v>
      </c>
      <c r="AP18008" s="9">
        <v>2.7526013053666993</v>
      </c>
    </row>
    <row r="18009" spans="40:42" x14ac:dyDescent="0.3">
      <c r="AN18009">
        <v>18005</v>
      </c>
      <c r="AO18009" s="11">
        <v>24944.68</v>
      </c>
      <c r="AP18009" s="9">
        <v>3.2092158036607707</v>
      </c>
    </row>
    <row r="18010" spans="40:42" x14ac:dyDescent="0.3">
      <c r="AN18010">
        <v>18006</v>
      </c>
      <c r="AO18010" s="11">
        <v>29055.72</v>
      </c>
      <c r="AP18010" s="9">
        <v>3.5811922800702263</v>
      </c>
    </row>
    <row r="18011" spans="40:42" x14ac:dyDescent="0.3">
      <c r="AN18011">
        <v>18007</v>
      </c>
      <c r="AO18011" s="11">
        <v>32892.75</v>
      </c>
      <c r="AP18011" s="9">
        <v>3.4978326341501873</v>
      </c>
    </row>
    <row r="18012" spans="40:42" x14ac:dyDescent="0.3">
      <c r="AN18012">
        <v>18008</v>
      </c>
      <c r="AO18012" s="11">
        <v>22216.39</v>
      </c>
      <c r="AP18012" s="9">
        <v>2.9085922748350348</v>
      </c>
    </row>
    <row r="18013" spans="40:42" x14ac:dyDescent="0.3">
      <c r="AN18013">
        <v>18009</v>
      </c>
      <c r="AO18013" s="11">
        <v>22928.560000000001</v>
      </c>
      <c r="AP18013" s="9">
        <v>3.2849511473443203</v>
      </c>
    </row>
    <row r="18014" spans="40:42" x14ac:dyDescent="0.3">
      <c r="AN18014">
        <v>18010</v>
      </c>
      <c r="AO18014" s="11">
        <v>26505.5</v>
      </c>
      <c r="AP18014" s="9">
        <v>3.3956774192209824</v>
      </c>
    </row>
    <row r="18015" spans="40:42" x14ac:dyDescent="0.3">
      <c r="AN18015">
        <v>18011</v>
      </c>
      <c r="AO18015" s="11">
        <v>27182.23</v>
      </c>
      <c r="AP18015" s="9">
        <v>2.9386323593257972</v>
      </c>
    </row>
    <row r="18016" spans="40:42" x14ac:dyDescent="0.3">
      <c r="AN18016">
        <v>18012</v>
      </c>
      <c r="AO18016" s="11">
        <v>31674.76</v>
      </c>
      <c r="AP18016" s="9">
        <v>3.975588724876912</v>
      </c>
    </row>
    <row r="18017" spans="40:42" x14ac:dyDescent="0.3">
      <c r="AN18017">
        <v>18013</v>
      </c>
      <c r="AO18017" s="11">
        <v>19915.599999999999</v>
      </c>
      <c r="AP18017" s="9">
        <v>3.0489680292514016</v>
      </c>
    </row>
    <row r="18018" spans="40:42" x14ac:dyDescent="0.3">
      <c r="AN18018">
        <v>18014</v>
      </c>
      <c r="AO18018" s="11">
        <v>31859.07</v>
      </c>
      <c r="AP18018" s="9">
        <v>3.5517024942837159</v>
      </c>
    </row>
    <row r="18019" spans="40:42" x14ac:dyDescent="0.3">
      <c r="AN18019">
        <v>18015</v>
      </c>
      <c r="AO18019" s="11">
        <v>17113.349999999999</v>
      </c>
      <c r="AP18019" s="9">
        <v>2.9546831017974577</v>
      </c>
    </row>
    <row r="18020" spans="40:42" x14ac:dyDescent="0.3">
      <c r="AN18020">
        <v>18016</v>
      </c>
      <c r="AO18020" s="11">
        <v>28977.77</v>
      </c>
      <c r="AP18020" s="9">
        <v>3.5070297549597447</v>
      </c>
    </row>
    <row r="18021" spans="40:42" x14ac:dyDescent="0.3">
      <c r="AN18021">
        <v>18017</v>
      </c>
      <c r="AO18021" s="11">
        <v>24376.93</v>
      </c>
      <c r="AP18021" s="9">
        <v>3.3562026692718341</v>
      </c>
    </row>
    <row r="18022" spans="40:42" x14ac:dyDescent="0.3">
      <c r="AN18022">
        <v>18018</v>
      </c>
      <c r="AO18022" s="11">
        <v>22619.03</v>
      </c>
      <c r="AP18022" s="9">
        <v>3.4863396022281239</v>
      </c>
    </row>
    <row r="18023" spans="40:42" x14ac:dyDescent="0.3">
      <c r="AN18023">
        <v>18019</v>
      </c>
      <c r="AO18023" s="11">
        <v>17602.13</v>
      </c>
      <c r="AP18023" s="9">
        <v>3.1153691344695709</v>
      </c>
    </row>
    <row r="18024" spans="40:42" x14ac:dyDescent="0.3">
      <c r="AN18024">
        <v>18020</v>
      </c>
      <c r="AO18024" s="11">
        <v>26493.71</v>
      </c>
      <c r="AP18024" s="9">
        <v>2.6875328760851174</v>
      </c>
    </row>
    <row r="18025" spans="40:42" x14ac:dyDescent="0.3">
      <c r="AN18025">
        <v>18021</v>
      </c>
      <c r="AO18025" s="11">
        <v>36388.080000000002</v>
      </c>
      <c r="AP18025" s="9">
        <v>3.9216453810093337</v>
      </c>
    </row>
    <row r="18026" spans="40:42" x14ac:dyDescent="0.3">
      <c r="AN18026">
        <v>18022</v>
      </c>
      <c r="AO18026" s="11">
        <v>17715.939999999999</v>
      </c>
      <c r="AP18026" s="9">
        <v>3.5470066387652257</v>
      </c>
    </row>
    <row r="18027" spans="40:42" x14ac:dyDescent="0.3">
      <c r="AN18027">
        <v>18023</v>
      </c>
      <c r="AO18027" s="11">
        <v>39059.230000000003</v>
      </c>
      <c r="AP18027" s="9">
        <v>3.6213224493784453</v>
      </c>
    </row>
    <row r="18028" spans="40:42" x14ac:dyDescent="0.3">
      <c r="AN18028">
        <v>18024</v>
      </c>
      <c r="AO18028" s="11">
        <v>26017.71</v>
      </c>
      <c r="AP18028" s="9">
        <v>2.9379306722226439</v>
      </c>
    </row>
    <row r="18029" spans="40:42" x14ac:dyDescent="0.3">
      <c r="AN18029">
        <v>18025</v>
      </c>
      <c r="AO18029" s="11">
        <v>22749.52</v>
      </c>
      <c r="AP18029" s="9">
        <v>3.2337226340194607</v>
      </c>
    </row>
    <row r="18030" spans="40:42" x14ac:dyDescent="0.3">
      <c r="AN18030">
        <v>18026</v>
      </c>
      <c r="AO18030" s="11">
        <v>24811.74</v>
      </c>
      <c r="AP18030" s="9">
        <v>3.635784623595284</v>
      </c>
    </row>
    <row r="18031" spans="40:42" x14ac:dyDescent="0.3">
      <c r="AN18031">
        <v>18027</v>
      </c>
      <c r="AO18031" s="11">
        <v>29798.46</v>
      </c>
      <c r="AP18031" s="9">
        <v>3.4765273894793602</v>
      </c>
    </row>
    <row r="18032" spans="40:42" x14ac:dyDescent="0.3">
      <c r="AN18032">
        <v>18028</v>
      </c>
      <c r="AO18032" s="11">
        <v>15098.17</v>
      </c>
      <c r="AP18032" s="9">
        <v>3.0572378326416194</v>
      </c>
    </row>
    <row r="18033" spans="40:42" x14ac:dyDescent="0.3">
      <c r="AN18033">
        <v>18029</v>
      </c>
      <c r="AO18033" s="11">
        <v>27735.759999999998</v>
      </c>
      <c r="AP18033" s="9">
        <v>3.0878594282534957</v>
      </c>
    </row>
    <row r="18034" spans="40:42" x14ac:dyDescent="0.3">
      <c r="AN18034">
        <v>18030</v>
      </c>
      <c r="AO18034" s="11">
        <v>33333.69</v>
      </c>
      <c r="AP18034" s="9">
        <v>3.7230359951185612</v>
      </c>
    </row>
    <row r="18035" spans="40:42" x14ac:dyDescent="0.3">
      <c r="AN18035">
        <v>18031</v>
      </c>
      <c r="AO18035" s="11">
        <v>25082.31</v>
      </c>
      <c r="AP18035" s="9">
        <v>3.3630953820504379</v>
      </c>
    </row>
    <row r="18036" spans="40:42" x14ac:dyDescent="0.3">
      <c r="AN18036">
        <v>18032</v>
      </c>
      <c r="AO18036" s="11">
        <v>28035.31</v>
      </c>
      <c r="AP18036" s="9">
        <v>3.4746709584186988</v>
      </c>
    </row>
    <row r="18037" spans="40:42" x14ac:dyDescent="0.3">
      <c r="AN18037">
        <v>18033</v>
      </c>
      <c r="AO18037" s="11">
        <v>36317.279999999999</v>
      </c>
      <c r="AP18037" s="9">
        <v>3.1540421896198612</v>
      </c>
    </row>
    <row r="18038" spans="40:42" x14ac:dyDescent="0.3">
      <c r="AN18038">
        <v>18034</v>
      </c>
      <c r="AO18038" s="11">
        <v>22123.65</v>
      </c>
      <c r="AP18038" s="9">
        <v>3.1852074890936253</v>
      </c>
    </row>
    <row r="18039" spans="40:42" x14ac:dyDescent="0.3">
      <c r="AN18039">
        <v>18035</v>
      </c>
      <c r="AO18039" s="11">
        <v>37673.56</v>
      </c>
      <c r="AP18039" s="9">
        <v>3.8106026730283937</v>
      </c>
    </row>
    <row r="18040" spans="40:42" x14ac:dyDescent="0.3">
      <c r="AN18040">
        <v>18036</v>
      </c>
      <c r="AO18040" s="11">
        <v>19769.580000000002</v>
      </c>
      <c r="AP18040" s="9">
        <v>2.6216712356636385</v>
      </c>
    </row>
    <row r="18041" spans="40:42" x14ac:dyDescent="0.3">
      <c r="AN18041">
        <v>18037</v>
      </c>
      <c r="AO18041" s="11">
        <v>25821.68</v>
      </c>
      <c r="AP18041" s="9">
        <v>3.7489347905397272</v>
      </c>
    </row>
    <row r="18042" spans="40:42" x14ac:dyDescent="0.3">
      <c r="AN18042">
        <v>18038</v>
      </c>
      <c r="AO18042" s="11">
        <v>28569.35</v>
      </c>
      <c r="AP18042" s="9">
        <v>3.2255216081814839</v>
      </c>
    </row>
    <row r="18043" spans="40:42" x14ac:dyDescent="0.3">
      <c r="AN18043">
        <v>18039</v>
      </c>
      <c r="AO18043" s="11">
        <v>13898.48</v>
      </c>
      <c r="AP18043" s="9">
        <v>3.6868001338370506</v>
      </c>
    </row>
    <row r="18044" spans="40:42" x14ac:dyDescent="0.3">
      <c r="AN18044">
        <v>18040</v>
      </c>
      <c r="AO18044" s="11">
        <v>25641.65</v>
      </c>
      <c r="AP18044" s="9">
        <v>2.9240049185241577</v>
      </c>
    </row>
    <row r="18045" spans="40:42" x14ac:dyDescent="0.3">
      <c r="AN18045">
        <v>18041</v>
      </c>
      <c r="AO18045" s="11">
        <v>20275.919999999998</v>
      </c>
      <c r="AP18045" s="9">
        <v>2.9927867915207265</v>
      </c>
    </row>
    <row r="18046" spans="40:42" x14ac:dyDescent="0.3">
      <c r="AN18046">
        <v>18042</v>
      </c>
      <c r="AO18046" s="11">
        <v>14234.4</v>
      </c>
      <c r="AP18046" s="9">
        <v>3.7403109170045381</v>
      </c>
    </row>
    <row r="18047" spans="40:42" x14ac:dyDescent="0.3">
      <c r="AN18047">
        <v>18043</v>
      </c>
      <c r="AO18047" s="11">
        <v>24210.15</v>
      </c>
      <c r="AP18047" s="9">
        <v>3.3589821495911578</v>
      </c>
    </row>
    <row r="18048" spans="40:42" x14ac:dyDescent="0.3">
      <c r="AN18048">
        <v>18044</v>
      </c>
      <c r="AO18048" s="11">
        <v>27614.51</v>
      </c>
      <c r="AP18048" s="9">
        <v>3.6559767726134575</v>
      </c>
    </row>
    <row r="18049" spans="40:42" x14ac:dyDescent="0.3">
      <c r="AN18049">
        <v>18045</v>
      </c>
      <c r="AO18049" s="11">
        <v>37871.97</v>
      </c>
      <c r="AP18049" s="9">
        <v>4.2884554706450233</v>
      </c>
    </row>
    <row r="18050" spans="40:42" x14ac:dyDescent="0.3">
      <c r="AN18050">
        <v>18046</v>
      </c>
      <c r="AO18050" s="11">
        <v>24304.73</v>
      </c>
      <c r="AP18050" s="9">
        <v>3.054284903244052</v>
      </c>
    </row>
    <row r="18051" spans="40:42" x14ac:dyDescent="0.3">
      <c r="AN18051">
        <v>18047</v>
      </c>
      <c r="AO18051" s="11">
        <v>32871.86</v>
      </c>
      <c r="AP18051" s="9">
        <v>3.8386910348470091</v>
      </c>
    </row>
    <row r="18052" spans="40:42" x14ac:dyDescent="0.3">
      <c r="AN18052">
        <v>18048</v>
      </c>
      <c r="AO18052" s="11">
        <v>25426.81</v>
      </c>
      <c r="AP18052" s="9">
        <v>3.2974654785617208</v>
      </c>
    </row>
    <row r="18053" spans="40:42" x14ac:dyDescent="0.3">
      <c r="AN18053">
        <v>18049</v>
      </c>
      <c r="AO18053" s="11">
        <v>31349.09</v>
      </c>
      <c r="AP18053" s="9">
        <v>3.0621198575009316</v>
      </c>
    </row>
    <row r="18054" spans="40:42" x14ac:dyDescent="0.3">
      <c r="AN18054">
        <v>18050</v>
      </c>
      <c r="AO18054" s="11">
        <v>16400.419999999998</v>
      </c>
      <c r="AP18054" s="9">
        <v>3.2443408023725335</v>
      </c>
    </row>
    <row r="18055" spans="40:42" x14ac:dyDescent="0.3">
      <c r="AN18055">
        <v>18051</v>
      </c>
      <c r="AO18055" s="11">
        <v>33522.89</v>
      </c>
      <c r="AP18055" s="9">
        <v>3.6707801328127578</v>
      </c>
    </row>
    <row r="18056" spans="40:42" x14ac:dyDescent="0.3">
      <c r="AN18056">
        <v>18052</v>
      </c>
      <c r="AO18056" s="11">
        <v>28284.66</v>
      </c>
      <c r="AP18056" s="9">
        <v>3.2821805114299618</v>
      </c>
    </row>
    <row r="18057" spans="40:42" x14ac:dyDescent="0.3">
      <c r="AN18057">
        <v>18053</v>
      </c>
      <c r="AO18057" s="11">
        <v>28097.18</v>
      </c>
      <c r="AP18057" s="9">
        <v>3.4006979827544184</v>
      </c>
    </row>
    <row r="18058" spans="40:42" x14ac:dyDescent="0.3">
      <c r="AN18058">
        <v>18054</v>
      </c>
      <c r="AO18058" s="11">
        <v>18818.04</v>
      </c>
      <c r="AP18058" s="9">
        <v>3.0098786672323219</v>
      </c>
    </row>
    <row r="18059" spans="40:42" x14ac:dyDescent="0.3">
      <c r="AN18059">
        <v>18055</v>
      </c>
      <c r="AO18059" s="11">
        <v>22374.62</v>
      </c>
      <c r="AP18059" s="9">
        <v>3.1608807635666065</v>
      </c>
    </row>
    <row r="18060" spans="40:42" x14ac:dyDescent="0.3">
      <c r="AN18060">
        <v>18056</v>
      </c>
      <c r="AO18060" s="11">
        <v>32158.31</v>
      </c>
      <c r="AP18060" s="9">
        <v>3.5499888586447805</v>
      </c>
    </row>
    <row r="18061" spans="40:42" x14ac:dyDescent="0.3">
      <c r="AN18061">
        <v>18057</v>
      </c>
      <c r="AO18061" s="11">
        <v>18377.72</v>
      </c>
      <c r="AP18061" s="9">
        <v>3.3760809070238391</v>
      </c>
    </row>
    <row r="18062" spans="40:42" x14ac:dyDescent="0.3">
      <c r="AN18062">
        <v>18058</v>
      </c>
      <c r="AO18062" s="11">
        <v>35369.79</v>
      </c>
      <c r="AP18062" s="9">
        <v>4.6702264145927161</v>
      </c>
    </row>
    <row r="18063" spans="40:42" x14ac:dyDescent="0.3">
      <c r="AN18063">
        <v>18059</v>
      </c>
      <c r="AO18063" s="11">
        <v>22479.25</v>
      </c>
      <c r="AP18063" s="9">
        <v>3.5958545710085632</v>
      </c>
    </row>
    <row r="18064" spans="40:42" x14ac:dyDescent="0.3">
      <c r="AN18064">
        <v>18060</v>
      </c>
      <c r="AO18064" s="11">
        <v>25216.58</v>
      </c>
      <c r="AP18064" s="9">
        <v>3.3102443324308091</v>
      </c>
    </row>
    <row r="18065" spans="40:42" x14ac:dyDescent="0.3">
      <c r="AN18065">
        <v>18061</v>
      </c>
      <c r="AO18065" s="11">
        <v>29124.94</v>
      </c>
      <c r="AP18065" s="9">
        <v>2.6492776505856916</v>
      </c>
    </row>
    <row r="18066" spans="40:42" x14ac:dyDescent="0.3">
      <c r="AN18066">
        <v>18062</v>
      </c>
      <c r="AO18066" s="11">
        <v>18932.560000000001</v>
      </c>
      <c r="AP18066" s="9">
        <v>3.2223754378018312</v>
      </c>
    </row>
    <row r="18067" spans="40:42" x14ac:dyDescent="0.3">
      <c r="AN18067">
        <v>18063</v>
      </c>
      <c r="AO18067" s="11">
        <v>25591.49</v>
      </c>
      <c r="AP18067" s="9">
        <v>3.5903224527017468</v>
      </c>
    </row>
    <row r="18068" spans="40:42" x14ac:dyDescent="0.3">
      <c r="AN18068">
        <v>18064</v>
      </c>
      <c r="AO18068" s="11">
        <v>35348.14</v>
      </c>
      <c r="AP18068" s="9">
        <v>3.4668547170759694</v>
      </c>
    </row>
    <row r="18069" spans="40:42" x14ac:dyDescent="0.3">
      <c r="AN18069">
        <v>18065</v>
      </c>
      <c r="AO18069" s="11">
        <v>27050.5</v>
      </c>
      <c r="AP18069" s="9">
        <v>4.0135573079839935</v>
      </c>
    </row>
    <row r="18070" spans="40:42" x14ac:dyDescent="0.3">
      <c r="AN18070">
        <v>18066</v>
      </c>
      <c r="AO18070" s="11">
        <v>20067.13</v>
      </c>
      <c r="AP18070" s="9">
        <v>2.9272998607967171</v>
      </c>
    </row>
    <row r="18071" spans="40:42" x14ac:dyDescent="0.3">
      <c r="AN18071">
        <v>18067</v>
      </c>
      <c r="AO18071" s="11">
        <v>24621.25</v>
      </c>
      <c r="AP18071" s="9">
        <v>3.5040122619685259</v>
      </c>
    </row>
    <row r="18072" spans="40:42" x14ac:dyDescent="0.3">
      <c r="AN18072">
        <v>18068</v>
      </c>
      <c r="AO18072" s="11">
        <v>28418.67</v>
      </c>
      <c r="AP18072" s="9">
        <v>3.6327959239006082</v>
      </c>
    </row>
    <row r="18073" spans="40:42" x14ac:dyDescent="0.3">
      <c r="AN18073">
        <v>18069</v>
      </c>
      <c r="AO18073" s="11">
        <v>21259.38</v>
      </c>
      <c r="AP18073" s="9">
        <v>2.9963511434265588</v>
      </c>
    </row>
    <row r="18074" spans="40:42" x14ac:dyDescent="0.3">
      <c r="AN18074">
        <v>18070</v>
      </c>
      <c r="AO18074" s="11">
        <v>23428.29</v>
      </c>
      <c r="AP18074" s="9">
        <v>2.9214274164712162</v>
      </c>
    </row>
    <row r="18075" spans="40:42" x14ac:dyDescent="0.3">
      <c r="AN18075">
        <v>18071</v>
      </c>
      <c r="AO18075" s="11">
        <v>16397.169999999998</v>
      </c>
      <c r="AP18075" s="9">
        <v>3.2295730651909453</v>
      </c>
    </row>
    <row r="18076" spans="40:42" x14ac:dyDescent="0.3">
      <c r="AN18076">
        <v>18072</v>
      </c>
      <c r="AO18076" s="11">
        <v>37854.86</v>
      </c>
      <c r="AP18076" s="9">
        <v>3.744414564829007</v>
      </c>
    </row>
    <row r="18077" spans="40:42" x14ac:dyDescent="0.3">
      <c r="AN18077">
        <v>18073</v>
      </c>
      <c r="AO18077" s="11">
        <v>31868.42</v>
      </c>
      <c r="AP18077" s="9">
        <v>3.6848688147583659</v>
      </c>
    </row>
    <row r="18078" spans="40:42" x14ac:dyDescent="0.3">
      <c r="AN18078">
        <v>18074</v>
      </c>
      <c r="AO18078" s="11">
        <v>21167.33</v>
      </c>
      <c r="AP18078" s="9">
        <v>2.9695965998727436</v>
      </c>
    </row>
    <row r="18079" spans="40:42" x14ac:dyDescent="0.3">
      <c r="AN18079">
        <v>18075</v>
      </c>
      <c r="AO18079" s="11">
        <v>26461.53</v>
      </c>
      <c r="AP18079" s="9">
        <v>3.6731053300277279</v>
      </c>
    </row>
    <row r="18080" spans="40:42" x14ac:dyDescent="0.3">
      <c r="AN18080">
        <v>18076</v>
      </c>
      <c r="AO18080" s="11">
        <v>18413.740000000002</v>
      </c>
      <c r="AP18080" s="9">
        <v>3.3231998287994204</v>
      </c>
    </row>
    <row r="18081" spans="40:42" x14ac:dyDescent="0.3">
      <c r="AN18081">
        <v>18077</v>
      </c>
      <c r="AO18081" s="11">
        <v>37206.42</v>
      </c>
      <c r="AP18081" s="9">
        <v>4.0066771924925479</v>
      </c>
    </row>
    <row r="18082" spans="40:42" x14ac:dyDescent="0.3">
      <c r="AN18082">
        <v>18078</v>
      </c>
      <c r="AO18082" s="11">
        <v>32288.6</v>
      </c>
      <c r="AP18082" s="9">
        <v>3.8533303332278366</v>
      </c>
    </row>
    <row r="18083" spans="40:42" x14ac:dyDescent="0.3">
      <c r="AN18083">
        <v>18079</v>
      </c>
      <c r="AO18083" s="11">
        <v>41748.589999999997</v>
      </c>
      <c r="AP18083" s="9">
        <v>4.1262447310777342</v>
      </c>
    </row>
    <row r="18084" spans="40:42" x14ac:dyDescent="0.3">
      <c r="AN18084">
        <v>18080</v>
      </c>
      <c r="AO18084" s="11">
        <v>19835.64</v>
      </c>
      <c r="AP18084" s="9">
        <v>3.1666998499561818</v>
      </c>
    </row>
    <row r="18085" spans="40:42" x14ac:dyDescent="0.3">
      <c r="AN18085">
        <v>18081</v>
      </c>
      <c r="AO18085" s="11">
        <v>26268.28</v>
      </c>
      <c r="AP18085" s="9">
        <v>3.4064412085123772</v>
      </c>
    </row>
    <row r="18086" spans="40:42" x14ac:dyDescent="0.3">
      <c r="AN18086">
        <v>18082</v>
      </c>
      <c r="AO18086" s="11">
        <v>40710.480000000003</v>
      </c>
      <c r="AP18086" s="9">
        <v>3.4371983544154072</v>
      </c>
    </row>
    <row r="18087" spans="40:42" x14ac:dyDescent="0.3">
      <c r="AN18087">
        <v>18083</v>
      </c>
      <c r="AO18087" s="11">
        <v>19932.53</v>
      </c>
      <c r="AP18087" s="9">
        <v>3.0707304270227112</v>
      </c>
    </row>
    <row r="18088" spans="40:42" x14ac:dyDescent="0.3">
      <c r="AN18088">
        <v>18084</v>
      </c>
      <c r="AO18088" s="11">
        <v>20572.36</v>
      </c>
      <c r="AP18088" s="9">
        <v>3.986459599903561</v>
      </c>
    </row>
    <row r="18089" spans="40:42" x14ac:dyDescent="0.3">
      <c r="AN18089">
        <v>18085</v>
      </c>
      <c r="AO18089" s="11">
        <v>32493.22</v>
      </c>
      <c r="AP18089" s="9">
        <v>3.9751366831943393</v>
      </c>
    </row>
    <row r="18090" spans="40:42" x14ac:dyDescent="0.3">
      <c r="AN18090">
        <v>18086</v>
      </c>
      <c r="AO18090" s="11">
        <v>18507.54</v>
      </c>
      <c r="AP18090" s="9">
        <v>3.312421799664846</v>
      </c>
    </row>
    <row r="18091" spans="40:42" x14ac:dyDescent="0.3">
      <c r="AN18091">
        <v>18087</v>
      </c>
      <c r="AO18091" s="11">
        <v>25756.15</v>
      </c>
      <c r="AP18091" s="9">
        <v>3.531403662572405</v>
      </c>
    </row>
    <row r="18092" spans="40:42" x14ac:dyDescent="0.3">
      <c r="AN18092">
        <v>18088</v>
      </c>
      <c r="AO18092" s="11">
        <v>35055.11</v>
      </c>
      <c r="AP18092" s="9">
        <v>3.9708955197109757</v>
      </c>
    </row>
    <row r="18093" spans="40:42" x14ac:dyDescent="0.3">
      <c r="AN18093">
        <v>18089</v>
      </c>
      <c r="AO18093" s="11">
        <v>25799.51</v>
      </c>
      <c r="AP18093" s="9">
        <v>2.8261238776830044</v>
      </c>
    </row>
    <row r="18094" spans="40:42" x14ac:dyDescent="0.3">
      <c r="AN18094">
        <v>18090</v>
      </c>
      <c r="AO18094" s="11">
        <v>8982.39</v>
      </c>
      <c r="AP18094" s="9">
        <v>3.6034472179007544</v>
      </c>
    </row>
    <row r="18095" spans="40:42" x14ac:dyDescent="0.3">
      <c r="AN18095">
        <v>18091</v>
      </c>
      <c r="AO18095" s="11">
        <v>35370.28</v>
      </c>
      <c r="AP18095" s="9">
        <v>3.8783870415163157</v>
      </c>
    </row>
    <row r="18096" spans="40:42" x14ac:dyDescent="0.3">
      <c r="AN18096">
        <v>18092</v>
      </c>
      <c r="AO18096" s="11">
        <v>29573.81</v>
      </c>
      <c r="AP18096" s="9">
        <v>3.186601396304912</v>
      </c>
    </row>
    <row r="18097" spans="40:42" x14ac:dyDescent="0.3">
      <c r="AN18097">
        <v>18093</v>
      </c>
      <c r="AO18097" s="11">
        <v>25502.54</v>
      </c>
      <c r="AP18097" s="9">
        <v>3.3532386535139507</v>
      </c>
    </row>
    <row r="18098" spans="40:42" x14ac:dyDescent="0.3">
      <c r="AN18098">
        <v>18094</v>
      </c>
      <c r="AO18098" s="11">
        <v>26811.33</v>
      </c>
      <c r="AP18098" s="9">
        <v>3.6768376326192094</v>
      </c>
    </row>
    <row r="18099" spans="40:42" x14ac:dyDescent="0.3">
      <c r="AN18099">
        <v>18095</v>
      </c>
      <c r="AO18099" s="11">
        <v>17593.23</v>
      </c>
      <c r="AP18099" s="9">
        <v>3.2840457683334945</v>
      </c>
    </row>
    <row r="18100" spans="40:42" x14ac:dyDescent="0.3">
      <c r="AN18100">
        <v>18096</v>
      </c>
      <c r="AO18100" s="11">
        <v>31021.08</v>
      </c>
      <c r="AP18100" s="9">
        <v>3.332673214369398</v>
      </c>
    </row>
    <row r="18101" spans="40:42" x14ac:dyDescent="0.3">
      <c r="AN18101">
        <v>18097</v>
      </c>
      <c r="AO18101" s="11">
        <v>37132.71</v>
      </c>
      <c r="AP18101" s="9">
        <v>3.6733809678218798</v>
      </c>
    </row>
    <row r="18102" spans="40:42" x14ac:dyDescent="0.3">
      <c r="AN18102">
        <v>18098</v>
      </c>
      <c r="AO18102" s="11">
        <v>24160.01</v>
      </c>
      <c r="AP18102" s="9">
        <v>3.4882350984217649</v>
      </c>
    </row>
    <row r="18103" spans="40:42" x14ac:dyDescent="0.3">
      <c r="AN18103">
        <v>18099</v>
      </c>
      <c r="AO18103" s="11">
        <v>28832.65</v>
      </c>
      <c r="AP18103" s="9">
        <v>3.5880459562216886</v>
      </c>
    </row>
    <row r="18104" spans="40:42" x14ac:dyDescent="0.3">
      <c r="AN18104">
        <v>18100</v>
      </c>
      <c r="AO18104" s="11">
        <v>30266.400000000001</v>
      </c>
      <c r="AP18104" s="9">
        <v>3.7763319425872441</v>
      </c>
    </row>
    <row r="18105" spans="40:42" x14ac:dyDescent="0.3">
      <c r="AN18105">
        <v>18101</v>
      </c>
      <c r="AO18105" s="11">
        <v>25363.84</v>
      </c>
      <c r="AP18105" s="9">
        <v>3.5862119643242769</v>
      </c>
    </row>
    <row r="18106" spans="40:42" x14ac:dyDescent="0.3">
      <c r="AN18106">
        <v>18102</v>
      </c>
      <c r="AO18106" s="11">
        <v>25534.07</v>
      </c>
      <c r="AP18106" s="9">
        <v>4.2023745579445446</v>
      </c>
    </row>
    <row r="18107" spans="40:42" x14ac:dyDescent="0.3">
      <c r="AN18107">
        <v>18103</v>
      </c>
      <c r="AO18107" s="11">
        <v>31582.83</v>
      </c>
      <c r="AP18107" s="9">
        <v>4.3293209348927446</v>
      </c>
    </row>
    <row r="18108" spans="40:42" x14ac:dyDescent="0.3">
      <c r="AN18108">
        <v>18104</v>
      </c>
      <c r="AO18108" s="11">
        <v>23986.75</v>
      </c>
      <c r="AP18108" s="9">
        <v>3.1732369036067531</v>
      </c>
    </row>
    <row r="18109" spans="40:42" x14ac:dyDescent="0.3">
      <c r="AN18109">
        <v>18105</v>
      </c>
      <c r="AO18109" s="11">
        <v>33006.83</v>
      </c>
      <c r="AP18109" s="9">
        <v>3.3783014959377788</v>
      </c>
    </row>
    <row r="18110" spans="40:42" x14ac:dyDescent="0.3">
      <c r="AN18110">
        <v>18106</v>
      </c>
      <c r="AO18110" s="11">
        <v>25690.31</v>
      </c>
      <c r="AP18110" s="9">
        <v>3.340027126730857</v>
      </c>
    </row>
    <row r="18111" spans="40:42" x14ac:dyDescent="0.3">
      <c r="AN18111">
        <v>18107</v>
      </c>
      <c r="AO18111" s="11">
        <v>33266.1</v>
      </c>
      <c r="AP18111" s="9">
        <v>3.7610180596803948</v>
      </c>
    </row>
    <row r="18112" spans="40:42" x14ac:dyDescent="0.3">
      <c r="AN18112">
        <v>18108</v>
      </c>
      <c r="AO18112" s="11">
        <v>30484.14</v>
      </c>
      <c r="AP18112" s="9">
        <v>3.8793120505299385</v>
      </c>
    </row>
    <row r="18113" spans="40:42" x14ac:dyDescent="0.3">
      <c r="AN18113">
        <v>18109</v>
      </c>
      <c r="AO18113" s="11">
        <v>20574.96</v>
      </c>
      <c r="AP18113" s="9">
        <v>3.3848452056109171</v>
      </c>
    </row>
    <row r="18114" spans="40:42" x14ac:dyDescent="0.3">
      <c r="AN18114">
        <v>18110</v>
      </c>
      <c r="AO18114" s="11">
        <v>27953.52</v>
      </c>
      <c r="AP18114" s="9">
        <v>3.1471161027368888</v>
      </c>
    </row>
    <row r="18115" spans="40:42" x14ac:dyDescent="0.3">
      <c r="AN18115">
        <v>18111</v>
      </c>
      <c r="AO18115" s="11">
        <v>28773.5</v>
      </c>
      <c r="AP18115" s="9">
        <v>3.9082997277846423</v>
      </c>
    </row>
    <row r="18116" spans="40:42" x14ac:dyDescent="0.3">
      <c r="AN18116">
        <v>18112</v>
      </c>
      <c r="AO18116" s="11">
        <v>20958.39</v>
      </c>
      <c r="AP18116" s="9">
        <v>3.8303141975584944</v>
      </c>
    </row>
    <row r="18117" spans="40:42" x14ac:dyDescent="0.3">
      <c r="AN18117">
        <v>18113</v>
      </c>
      <c r="AO18117" s="11">
        <v>30175.94</v>
      </c>
      <c r="AP18117" s="9">
        <v>3.1470482194373743</v>
      </c>
    </row>
    <row r="18118" spans="40:42" x14ac:dyDescent="0.3">
      <c r="AN18118">
        <v>18114</v>
      </c>
      <c r="AO18118" s="11">
        <v>30766.68</v>
      </c>
      <c r="AP18118" s="9">
        <v>2.9273158558319552</v>
      </c>
    </row>
    <row r="18119" spans="40:42" x14ac:dyDescent="0.3">
      <c r="AN18119">
        <v>18115</v>
      </c>
      <c r="AO18119" s="11">
        <v>32630.55</v>
      </c>
      <c r="AP18119" s="9">
        <v>3.6386264948882108</v>
      </c>
    </row>
    <row r="18120" spans="40:42" x14ac:dyDescent="0.3">
      <c r="AN18120">
        <v>18116</v>
      </c>
      <c r="AO18120" s="11">
        <v>28315.74</v>
      </c>
      <c r="AP18120" s="9">
        <v>3.4411676058705161</v>
      </c>
    </row>
    <row r="18121" spans="40:42" x14ac:dyDescent="0.3">
      <c r="AN18121">
        <v>18117</v>
      </c>
      <c r="AO18121" s="11">
        <v>17795.57</v>
      </c>
      <c r="AP18121" s="9">
        <v>3.34443318053808</v>
      </c>
    </row>
    <row r="18122" spans="40:42" x14ac:dyDescent="0.3">
      <c r="AN18122">
        <v>18118</v>
      </c>
      <c r="AO18122" s="11">
        <v>24836.639999999999</v>
      </c>
      <c r="AP18122" s="9">
        <v>3.1763472525420915</v>
      </c>
    </row>
    <row r="18123" spans="40:42" x14ac:dyDescent="0.3">
      <c r="AN18123">
        <v>18119</v>
      </c>
      <c r="AO18123" s="11">
        <v>22913.84</v>
      </c>
      <c r="AP18123" s="9">
        <v>3.3083103438832584</v>
      </c>
    </row>
    <row r="18124" spans="40:42" x14ac:dyDescent="0.3">
      <c r="AN18124">
        <v>18120</v>
      </c>
      <c r="AO18124" s="11">
        <v>17383.669999999998</v>
      </c>
      <c r="AP18124" s="9">
        <v>3.4602154033880583</v>
      </c>
    </row>
    <row r="18125" spans="40:42" x14ac:dyDescent="0.3">
      <c r="AN18125">
        <v>18121</v>
      </c>
      <c r="AO18125" s="11">
        <v>23405.54</v>
      </c>
      <c r="AP18125" s="9">
        <v>3.0377099975006026</v>
      </c>
    </row>
    <row r="18126" spans="40:42" x14ac:dyDescent="0.3">
      <c r="AN18126">
        <v>18122</v>
      </c>
      <c r="AO18126" s="11">
        <v>34833.14</v>
      </c>
      <c r="AP18126" s="9">
        <v>3.6613855131505324</v>
      </c>
    </row>
    <row r="18127" spans="40:42" x14ac:dyDescent="0.3">
      <c r="AN18127">
        <v>18123</v>
      </c>
      <c r="AO18127" s="11">
        <v>21521.33</v>
      </c>
      <c r="AP18127" s="9">
        <v>2.9019739224031427</v>
      </c>
    </row>
    <row r="18128" spans="40:42" x14ac:dyDescent="0.3">
      <c r="AN18128">
        <v>18124</v>
      </c>
      <c r="AO18128" s="11">
        <v>19614.490000000002</v>
      </c>
      <c r="AP18128" s="9">
        <v>2.980710685610068</v>
      </c>
    </row>
    <row r="18129" spans="40:42" x14ac:dyDescent="0.3">
      <c r="AN18129">
        <v>18125</v>
      </c>
      <c r="AO18129" s="11">
        <v>22844.080000000002</v>
      </c>
      <c r="AP18129" s="9">
        <v>3.0674827088819083</v>
      </c>
    </row>
    <row r="18130" spans="40:42" x14ac:dyDescent="0.3">
      <c r="AN18130">
        <v>18126</v>
      </c>
      <c r="AO18130" s="11">
        <v>24401.24</v>
      </c>
      <c r="AP18130" s="9">
        <v>3.4632408997430351</v>
      </c>
    </row>
    <row r="18131" spans="40:42" x14ac:dyDescent="0.3">
      <c r="AN18131">
        <v>18127</v>
      </c>
      <c r="AO18131" s="11">
        <v>32158.75</v>
      </c>
      <c r="AP18131" s="9">
        <v>3.6084241960029679</v>
      </c>
    </row>
    <row r="18132" spans="40:42" x14ac:dyDescent="0.3">
      <c r="AN18132">
        <v>18128</v>
      </c>
      <c r="AO18132" s="11">
        <v>31100.79</v>
      </c>
      <c r="AP18132" s="9">
        <v>3.8593270223885918</v>
      </c>
    </row>
    <row r="18133" spans="40:42" x14ac:dyDescent="0.3">
      <c r="AN18133">
        <v>18129</v>
      </c>
      <c r="AO18133" s="11">
        <v>41090.639999999999</v>
      </c>
      <c r="AP18133" s="9">
        <v>3.8746370036354021</v>
      </c>
    </row>
    <row r="18134" spans="40:42" x14ac:dyDescent="0.3">
      <c r="AN18134">
        <v>18130</v>
      </c>
      <c r="AO18134" s="11">
        <v>21731.93</v>
      </c>
      <c r="AP18134" s="9">
        <v>3.3784712418533682</v>
      </c>
    </row>
    <row r="18135" spans="40:42" x14ac:dyDescent="0.3">
      <c r="AN18135">
        <v>18131</v>
      </c>
      <c r="AO18135" s="11">
        <v>37679.26</v>
      </c>
      <c r="AP18135" s="9">
        <v>3.9067285556233089</v>
      </c>
    </row>
    <row r="18136" spans="40:42" x14ac:dyDescent="0.3">
      <c r="AN18136">
        <v>18132</v>
      </c>
      <c r="AO18136" s="11">
        <v>29796.69</v>
      </c>
      <c r="AP18136" s="9">
        <v>3.5714735623486082</v>
      </c>
    </row>
    <row r="18137" spans="40:42" x14ac:dyDescent="0.3">
      <c r="AN18137">
        <v>18133</v>
      </c>
      <c r="AO18137" s="11">
        <v>28147.79</v>
      </c>
      <c r="AP18137" s="9">
        <v>3.2563047071791433</v>
      </c>
    </row>
    <row r="18138" spans="40:42" x14ac:dyDescent="0.3">
      <c r="AN18138">
        <v>18134</v>
      </c>
      <c r="AO18138" s="11">
        <v>29147.16</v>
      </c>
      <c r="AP18138" s="9">
        <v>3.0431829079262598</v>
      </c>
    </row>
    <row r="18139" spans="40:42" x14ac:dyDescent="0.3">
      <c r="AN18139">
        <v>18135</v>
      </c>
      <c r="AO18139" s="11">
        <v>22245.39</v>
      </c>
      <c r="AP18139" s="9">
        <v>3.0387138745754663</v>
      </c>
    </row>
    <row r="18140" spans="40:42" x14ac:dyDescent="0.3">
      <c r="AN18140">
        <v>18136</v>
      </c>
      <c r="AO18140" s="11">
        <v>29325.58</v>
      </c>
      <c r="AP18140" s="9">
        <v>3.6975845751819727</v>
      </c>
    </row>
    <row r="18141" spans="40:42" x14ac:dyDescent="0.3">
      <c r="AN18141">
        <v>18137</v>
      </c>
      <c r="AO18141" s="11">
        <v>19200.900000000001</v>
      </c>
      <c r="AP18141" s="9">
        <v>2.8808780716422815</v>
      </c>
    </row>
    <row r="18142" spans="40:42" x14ac:dyDescent="0.3">
      <c r="AN18142">
        <v>18138</v>
      </c>
      <c r="AO18142" s="11">
        <v>19468.18</v>
      </c>
      <c r="AP18142" s="9">
        <v>3.5374953340725752</v>
      </c>
    </row>
    <row r="18143" spans="40:42" x14ac:dyDescent="0.3">
      <c r="AN18143">
        <v>18139</v>
      </c>
      <c r="AO18143" s="11">
        <v>31048.85</v>
      </c>
      <c r="AP18143" s="9">
        <v>3.4018991620896357</v>
      </c>
    </row>
    <row r="18144" spans="40:42" x14ac:dyDescent="0.3">
      <c r="AN18144">
        <v>18140</v>
      </c>
      <c r="AO18144" s="11">
        <v>24718.53</v>
      </c>
      <c r="AP18144" s="9">
        <v>3.1523739743529635</v>
      </c>
    </row>
    <row r="18145" spans="40:42" x14ac:dyDescent="0.3">
      <c r="AN18145">
        <v>18141</v>
      </c>
      <c r="AO18145" s="11">
        <v>28449.63</v>
      </c>
      <c r="AP18145" s="9">
        <v>3.4629954955417341</v>
      </c>
    </row>
    <row r="18146" spans="40:42" x14ac:dyDescent="0.3">
      <c r="AN18146">
        <v>18142</v>
      </c>
      <c r="AO18146" s="11">
        <v>32470.27</v>
      </c>
      <c r="AP18146" s="9">
        <v>3.4311839968116078</v>
      </c>
    </row>
    <row r="18147" spans="40:42" x14ac:dyDescent="0.3">
      <c r="AN18147">
        <v>18143</v>
      </c>
      <c r="AO18147" s="11">
        <v>21927.3</v>
      </c>
      <c r="AP18147" s="9">
        <v>3.4776856437617556</v>
      </c>
    </row>
    <row r="18148" spans="40:42" x14ac:dyDescent="0.3">
      <c r="AN18148">
        <v>18144</v>
      </c>
      <c r="AO18148" s="11">
        <v>44801.25</v>
      </c>
      <c r="AP18148" s="9">
        <v>2.9769826412438469</v>
      </c>
    </row>
    <row r="18149" spans="40:42" x14ac:dyDescent="0.3">
      <c r="AN18149">
        <v>18145</v>
      </c>
      <c r="AO18149" s="11">
        <v>23350.880000000001</v>
      </c>
      <c r="AP18149" s="9">
        <v>3.5483746251487132</v>
      </c>
    </row>
    <row r="18150" spans="40:42" x14ac:dyDescent="0.3">
      <c r="AN18150">
        <v>18146</v>
      </c>
      <c r="AO18150" s="11">
        <v>34944.58</v>
      </c>
      <c r="AP18150" s="9">
        <v>3.3694398377957797</v>
      </c>
    </row>
    <row r="18151" spans="40:42" x14ac:dyDescent="0.3">
      <c r="AN18151">
        <v>18147</v>
      </c>
      <c r="AO18151" s="11">
        <v>25237.01</v>
      </c>
      <c r="AP18151" s="9">
        <v>3.4938960303329205</v>
      </c>
    </row>
    <row r="18152" spans="40:42" x14ac:dyDescent="0.3">
      <c r="AN18152">
        <v>18148</v>
      </c>
      <c r="AO18152" s="11">
        <v>22665.53</v>
      </c>
      <c r="AP18152" s="9">
        <v>3.5018764036556322</v>
      </c>
    </row>
    <row r="18153" spans="40:42" x14ac:dyDescent="0.3">
      <c r="AN18153">
        <v>18149</v>
      </c>
      <c r="AO18153" s="11">
        <v>25657.759999999998</v>
      </c>
      <c r="AP18153" s="9">
        <v>3.0611126735184921</v>
      </c>
    </row>
    <row r="18154" spans="40:42" x14ac:dyDescent="0.3">
      <c r="AN18154">
        <v>18150</v>
      </c>
      <c r="AO18154" s="11">
        <v>37669.99</v>
      </c>
      <c r="AP18154" s="9">
        <v>3.3949787977217198</v>
      </c>
    </row>
    <row r="18155" spans="40:42" x14ac:dyDescent="0.3">
      <c r="AN18155">
        <v>18151</v>
      </c>
      <c r="AO18155" s="11">
        <v>34565.32</v>
      </c>
      <c r="AP18155" s="9">
        <v>3.4113741200828196</v>
      </c>
    </row>
    <row r="18156" spans="40:42" x14ac:dyDescent="0.3">
      <c r="AN18156">
        <v>18152</v>
      </c>
      <c r="AO18156" s="11">
        <v>17299.490000000002</v>
      </c>
      <c r="AP18156" s="9">
        <v>3.2476401017043339</v>
      </c>
    </row>
    <row r="18157" spans="40:42" x14ac:dyDescent="0.3">
      <c r="AN18157">
        <v>18153</v>
      </c>
      <c r="AO18157" s="11">
        <v>43375.53</v>
      </c>
      <c r="AP18157" s="9">
        <v>3.8101690191679234</v>
      </c>
    </row>
    <row r="18158" spans="40:42" x14ac:dyDescent="0.3">
      <c r="AN18158">
        <v>18154</v>
      </c>
      <c r="AO18158" s="11">
        <v>18201.86</v>
      </c>
      <c r="AP18158" s="9">
        <v>2.7909187505306297</v>
      </c>
    </row>
    <row r="18159" spans="40:42" x14ac:dyDescent="0.3">
      <c r="AN18159">
        <v>18155</v>
      </c>
      <c r="AO18159" s="11">
        <v>29673.84</v>
      </c>
      <c r="AP18159" s="9">
        <v>3.3691138238149563</v>
      </c>
    </row>
    <row r="18160" spans="40:42" x14ac:dyDescent="0.3">
      <c r="AN18160">
        <v>18156</v>
      </c>
      <c r="AO18160" s="11">
        <v>33195.040000000001</v>
      </c>
      <c r="AP18160" s="9">
        <v>3.6211845550250077</v>
      </c>
    </row>
    <row r="18161" spans="40:42" x14ac:dyDescent="0.3">
      <c r="AN18161">
        <v>18157</v>
      </c>
      <c r="AO18161" s="11">
        <v>29291.4</v>
      </c>
      <c r="AP18161" s="9">
        <v>2.9718754526759148</v>
      </c>
    </row>
    <row r="18162" spans="40:42" x14ac:dyDescent="0.3">
      <c r="AN18162">
        <v>18158</v>
      </c>
      <c r="AO18162" s="11">
        <v>25733.279999999999</v>
      </c>
      <c r="AP18162" s="9">
        <v>3.1515615202971894</v>
      </c>
    </row>
    <row r="18163" spans="40:42" x14ac:dyDescent="0.3">
      <c r="AN18163">
        <v>18159</v>
      </c>
      <c r="AO18163" s="11">
        <v>29422.02</v>
      </c>
      <c r="AP18163" s="9">
        <v>3.2926986803888894</v>
      </c>
    </row>
    <row r="18164" spans="40:42" x14ac:dyDescent="0.3">
      <c r="AN18164">
        <v>18160</v>
      </c>
      <c r="AO18164" s="11">
        <v>24626.58</v>
      </c>
      <c r="AP18164" s="9">
        <v>2.8173636262976376</v>
      </c>
    </row>
    <row r="18165" spans="40:42" x14ac:dyDescent="0.3">
      <c r="AN18165">
        <v>18161</v>
      </c>
      <c r="AO18165" s="11">
        <v>19583.7</v>
      </c>
      <c r="AP18165" s="9">
        <v>3.398124694183835</v>
      </c>
    </row>
    <row r="18166" spans="40:42" x14ac:dyDescent="0.3">
      <c r="AN18166">
        <v>18162</v>
      </c>
      <c r="AO18166" s="11">
        <v>17630.2</v>
      </c>
      <c r="AP18166" s="9">
        <v>3.1387373256411051</v>
      </c>
    </row>
    <row r="18167" spans="40:42" x14ac:dyDescent="0.3">
      <c r="AN18167">
        <v>18163</v>
      </c>
      <c r="AO18167" s="11">
        <v>26700.86</v>
      </c>
      <c r="AP18167" s="9">
        <v>3.5134636392838576</v>
      </c>
    </row>
    <row r="18168" spans="40:42" x14ac:dyDescent="0.3">
      <c r="AN18168">
        <v>18164</v>
      </c>
      <c r="AO18168" s="11">
        <v>20975.89</v>
      </c>
      <c r="AP18168" s="9">
        <v>3.0862050615081666</v>
      </c>
    </row>
    <row r="18169" spans="40:42" x14ac:dyDescent="0.3">
      <c r="AN18169">
        <v>18165</v>
      </c>
      <c r="AO18169" s="11">
        <v>35690.5</v>
      </c>
      <c r="AP18169" s="9">
        <v>3.5837347325850666</v>
      </c>
    </row>
    <row r="18170" spans="40:42" x14ac:dyDescent="0.3">
      <c r="AN18170">
        <v>18166</v>
      </c>
      <c r="AO18170" s="11">
        <v>21957.95</v>
      </c>
      <c r="AP18170" s="9">
        <v>3.2464835229586932</v>
      </c>
    </row>
    <row r="18171" spans="40:42" x14ac:dyDescent="0.3">
      <c r="AN18171">
        <v>18167</v>
      </c>
      <c r="AO18171" s="11">
        <v>28001.54</v>
      </c>
      <c r="AP18171" s="9">
        <v>3.3471922305629747</v>
      </c>
    </row>
    <row r="18172" spans="40:42" x14ac:dyDescent="0.3">
      <c r="AN18172">
        <v>18168</v>
      </c>
      <c r="AO18172" s="11">
        <v>20068.43</v>
      </c>
      <c r="AP18172" s="9">
        <v>3.5663232973460484</v>
      </c>
    </row>
    <row r="18173" spans="40:42" x14ac:dyDescent="0.3">
      <c r="AN18173">
        <v>18169</v>
      </c>
      <c r="AO18173" s="11">
        <v>23943.54</v>
      </c>
      <c r="AP18173" s="9">
        <v>3.2923816915602586</v>
      </c>
    </row>
    <row r="18174" spans="40:42" x14ac:dyDescent="0.3">
      <c r="AN18174">
        <v>18170</v>
      </c>
      <c r="AO18174" s="11">
        <v>34826.800000000003</v>
      </c>
      <c r="AP18174" s="9">
        <v>3.4196992424336758</v>
      </c>
    </row>
    <row r="18175" spans="40:42" x14ac:dyDescent="0.3">
      <c r="AN18175">
        <v>18171</v>
      </c>
      <c r="AO18175" s="11">
        <v>28158.01</v>
      </c>
      <c r="AP18175" s="9">
        <v>4.0108103338748435</v>
      </c>
    </row>
    <row r="18176" spans="40:42" x14ac:dyDescent="0.3">
      <c r="AN18176">
        <v>18172</v>
      </c>
      <c r="AO18176" s="11">
        <v>24354.32</v>
      </c>
      <c r="AP18176" s="9">
        <v>3.2257811001238732</v>
      </c>
    </row>
    <row r="18177" spans="40:42" x14ac:dyDescent="0.3">
      <c r="AN18177">
        <v>18173</v>
      </c>
      <c r="AO18177" s="11">
        <v>26016.62</v>
      </c>
      <c r="AP18177" s="9">
        <v>3.9390383980721158</v>
      </c>
    </row>
    <row r="18178" spans="40:42" x14ac:dyDescent="0.3">
      <c r="AN18178">
        <v>18174</v>
      </c>
      <c r="AO18178" s="11">
        <v>29261.02</v>
      </c>
      <c r="AP18178" s="9">
        <v>3.641344959069631</v>
      </c>
    </row>
    <row r="18179" spans="40:42" x14ac:dyDescent="0.3">
      <c r="AN18179">
        <v>18175</v>
      </c>
      <c r="AO18179" s="11">
        <v>24040.44</v>
      </c>
      <c r="AP18179" s="9">
        <v>4.0690082011611004</v>
      </c>
    </row>
    <row r="18180" spans="40:42" x14ac:dyDescent="0.3">
      <c r="AN18180">
        <v>18176</v>
      </c>
      <c r="AO18180" s="11">
        <v>20101.95</v>
      </c>
      <c r="AP18180" s="9">
        <v>3.1932868784849098</v>
      </c>
    </row>
    <row r="18181" spans="40:42" x14ac:dyDescent="0.3">
      <c r="AN18181">
        <v>18177</v>
      </c>
      <c r="AO18181" s="11">
        <v>32058.39</v>
      </c>
      <c r="AP18181" s="9">
        <v>3.5738262164719083</v>
      </c>
    </row>
    <row r="18182" spans="40:42" x14ac:dyDescent="0.3">
      <c r="AN18182">
        <v>18178</v>
      </c>
      <c r="AO18182" s="11">
        <v>32898.01</v>
      </c>
      <c r="AP18182" s="9">
        <v>3.6789310236183579</v>
      </c>
    </row>
    <row r="18183" spans="40:42" x14ac:dyDescent="0.3">
      <c r="AN18183">
        <v>18179</v>
      </c>
      <c r="AO18183" s="11">
        <v>20153.12</v>
      </c>
      <c r="AP18183" s="9">
        <v>3.0308925211274977</v>
      </c>
    </row>
    <row r="18184" spans="40:42" x14ac:dyDescent="0.3">
      <c r="AN18184">
        <v>18180</v>
      </c>
      <c r="AO18184" s="11">
        <v>18662.82</v>
      </c>
      <c r="AP18184" s="9">
        <v>3.2178716473708313</v>
      </c>
    </row>
    <row r="18185" spans="40:42" x14ac:dyDescent="0.3">
      <c r="AN18185">
        <v>18181</v>
      </c>
      <c r="AO18185" s="11">
        <v>27539.08</v>
      </c>
      <c r="AP18185" s="9">
        <v>3.5522150589391623</v>
      </c>
    </row>
    <row r="18186" spans="40:42" x14ac:dyDescent="0.3">
      <c r="AN18186">
        <v>18182</v>
      </c>
      <c r="AO18186" s="11">
        <v>20905.580000000002</v>
      </c>
      <c r="AP18186" s="9">
        <v>3.2675306693494828</v>
      </c>
    </row>
    <row r="18187" spans="40:42" x14ac:dyDescent="0.3">
      <c r="AN18187">
        <v>18183</v>
      </c>
      <c r="AO18187" s="11">
        <v>21269.11</v>
      </c>
      <c r="AP18187" s="9">
        <v>3.834699562216338</v>
      </c>
    </row>
    <row r="18188" spans="40:42" x14ac:dyDescent="0.3">
      <c r="AN18188">
        <v>18184</v>
      </c>
      <c r="AO18188" s="11">
        <v>17792.8</v>
      </c>
      <c r="AP18188" s="9">
        <v>3.27671991780797</v>
      </c>
    </row>
    <row r="18189" spans="40:42" x14ac:dyDescent="0.3">
      <c r="AN18189">
        <v>18185</v>
      </c>
      <c r="AO18189" s="11">
        <v>17035.36</v>
      </c>
      <c r="AP18189" s="9">
        <v>3.4353947998132202</v>
      </c>
    </row>
    <row r="18190" spans="40:42" x14ac:dyDescent="0.3">
      <c r="AN18190">
        <v>18186</v>
      </c>
      <c r="AO18190" s="11">
        <v>25628.44</v>
      </c>
      <c r="AP18190" s="9">
        <v>3.4076585786599058</v>
      </c>
    </row>
    <row r="18191" spans="40:42" x14ac:dyDescent="0.3">
      <c r="AN18191">
        <v>18187</v>
      </c>
      <c r="AO18191" s="11">
        <v>17764.689999999999</v>
      </c>
      <c r="AP18191" s="9">
        <v>2.955206546816461</v>
      </c>
    </row>
    <row r="18192" spans="40:42" x14ac:dyDescent="0.3">
      <c r="AN18192">
        <v>18188</v>
      </c>
      <c r="AO18192" s="11">
        <v>19873.830000000002</v>
      </c>
      <c r="AP18192" s="9">
        <v>3.1703956572266017</v>
      </c>
    </row>
    <row r="18193" spans="40:42" x14ac:dyDescent="0.3">
      <c r="AN18193">
        <v>18189</v>
      </c>
      <c r="AO18193" s="11">
        <v>28273.279999999999</v>
      </c>
      <c r="AP18193" s="9">
        <v>3.4100536955471652</v>
      </c>
    </row>
    <row r="18194" spans="40:42" x14ac:dyDescent="0.3">
      <c r="AN18194">
        <v>18190</v>
      </c>
      <c r="AO18194" s="11">
        <v>27587.56</v>
      </c>
      <c r="AP18194" s="9">
        <v>3.1226808355810247</v>
      </c>
    </row>
    <row r="18195" spans="40:42" x14ac:dyDescent="0.3">
      <c r="AN18195">
        <v>18191</v>
      </c>
      <c r="AO18195" s="11">
        <v>20563.189999999999</v>
      </c>
      <c r="AP18195" s="9">
        <v>2.4007775962047462</v>
      </c>
    </row>
    <row r="18196" spans="40:42" x14ac:dyDescent="0.3">
      <c r="AN18196">
        <v>18192</v>
      </c>
      <c r="AO18196" s="11">
        <v>19576.259999999998</v>
      </c>
      <c r="AP18196" s="9">
        <v>2.9503012309305143</v>
      </c>
    </row>
    <row r="18197" spans="40:42" x14ac:dyDescent="0.3">
      <c r="AN18197">
        <v>18193</v>
      </c>
      <c r="AO18197" s="11">
        <v>36349.22</v>
      </c>
      <c r="AP18197" s="9">
        <v>3.2570205834551658</v>
      </c>
    </row>
    <row r="18198" spans="40:42" x14ac:dyDescent="0.3">
      <c r="AN18198">
        <v>18194</v>
      </c>
      <c r="AO18198" s="11">
        <v>26459.16</v>
      </c>
      <c r="AP18198" s="9">
        <v>3.0527281377213487</v>
      </c>
    </row>
    <row r="18199" spans="40:42" x14ac:dyDescent="0.3">
      <c r="AN18199">
        <v>18195</v>
      </c>
      <c r="AO18199" s="11">
        <v>27048.11</v>
      </c>
      <c r="AP18199" s="9">
        <v>4.2848400205678878</v>
      </c>
    </row>
    <row r="18200" spans="40:42" x14ac:dyDescent="0.3">
      <c r="AN18200">
        <v>18196</v>
      </c>
      <c r="AO18200" s="11">
        <v>24077.79</v>
      </c>
      <c r="AP18200" s="9">
        <v>3.3325774187473494</v>
      </c>
    </row>
    <row r="18201" spans="40:42" x14ac:dyDescent="0.3">
      <c r="AN18201">
        <v>18197</v>
      </c>
      <c r="AO18201" s="11">
        <v>19354.080000000002</v>
      </c>
      <c r="AP18201" s="9">
        <v>2.9654917004877834</v>
      </c>
    </row>
    <row r="18202" spans="40:42" x14ac:dyDescent="0.3">
      <c r="AN18202">
        <v>18198</v>
      </c>
      <c r="AO18202" s="11">
        <v>29190.7</v>
      </c>
      <c r="AP18202" s="9">
        <v>3.2537893769402606</v>
      </c>
    </row>
    <row r="18203" spans="40:42" x14ac:dyDescent="0.3">
      <c r="AN18203">
        <v>18199</v>
      </c>
      <c r="AO18203" s="11">
        <v>29867.46</v>
      </c>
      <c r="AP18203" s="9">
        <v>3.6109084325100094</v>
      </c>
    </row>
    <row r="18204" spans="40:42" x14ac:dyDescent="0.3">
      <c r="AN18204">
        <v>18200</v>
      </c>
      <c r="AO18204" s="11">
        <v>19716.71</v>
      </c>
      <c r="AP18204" s="9">
        <v>2.8806024531848435</v>
      </c>
    </row>
    <row r="18205" spans="40:42" x14ac:dyDescent="0.3">
      <c r="AN18205">
        <v>18201</v>
      </c>
      <c r="AO18205" s="11">
        <v>19634.93</v>
      </c>
      <c r="AP18205" s="9">
        <v>3.3746789828717829</v>
      </c>
    </row>
    <row r="18206" spans="40:42" x14ac:dyDescent="0.3">
      <c r="AN18206">
        <v>18202</v>
      </c>
      <c r="AO18206" s="11">
        <v>24006.73</v>
      </c>
      <c r="AP18206" s="9">
        <v>3.2837178100098185</v>
      </c>
    </row>
    <row r="18207" spans="40:42" x14ac:dyDescent="0.3">
      <c r="AN18207">
        <v>18203</v>
      </c>
      <c r="AO18207" s="11">
        <v>20559.349999999999</v>
      </c>
      <c r="AP18207" s="9">
        <v>3.1325041019720214</v>
      </c>
    </row>
    <row r="18208" spans="40:42" x14ac:dyDescent="0.3">
      <c r="AN18208">
        <v>18204</v>
      </c>
      <c r="AO18208" s="11">
        <v>39921.9</v>
      </c>
      <c r="AP18208" s="9">
        <v>3.4423422936547423</v>
      </c>
    </row>
    <row r="18209" spans="40:42" x14ac:dyDescent="0.3">
      <c r="AN18209">
        <v>18205</v>
      </c>
      <c r="AO18209" s="11">
        <v>43972.1</v>
      </c>
      <c r="AP18209" s="9">
        <v>3.1343621637634764</v>
      </c>
    </row>
    <row r="18210" spans="40:42" x14ac:dyDescent="0.3">
      <c r="AN18210">
        <v>18206</v>
      </c>
      <c r="AO18210" s="11">
        <v>32554.67</v>
      </c>
      <c r="AP18210" s="9">
        <v>3.7773519599919614</v>
      </c>
    </row>
    <row r="18211" spans="40:42" x14ac:dyDescent="0.3">
      <c r="AN18211">
        <v>18207</v>
      </c>
      <c r="AO18211" s="11">
        <v>23827.09</v>
      </c>
      <c r="AP18211" s="9">
        <v>3.3215692361829574</v>
      </c>
    </row>
    <row r="18212" spans="40:42" x14ac:dyDescent="0.3">
      <c r="AN18212">
        <v>18208</v>
      </c>
      <c r="AO18212" s="11">
        <v>17281.37</v>
      </c>
      <c r="AP18212" s="9">
        <v>2.8567188952911948</v>
      </c>
    </row>
    <row r="18213" spans="40:42" x14ac:dyDescent="0.3">
      <c r="AN18213">
        <v>18209</v>
      </c>
      <c r="AO18213" s="11">
        <v>19368.73</v>
      </c>
      <c r="AP18213" s="9">
        <v>2.7784399590670192</v>
      </c>
    </row>
    <row r="18214" spans="40:42" x14ac:dyDescent="0.3">
      <c r="AN18214">
        <v>18210</v>
      </c>
      <c r="AO18214" s="11">
        <v>32033.57</v>
      </c>
      <c r="AP18214" s="9">
        <v>3.9288891737737148</v>
      </c>
    </row>
    <row r="18215" spans="40:42" x14ac:dyDescent="0.3">
      <c r="AN18215">
        <v>18211</v>
      </c>
      <c r="AO18215" s="11">
        <v>28990.959999999999</v>
      </c>
      <c r="AP18215" s="9">
        <v>3.3521279702430964</v>
      </c>
    </row>
    <row r="18216" spans="40:42" x14ac:dyDescent="0.3">
      <c r="AN18216">
        <v>18212</v>
      </c>
      <c r="AO18216" s="11">
        <v>27861.53</v>
      </c>
      <c r="AP18216" s="9">
        <v>3.0327494843568408</v>
      </c>
    </row>
    <row r="18217" spans="40:42" x14ac:dyDescent="0.3">
      <c r="AN18217">
        <v>18213</v>
      </c>
      <c r="AO18217" s="11">
        <v>25677.98</v>
      </c>
      <c r="AP18217" s="9">
        <v>3.3388939274922338</v>
      </c>
    </row>
    <row r="18218" spans="40:42" x14ac:dyDescent="0.3">
      <c r="AN18218">
        <v>18214</v>
      </c>
      <c r="AO18218" s="11">
        <v>23609.8</v>
      </c>
      <c r="AP18218" s="9">
        <v>3.4603309140993819</v>
      </c>
    </row>
    <row r="18219" spans="40:42" x14ac:dyDescent="0.3">
      <c r="AN18219">
        <v>18215</v>
      </c>
      <c r="AO18219" s="11">
        <v>26135.46</v>
      </c>
      <c r="AP18219" s="9">
        <v>3.1628389048942251</v>
      </c>
    </row>
    <row r="18220" spans="40:42" x14ac:dyDescent="0.3">
      <c r="AN18220">
        <v>18216</v>
      </c>
      <c r="AO18220" s="11">
        <v>20136.29</v>
      </c>
      <c r="AP18220" s="9">
        <v>2.5329273981546696</v>
      </c>
    </row>
    <row r="18221" spans="40:42" x14ac:dyDescent="0.3">
      <c r="AN18221">
        <v>18217</v>
      </c>
      <c r="AO18221" s="11">
        <v>28182.32</v>
      </c>
      <c r="AP18221" s="9">
        <v>3.403711525671441</v>
      </c>
    </row>
    <row r="18222" spans="40:42" x14ac:dyDescent="0.3">
      <c r="AN18222">
        <v>18218</v>
      </c>
      <c r="AO18222" s="11">
        <v>19207.54</v>
      </c>
      <c r="AP18222" s="9">
        <v>2.9262727708700513</v>
      </c>
    </row>
    <row r="18223" spans="40:42" x14ac:dyDescent="0.3">
      <c r="AN18223">
        <v>18219</v>
      </c>
      <c r="AO18223" s="11">
        <v>31979.65</v>
      </c>
      <c r="AP18223" s="9">
        <v>3.0930478794502747</v>
      </c>
    </row>
    <row r="18224" spans="40:42" x14ac:dyDescent="0.3">
      <c r="AN18224">
        <v>18220</v>
      </c>
      <c r="AO18224" s="11">
        <v>15010.53</v>
      </c>
      <c r="AP18224" s="9">
        <v>3.39443569118838</v>
      </c>
    </row>
    <row r="18225" spans="40:42" x14ac:dyDescent="0.3">
      <c r="AN18225">
        <v>18221</v>
      </c>
      <c r="AO18225" s="11">
        <v>37528.47</v>
      </c>
      <c r="AP18225" s="9">
        <v>4.2256128337241279</v>
      </c>
    </row>
    <row r="18226" spans="40:42" x14ac:dyDescent="0.3">
      <c r="AN18226">
        <v>18222</v>
      </c>
      <c r="AO18226" s="11">
        <v>39869.35</v>
      </c>
      <c r="AP18226" s="9">
        <v>3.8237446464275755</v>
      </c>
    </row>
    <row r="18227" spans="40:42" x14ac:dyDescent="0.3">
      <c r="AN18227">
        <v>18223</v>
      </c>
      <c r="AO18227" s="11">
        <v>26464.06</v>
      </c>
      <c r="AP18227" s="9">
        <v>2.7976848659575526</v>
      </c>
    </row>
    <row r="18228" spans="40:42" x14ac:dyDescent="0.3">
      <c r="AN18228">
        <v>18224</v>
      </c>
      <c r="AO18228" s="11">
        <v>18169.240000000002</v>
      </c>
      <c r="AP18228" s="9">
        <v>3.4428971112794828</v>
      </c>
    </row>
    <row r="18229" spans="40:42" x14ac:dyDescent="0.3">
      <c r="AN18229">
        <v>18225</v>
      </c>
      <c r="AO18229" s="11">
        <v>42018.03</v>
      </c>
      <c r="AP18229" s="9">
        <v>3.7105641126211206</v>
      </c>
    </row>
    <row r="18230" spans="40:42" x14ac:dyDescent="0.3">
      <c r="AN18230">
        <v>18226</v>
      </c>
      <c r="AO18230" s="11">
        <v>36895.160000000003</v>
      </c>
      <c r="AP18230" s="9">
        <v>3.9164237140697442</v>
      </c>
    </row>
    <row r="18231" spans="40:42" x14ac:dyDescent="0.3">
      <c r="AN18231">
        <v>18227</v>
      </c>
      <c r="AO18231" s="11">
        <v>24675.74</v>
      </c>
      <c r="AP18231" s="9">
        <v>3.2576466229094114</v>
      </c>
    </row>
    <row r="18232" spans="40:42" x14ac:dyDescent="0.3">
      <c r="AN18232">
        <v>18228</v>
      </c>
      <c r="AO18232" s="11">
        <v>16802.23</v>
      </c>
      <c r="AP18232" s="9">
        <v>3.1973346509210017</v>
      </c>
    </row>
    <row r="18233" spans="40:42" x14ac:dyDescent="0.3">
      <c r="AN18233">
        <v>18229</v>
      </c>
      <c r="AO18233" s="11">
        <v>36105.78</v>
      </c>
      <c r="AP18233" s="9">
        <v>3.5994138570460712</v>
      </c>
    </row>
    <row r="18234" spans="40:42" x14ac:dyDescent="0.3">
      <c r="AN18234">
        <v>18230</v>
      </c>
      <c r="AO18234" s="11">
        <v>17427.48</v>
      </c>
      <c r="AP18234" s="9">
        <v>3.3300319340029008</v>
      </c>
    </row>
    <row r="18235" spans="40:42" x14ac:dyDescent="0.3">
      <c r="AN18235">
        <v>18231</v>
      </c>
      <c r="AO18235" s="11">
        <v>26565.14</v>
      </c>
      <c r="AP18235" s="9">
        <v>3.1905881436999253</v>
      </c>
    </row>
    <row r="18236" spans="40:42" x14ac:dyDescent="0.3">
      <c r="AN18236">
        <v>18232</v>
      </c>
      <c r="AO18236" s="11">
        <v>24282.03</v>
      </c>
      <c r="AP18236" s="9">
        <v>3.1182670202766301</v>
      </c>
    </row>
    <row r="18237" spans="40:42" x14ac:dyDescent="0.3">
      <c r="AN18237">
        <v>18233</v>
      </c>
      <c r="AO18237" s="11">
        <v>31188.66</v>
      </c>
      <c r="AP18237" s="9">
        <v>3.3245964589275827</v>
      </c>
    </row>
    <row r="18238" spans="40:42" x14ac:dyDescent="0.3">
      <c r="AN18238">
        <v>18234</v>
      </c>
      <c r="AO18238" s="11">
        <v>28411.02</v>
      </c>
      <c r="AP18238" s="9">
        <v>3.0983551355683367</v>
      </c>
    </row>
    <row r="18239" spans="40:42" x14ac:dyDescent="0.3">
      <c r="AN18239">
        <v>18235</v>
      </c>
      <c r="AO18239" s="11">
        <v>24270.89</v>
      </c>
      <c r="AP18239" s="9">
        <v>3.2899400270313577</v>
      </c>
    </row>
    <row r="18240" spans="40:42" x14ac:dyDescent="0.3">
      <c r="AN18240">
        <v>18236</v>
      </c>
      <c r="AO18240" s="11">
        <v>27096.42</v>
      </c>
      <c r="AP18240" s="9">
        <v>3.47645543963639</v>
      </c>
    </row>
    <row r="18241" spans="40:42" x14ac:dyDescent="0.3">
      <c r="AN18241">
        <v>18237</v>
      </c>
      <c r="AO18241" s="11">
        <v>20960.89</v>
      </c>
      <c r="AP18241" s="9">
        <v>3.4802263306333865</v>
      </c>
    </row>
    <row r="18242" spans="40:42" x14ac:dyDescent="0.3">
      <c r="AN18242">
        <v>18238</v>
      </c>
      <c r="AO18242" s="11">
        <v>18861.75</v>
      </c>
      <c r="AP18242" s="9">
        <v>2.9992583253999756</v>
      </c>
    </row>
    <row r="18243" spans="40:42" x14ac:dyDescent="0.3">
      <c r="AN18243">
        <v>18239</v>
      </c>
      <c r="AO18243" s="11">
        <v>22314.03</v>
      </c>
      <c r="AP18243" s="9">
        <v>3.7532020603154188</v>
      </c>
    </row>
    <row r="18244" spans="40:42" x14ac:dyDescent="0.3">
      <c r="AN18244">
        <v>18240</v>
      </c>
      <c r="AO18244" s="11">
        <v>37787.11</v>
      </c>
      <c r="AP18244" s="9">
        <v>3.5104450037188553</v>
      </c>
    </row>
    <row r="18245" spans="40:42" x14ac:dyDescent="0.3">
      <c r="AN18245">
        <v>18241</v>
      </c>
      <c r="AO18245" s="11">
        <v>23883.33</v>
      </c>
      <c r="AP18245" s="9">
        <v>3.1009271853552858</v>
      </c>
    </row>
    <row r="18246" spans="40:42" x14ac:dyDescent="0.3">
      <c r="AN18246">
        <v>18242</v>
      </c>
      <c r="AO18246" s="11">
        <v>33378.97</v>
      </c>
      <c r="AP18246" s="9">
        <v>3.0181657565287972</v>
      </c>
    </row>
    <row r="18247" spans="40:42" x14ac:dyDescent="0.3">
      <c r="AN18247">
        <v>18243</v>
      </c>
      <c r="AO18247" s="11">
        <v>27290.240000000002</v>
      </c>
      <c r="AP18247" s="9">
        <v>3.2557501590608777</v>
      </c>
    </row>
    <row r="18248" spans="40:42" x14ac:dyDescent="0.3">
      <c r="AN18248">
        <v>18244</v>
      </c>
      <c r="AO18248" s="11">
        <v>31039.82</v>
      </c>
      <c r="AP18248" s="9">
        <v>3.3379426077843473</v>
      </c>
    </row>
    <row r="18249" spans="40:42" x14ac:dyDescent="0.3">
      <c r="AN18249">
        <v>18245</v>
      </c>
      <c r="AO18249" s="11">
        <v>27348.720000000001</v>
      </c>
      <c r="AP18249" s="9">
        <v>3.6026118937581391</v>
      </c>
    </row>
    <row r="18250" spans="40:42" x14ac:dyDescent="0.3">
      <c r="AN18250">
        <v>18246</v>
      </c>
      <c r="AO18250" s="11">
        <v>26625.31</v>
      </c>
      <c r="AP18250" s="9">
        <v>3.5873212506186789</v>
      </c>
    </row>
    <row r="18251" spans="40:42" x14ac:dyDescent="0.3">
      <c r="AN18251">
        <v>18247</v>
      </c>
      <c r="AO18251" s="11">
        <v>16402.03</v>
      </c>
      <c r="AP18251" s="9">
        <v>2.9549044915284624</v>
      </c>
    </row>
    <row r="18252" spans="40:42" x14ac:dyDescent="0.3">
      <c r="AN18252">
        <v>18248</v>
      </c>
      <c r="AO18252" s="11">
        <v>26217.01</v>
      </c>
      <c r="AP18252" s="9">
        <v>3.3669603786696647</v>
      </c>
    </row>
    <row r="18253" spans="40:42" x14ac:dyDescent="0.3">
      <c r="AN18253">
        <v>18249</v>
      </c>
      <c r="AO18253" s="11">
        <v>23236.02</v>
      </c>
      <c r="AP18253" s="9">
        <v>3.4036976912254713</v>
      </c>
    </row>
    <row r="18254" spans="40:42" x14ac:dyDescent="0.3">
      <c r="AN18254">
        <v>18250</v>
      </c>
      <c r="AO18254" s="11">
        <v>13258.37</v>
      </c>
      <c r="AP18254" s="9">
        <v>2.7390379372474452</v>
      </c>
    </row>
    <row r="18255" spans="40:42" x14ac:dyDescent="0.3">
      <c r="AN18255">
        <v>18251</v>
      </c>
      <c r="AO18255" s="11">
        <v>26711.759999999998</v>
      </c>
      <c r="AP18255" s="9">
        <v>3.2087919169677765</v>
      </c>
    </row>
    <row r="18256" spans="40:42" x14ac:dyDescent="0.3">
      <c r="AN18256">
        <v>18252</v>
      </c>
      <c r="AO18256" s="11">
        <v>12275.69</v>
      </c>
      <c r="AP18256" s="9">
        <v>3.3943185484932852</v>
      </c>
    </row>
    <row r="18257" spans="40:42" x14ac:dyDescent="0.3">
      <c r="AN18257">
        <v>18253</v>
      </c>
      <c r="AO18257" s="11">
        <v>27713.17</v>
      </c>
      <c r="AP18257" s="9">
        <v>3.4822213563860571</v>
      </c>
    </row>
    <row r="18258" spans="40:42" x14ac:dyDescent="0.3">
      <c r="AN18258">
        <v>18254</v>
      </c>
      <c r="AO18258" s="11">
        <v>30718.04</v>
      </c>
      <c r="AP18258" s="9">
        <v>3.6019018356299597</v>
      </c>
    </row>
    <row r="18259" spans="40:42" x14ac:dyDescent="0.3">
      <c r="AN18259">
        <v>18255</v>
      </c>
      <c r="AO18259" s="11">
        <v>20208.48</v>
      </c>
      <c r="AP18259" s="9">
        <v>3.2325240796687784</v>
      </c>
    </row>
    <row r="18260" spans="40:42" x14ac:dyDescent="0.3">
      <c r="AN18260">
        <v>18256</v>
      </c>
      <c r="AO18260" s="11">
        <v>21207</v>
      </c>
      <c r="AP18260" s="9">
        <v>2.9277303550583338</v>
      </c>
    </row>
    <row r="18261" spans="40:42" x14ac:dyDescent="0.3">
      <c r="AN18261">
        <v>18257</v>
      </c>
      <c r="AO18261" s="11">
        <v>20325.27</v>
      </c>
      <c r="AP18261" s="9">
        <v>3.318468783390617</v>
      </c>
    </row>
    <row r="18262" spans="40:42" x14ac:dyDescent="0.3">
      <c r="AN18262">
        <v>18258</v>
      </c>
      <c r="AO18262" s="11">
        <v>25985.919999999998</v>
      </c>
      <c r="AP18262" s="9">
        <v>3.264279984542986</v>
      </c>
    </row>
    <row r="18263" spans="40:42" x14ac:dyDescent="0.3">
      <c r="AN18263">
        <v>18259</v>
      </c>
      <c r="AO18263" s="11">
        <v>29123.67</v>
      </c>
      <c r="AP18263" s="9">
        <v>3.3715272525441464</v>
      </c>
    </row>
    <row r="18264" spans="40:42" x14ac:dyDescent="0.3">
      <c r="AN18264">
        <v>18260</v>
      </c>
      <c r="AO18264" s="11">
        <v>19472.150000000001</v>
      </c>
      <c r="AP18264" s="9">
        <v>4.0815953408779162</v>
      </c>
    </row>
    <row r="18265" spans="40:42" x14ac:dyDescent="0.3">
      <c r="AN18265">
        <v>18261</v>
      </c>
      <c r="AO18265" s="11">
        <v>20922.68</v>
      </c>
      <c r="AP18265" s="9">
        <v>3.6956123760589508</v>
      </c>
    </row>
    <row r="18266" spans="40:42" x14ac:dyDescent="0.3">
      <c r="AN18266">
        <v>18262</v>
      </c>
      <c r="AO18266" s="11">
        <v>25409.78</v>
      </c>
      <c r="AP18266" s="9">
        <v>3.6410952122344642</v>
      </c>
    </row>
    <row r="18267" spans="40:42" x14ac:dyDescent="0.3">
      <c r="AN18267">
        <v>18263</v>
      </c>
      <c r="AO18267" s="11">
        <v>16726.990000000002</v>
      </c>
      <c r="AP18267" s="9">
        <v>3.9593060967688158</v>
      </c>
    </row>
    <row r="18268" spans="40:42" x14ac:dyDescent="0.3">
      <c r="AN18268">
        <v>18264</v>
      </c>
      <c r="AO18268" s="11">
        <v>23338.240000000002</v>
      </c>
      <c r="AP18268" s="9">
        <v>3.5061558781181352</v>
      </c>
    </row>
    <row r="18269" spans="40:42" x14ac:dyDescent="0.3">
      <c r="AN18269">
        <v>18265</v>
      </c>
      <c r="AO18269" s="11">
        <v>22129.57</v>
      </c>
      <c r="AP18269" s="9">
        <v>3.322773363990482</v>
      </c>
    </row>
    <row r="18270" spans="40:42" x14ac:dyDescent="0.3">
      <c r="AN18270">
        <v>18266</v>
      </c>
      <c r="AO18270" s="11">
        <v>24254.26</v>
      </c>
      <c r="AP18270" s="9">
        <v>3.2492968573888144</v>
      </c>
    </row>
    <row r="18271" spans="40:42" x14ac:dyDescent="0.3">
      <c r="AN18271">
        <v>18267</v>
      </c>
      <c r="AO18271" s="11">
        <v>41504.43</v>
      </c>
      <c r="AP18271" s="9">
        <v>3.7020576837571522</v>
      </c>
    </row>
    <row r="18272" spans="40:42" x14ac:dyDescent="0.3">
      <c r="AN18272">
        <v>18268</v>
      </c>
      <c r="AO18272" s="11">
        <v>30378.17</v>
      </c>
      <c r="AP18272" s="9">
        <v>3.1577383559971777</v>
      </c>
    </row>
    <row r="18273" spans="40:42" x14ac:dyDescent="0.3">
      <c r="AN18273">
        <v>18269</v>
      </c>
      <c r="AO18273" s="11">
        <v>22876.639999999999</v>
      </c>
      <c r="AP18273" s="9">
        <v>3.2533673706006652</v>
      </c>
    </row>
    <row r="18274" spans="40:42" x14ac:dyDescent="0.3">
      <c r="AN18274">
        <v>18270</v>
      </c>
      <c r="AO18274" s="11">
        <v>23325.18</v>
      </c>
      <c r="AP18274" s="9">
        <v>3.1320986485650688</v>
      </c>
    </row>
    <row r="18275" spans="40:42" x14ac:dyDescent="0.3">
      <c r="AN18275">
        <v>18271</v>
      </c>
      <c r="AO18275" s="11">
        <v>21671.32</v>
      </c>
      <c r="AP18275" s="9">
        <v>2.764805171004403</v>
      </c>
    </row>
    <row r="18276" spans="40:42" x14ac:dyDescent="0.3">
      <c r="AN18276">
        <v>18272</v>
      </c>
      <c r="AO18276" s="11">
        <v>24601.81</v>
      </c>
      <c r="AP18276" s="9">
        <v>3.5777425950637562</v>
      </c>
    </row>
    <row r="18277" spans="40:42" x14ac:dyDescent="0.3">
      <c r="AN18277">
        <v>18273</v>
      </c>
      <c r="AO18277" s="11">
        <v>38046.36</v>
      </c>
      <c r="AP18277" s="9">
        <v>3.6931878159517133</v>
      </c>
    </row>
    <row r="18278" spans="40:42" x14ac:dyDescent="0.3">
      <c r="AN18278">
        <v>18274</v>
      </c>
      <c r="AO18278" s="11">
        <v>21065.67</v>
      </c>
      <c r="AP18278" s="9">
        <v>3.3807828409999061</v>
      </c>
    </row>
    <row r="18279" spans="40:42" x14ac:dyDescent="0.3">
      <c r="AN18279">
        <v>18275</v>
      </c>
      <c r="AO18279" s="11">
        <v>41597.54</v>
      </c>
      <c r="AP18279" s="9">
        <v>3.0331721097205118</v>
      </c>
    </row>
    <row r="18280" spans="40:42" x14ac:dyDescent="0.3">
      <c r="AN18280">
        <v>18276</v>
      </c>
      <c r="AO18280" s="11">
        <v>32133.38</v>
      </c>
      <c r="AP18280" s="9">
        <v>3.4518982903456985</v>
      </c>
    </row>
    <row r="18281" spans="40:42" x14ac:dyDescent="0.3">
      <c r="AN18281">
        <v>18277</v>
      </c>
      <c r="AO18281" s="11">
        <v>15178.37</v>
      </c>
      <c r="AP18281" s="9">
        <v>2.9310962857450371</v>
      </c>
    </row>
    <row r="18282" spans="40:42" x14ac:dyDescent="0.3">
      <c r="AN18282">
        <v>18278</v>
      </c>
      <c r="AO18282" s="11">
        <v>33942.46</v>
      </c>
      <c r="AP18282" s="9">
        <v>3.7535559018212976</v>
      </c>
    </row>
    <row r="18283" spans="40:42" x14ac:dyDescent="0.3">
      <c r="AN18283">
        <v>18279</v>
      </c>
      <c r="AO18283" s="11">
        <v>17505.080000000002</v>
      </c>
      <c r="AP18283" s="9">
        <v>3.0618994003631332</v>
      </c>
    </row>
    <row r="18284" spans="40:42" x14ac:dyDescent="0.3">
      <c r="AN18284">
        <v>18280</v>
      </c>
      <c r="AO18284" s="11">
        <v>22809.97</v>
      </c>
      <c r="AP18284" s="9">
        <v>3.8065293251133676</v>
      </c>
    </row>
    <row r="18285" spans="40:42" x14ac:dyDescent="0.3">
      <c r="AN18285">
        <v>18281</v>
      </c>
      <c r="AO18285" s="11">
        <v>26695.26</v>
      </c>
      <c r="AP18285" s="9">
        <v>3.5390949465491999</v>
      </c>
    </row>
    <row r="18286" spans="40:42" x14ac:dyDescent="0.3">
      <c r="AN18286">
        <v>18282</v>
      </c>
      <c r="AO18286" s="11">
        <v>25493.81</v>
      </c>
      <c r="AP18286" s="9">
        <v>3.3864545358739306</v>
      </c>
    </row>
    <row r="18287" spans="40:42" x14ac:dyDescent="0.3">
      <c r="AN18287">
        <v>18283</v>
      </c>
      <c r="AO18287" s="11">
        <v>17766.82</v>
      </c>
      <c r="AP18287" s="9">
        <v>2.9176701816860984</v>
      </c>
    </row>
    <row r="18288" spans="40:42" x14ac:dyDescent="0.3">
      <c r="AN18288">
        <v>18284</v>
      </c>
      <c r="AO18288" s="11">
        <v>26948.65</v>
      </c>
      <c r="AP18288" s="9">
        <v>3.2715613589636625</v>
      </c>
    </row>
    <row r="18289" spans="40:42" x14ac:dyDescent="0.3">
      <c r="AN18289">
        <v>18285</v>
      </c>
      <c r="AO18289" s="11">
        <v>36062.1</v>
      </c>
      <c r="AP18289" s="9">
        <v>3.9599112902116982</v>
      </c>
    </row>
    <row r="18290" spans="40:42" x14ac:dyDescent="0.3">
      <c r="AN18290">
        <v>18286</v>
      </c>
      <c r="AO18290" s="11">
        <v>26589.29</v>
      </c>
      <c r="AP18290" s="9">
        <v>3.8547072043070973</v>
      </c>
    </row>
    <row r="18291" spans="40:42" x14ac:dyDescent="0.3">
      <c r="AN18291">
        <v>18287</v>
      </c>
      <c r="AO18291" s="11">
        <v>23387.32</v>
      </c>
      <c r="AP18291" s="9">
        <v>3.8080789445169754</v>
      </c>
    </row>
    <row r="18292" spans="40:42" x14ac:dyDescent="0.3">
      <c r="AN18292">
        <v>18288</v>
      </c>
      <c r="AO18292" s="11">
        <v>42426.81</v>
      </c>
      <c r="AP18292" s="9">
        <v>3.6480485234326432</v>
      </c>
    </row>
    <row r="18293" spans="40:42" x14ac:dyDescent="0.3">
      <c r="AN18293">
        <v>18289</v>
      </c>
      <c r="AO18293" s="11">
        <v>31697.119999999999</v>
      </c>
      <c r="AP18293" s="9">
        <v>3.4239385217869502</v>
      </c>
    </row>
    <row r="18294" spans="40:42" x14ac:dyDescent="0.3">
      <c r="AN18294">
        <v>18290</v>
      </c>
      <c r="AO18294" s="11">
        <v>30848.720000000001</v>
      </c>
      <c r="AP18294" s="9">
        <v>3.6372919673155129</v>
      </c>
    </row>
    <row r="18295" spans="40:42" x14ac:dyDescent="0.3">
      <c r="AN18295">
        <v>18291</v>
      </c>
      <c r="AO18295" s="11">
        <v>23995.42</v>
      </c>
      <c r="AP18295" s="9">
        <v>3.116616303333652</v>
      </c>
    </row>
    <row r="18296" spans="40:42" x14ac:dyDescent="0.3">
      <c r="AN18296">
        <v>18292</v>
      </c>
      <c r="AO18296" s="11">
        <v>31430.03</v>
      </c>
      <c r="AP18296" s="9">
        <v>3.7748787836980497</v>
      </c>
    </row>
    <row r="18297" spans="40:42" x14ac:dyDescent="0.3">
      <c r="AN18297">
        <v>18293</v>
      </c>
      <c r="AO18297" s="11">
        <v>33545.589999999997</v>
      </c>
      <c r="AP18297" s="9">
        <v>3.7382245236879266</v>
      </c>
    </row>
    <row r="18298" spans="40:42" x14ac:dyDescent="0.3">
      <c r="AN18298">
        <v>18294</v>
      </c>
      <c r="AO18298" s="11">
        <v>30109.84</v>
      </c>
      <c r="AP18298" s="9">
        <v>3.1593020363058155</v>
      </c>
    </row>
    <row r="18299" spans="40:42" x14ac:dyDescent="0.3">
      <c r="AN18299">
        <v>18295</v>
      </c>
      <c r="AO18299" s="11">
        <v>20274.09</v>
      </c>
      <c r="AP18299" s="9">
        <v>3.5186995595949684</v>
      </c>
    </row>
    <row r="18300" spans="40:42" x14ac:dyDescent="0.3">
      <c r="AN18300">
        <v>18296</v>
      </c>
      <c r="AO18300" s="11">
        <v>19525.16</v>
      </c>
      <c r="AP18300" s="9">
        <v>2.6103826252991822</v>
      </c>
    </row>
    <row r="18301" spans="40:42" x14ac:dyDescent="0.3">
      <c r="AN18301">
        <v>18297</v>
      </c>
      <c r="AO18301" s="11">
        <v>23311.38</v>
      </c>
      <c r="AP18301" s="9">
        <v>3.313509245198262</v>
      </c>
    </row>
    <row r="18302" spans="40:42" x14ac:dyDescent="0.3">
      <c r="AN18302">
        <v>18298</v>
      </c>
      <c r="AO18302" s="11">
        <v>15980</v>
      </c>
      <c r="AP18302" s="9">
        <v>2.9336498903970432</v>
      </c>
    </row>
    <row r="18303" spans="40:42" x14ac:dyDescent="0.3">
      <c r="AN18303">
        <v>18299</v>
      </c>
      <c r="AO18303" s="11">
        <v>39165.040000000001</v>
      </c>
      <c r="AP18303" s="9">
        <v>3.385668732726935</v>
      </c>
    </row>
    <row r="18304" spans="40:42" x14ac:dyDescent="0.3">
      <c r="AN18304">
        <v>18300</v>
      </c>
      <c r="AO18304" s="11">
        <v>26634.83</v>
      </c>
      <c r="AP18304" s="9">
        <v>3.7792672110461543</v>
      </c>
    </row>
    <row r="18305" spans="40:42" x14ac:dyDescent="0.3">
      <c r="AN18305">
        <v>18301</v>
      </c>
      <c r="AO18305" s="11">
        <v>13751.65</v>
      </c>
      <c r="AP18305" s="9">
        <v>2.8327676146991068</v>
      </c>
    </row>
    <row r="18306" spans="40:42" x14ac:dyDescent="0.3">
      <c r="AN18306">
        <v>18302</v>
      </c>
      <c r="AO18306" s="11">
        <v>16670.13</v>
      </c>
      <c r="AP18306" s="9">
        <v>3.2983653475895287</v>
      </c>
    </row>
    <row r="18307" spans="40:42" x14ac:dyDescent="0.3">
      <c r="AN18307">
        <v>18303</v>
      </c>
      <c r="AO18307" s="11">
        <v>18655.82</v>
      </c>
      <c r="AP18307" s="9">
        <v>2.8074224241004684</v>
      </c>
    </row>
    <row r="18308" spans="40:42" x14ac:dyDescent="0.3">
      <c r="AN18308">
        <v>18304</v>
      </c>
      <c r="AO18308" s="11">
        <v>35104.94</v>
      </c>
      <c r="AP18308" s="9">
        <v>3.8343120650431519</v>
      </c>
    </row>
    <row r="18309" spans="40:42" x14ac:dyDescent="0.3">
      <c r="AN18309">
        <v>18305</v>
      </c>
      <c r="AO18309" s="11">
        <v>31374.22</v>
      </c>
      <c r="AP18309" s="9">
        <v>3.4415364442890977</v>
      </c>
    </row>
    <row r="18310" spans="40:42" x14ac:dyDescent="0.3">
      <c r="AN18310">
        <v>18306</v>
      </c>
      <c r="AO18310" s="11">
        <v>32842.199999999997</v>
      </c>
      <c r="AP18310" s="9">
        <v>3.6154101322553012</v>
      </c>
    </row>
    <row r="18311" spans="40:42" x14ac:dyDescent="0.3">
      <c r="AN18311">
        <v>18307</v>
      </c>
      <c r="AO18311" s="11">
        <v>24043.39</v>
      </c>
      <c r="AP18311" s="9">
        <v>2.9244079310001676</v>
      </c>
    </row>
    <row r="18312" spans="40:42" x14ac:dyDescent="0.3">
      <c r="AN18312">
        <v>18308</v>
      </c>
      <c r="AO18312" s="11">
        <v>36488.93</v>
      </c>
      <c r="AP18312" s="9">
        <v>4.4945069447005608</v>
      </c>
    </row>
    <row r="18313" spans="40:42" x14ac:dyDescent="0.3">
      <c r="AN18313">
        <v>18309</v>
      </c>
      <c r="AO18313" s="11">
        <v>33066.089999999997</v>
      </c>
      <c r="AP18313" s="9">
        <v>3.3675665712610603</v>
      </c>
    </row>
    <row r="18314" spans="40:42" x14ac:dyDescent="0.3">
      <c r="AN18314">
        <v>18310</v>
      </c>
      <c r="AO18314" s="11">
        <v>25080.19</v>
      </c>
      <c r="AP18314" s="9">
        <v>3.2469156677117041</v>
      </c>
    </row>
    <row r="18315" spans="40:42" x14ac:dyDescent="0.3">
      <c r="AN18315">
        <v>18311</v>
      </c>
      <c r="AO18315" s="11">
        <v>24221.34</v>
      </c>
      <c r="AP18315" s="9">
        <v>3.2806913667417672</v>
      </c>
    </row>
    <row r="18316" spans="40:42" x14ac:dyDescent="0.3">
      <c r="AN18316">
        <v>18312</v>
      </c>
      <c r="AO18316" s="11">
        <v>27942.61</v>
      </c>
      <c r="AP18316" s="9">
        <v>2.9502860963545201</v>
      </c>
    </row>
    <row r="18317" spans="40:42" x14ac:dyDescent="0.3">
      <c r="AN18317">
        <v>18313</v>
      </c>
      <c r="AO18317" s="11">
        <v>27034.32</v>
      </c>
      <c r="AP18317" s="9">
        <v>3.3853796252140085</v>
      </c>
    </row>
    <row r="18318" spans="40:42" x14ac:dyDescent="0.3">
      <c r="AN18318">
        <v>18314</v>
      </c>
      <c r="AO18318" s="11">
        <v>30335.45</v>
      </c>
      <c r="AP18318" s="9">
        <v>3.884829448483853</v>
      </c>
    </row>
    <row r="18319" spans="40:42" x14ac:dyDescent="0.3">
      <c r="AN18319">
        <v>18315</v>
      </c>
      <c r="AO18319" s="11">
        <v>23919.62</v>
      </c>
      <c r="AP18319" s="9">
        <v>3.3474225800991708</v>
      </c>
    </row>
    <row r="18320" spans="40:42" x14ac:dyDescent="0.3">
      <c r="AN18320">
        <v>18316</v>
      </c>
      <c r="AO18320" s="11">
        <v>26495.200000000001</v>
      </c>
      <c r="AP18320" s="9">
        <v>3.6118823366965556</v>
      </c>
    </row>
    <row r="18321" spans="40:42" x14ac:dyDescent="0.3">
      <c r="AN18321">
        <v>18317</v>
      </c>
      <c r="AO18321" s="11">
        <v>21965.59</v>
      </c>
      <c r="AP18321" s="9">
        <v>3.2602690883437231</v>
      </c>
    </row>
    <row r="18322" spans="40:42" x14ac:dyDescent="0.3">
      <c r="AN18322">
        <v>18318</v>
      </c>
      <c r="AO18322" s="11">
        <v>35826.15</v>
      </c>
      <c r="AP18322" s="9">
        <v>3.6412871414524624</v>
      </c>
    </row>
    <row r="18323" spans="40:42" x14ac:dyDescent="0.3">
      <c r="AN18323">
        <v>18319</v>
      </c>
      <c r="AO18323" s="11">
        <v>29956.39</v>
      </c>
      <c r="AP18323" s="9">
        <v>3.9525032429366869</v>
      </c>
    </row>
    <row r="18324" spans="40:42" x14ac:dyDescent="0.3">
      <c r="AN18324">
        <v>18320</v>
      </c>
      <c r="AO18324" s="11">
        <v>14599.6</v>
      </c>
      <c r="AP18324" s="9">
        <v>2.7376063074677282</v>
      </c>
    </row>
    <row r="18325" spans="40:42" x14ac:dyDescent="0.3">
      <c r="AN18325">
        <v>18321</v>
      </c>
      <c r="AO18325" s="11">
        <v>29116.52</v>
      </c>
      <c r="AP18325" s="9">
        <v>3.3058576659102226</v>
      </c>
    </row>
    <row r="18326" spans="40:42" x14ac:dyDescent="0.3">
      <c r="AN18326">
        <v>18322</v>
      </c>
      <c r="AO18326" s="11">
        <v>22045.14</v>
      </c>
      <c r="AP18326" s="9">
        <v>3.4509723563878847</v>
      </c>
    </row>
    <row r="18327" spans="40:42" x14ac:dyDescent="0.3">
      <c r="AN18327">
        <v>18323</v>
      </c>
      <c r="AO18327" s="11">
        <v>22267.759999999998</v>
      </c>
      <c r="AP18327" s="9">
        <v>2.8710671089826336</v>
      </c>
    </row>
    <row r="18328" spans="40:42" x14ac:dyDescent="0.3">
      <c r="AN18328">
        <v>18324</v>
      </c>
      <c r="AO18328" s="11">
        <v>36430.480000000003</v>
      </c>
      <c r="AP18328" s="9">
        <v>3.3049926624466943</v>
      </c>
    </row>
    <row r="18329" spans="40:42" x14ac:dyDescent="0.3">
      <c r="AN18329">
        <v>18325</v>
      </c>
      <c r="AO18329" s="11">
        <v>21877.63</v>
      </c>
      <c r="AP18329" s="9">
        <v>3.1976723449522226</v>
      </c>
    </row>
    <row r="18330" spans="40:42" x14ac:dyDescent="0.3">
      <c r="AN18330">
        <v>18326</v>
      </c>
      <c r="AO18330" s="11">
        <v>27350.34</v>
      </c>
      <c r="AP18330" s="9">
        <v>3.5862561088312224</v>
      </c>
    </row>
    <row r="18331" spans="40:42" x14ac:dyDescent="0.3">
      <c r="AN18331">
        <v>18327</v>
      </c>
      <c r="AO18331" s="11">
        <v>30207.39</v>
      </c>
      <c r="AP18331" s="9">
        <v>3.6980490155555406</v>
      </c>
    </row>
    <row r="18332" spans="40:42" x14ac:dyDescent="0.3">
      <c r="AN18332">
        <v>18328</v>
      </c>
      <c r="AO18332" s="11">
        <v>19851.8</v>
      </c>
      <c r="AP18332" s="9">
        <v>3.477666988236757</v>
      </c>
    </row>
    <row r="18333" spans="40:42" x14ac:dyDescent="0.3">
      <c r="AN18333">
        <v>18329</v>
      </c>
      <c r="AO18333" s="11">
        <v>28048.959999999999</v>
      </c>
      <c r="AP18333" s="9">
        <v>3.5773784498250389</v>
      </c>
    </row>
    <row r="18334" spans="40:42" x14ac:dyDescent="0.3">
      <c r="AN18334">
        <v>18330</v>
      </c>
      <c r="AO18334" s="11">
        <v>47229.07</v>
      </c>
      <c r="AP18334" s="9">
        <v>3.5719108180454628</v>
      </c>
    </row>
    <row r="18335" spans="40:42" x14ac:dyDescent="0.3">
      <c r="AN18335">
        <v>18331</v>
      </c>
      <c r="AO18335" s="11">
        <v>27105.61</v>
      </c>
      <c r="AP18335" s="9">
        <v>3.9777755786797071</v>
      </c>
    </row>
    <row r="18336" spans="40:42" x14ac:dyDescent="0.3">
      <c r="AN18336">
        <v>18332</v>
      </c>
      <c r="AO18336" s="11">
        <v>34671.800000000003</v>
      </c>
      <c r="AP18336" s="9">
        <v>3.1255128956622178</v>
      </c>
    </row>
    <row r="18337" spans="40:42" x14ac:dyDescent="0.3">
      <c r="AN18337">
        <v>18333</v>
      </c>
      <c r="AO18337" s="11">
        <v>20420.12</v>
      </c>
      <c r="AP18337" s="9">
        <v>3.5771309596518797</v>
      </c>
    </row>
    <row r="18338" spans="40:42" x14ac:dyDescent="0.3">
      <c r="AN18338">
        <v>18334</v>
      </c>
      <c r="AO18338" s="11">
        <v>32652.68</v>
      </c>
      <c r="AP18338" s="9">
        <v>2.8000733472334511</v>
      </c>
    </row>
    <row r="18339" spans="40:42" x14ac:dyDescent="0.3">
      <c r="AN18339">
        <v>18335</v>
      </c>
      <c r="AO18339" s="11">
        <v>21368.37</v>
      </c>
      <c r="AP18339" s="9">
        <v>3.2560085529853455</v>
      </c>
    </row>
    <row r="18340" spans="40:42" x14ac:dyDescent="0.3">
      <c r="AN18340">
        <v>18336</v>
      </c>
      <c r="AO18340" s="11">
        <v>34081.11</v>
      </c>
      <c r="AP18340" s="9">
        <v>3.5559654618177525</v>
      </c>
    </row>
    <row r="18341" spans="40:42" x14ac:dyDescent="0.3">
      <c r="AN18341">
        <v>18337</v>
      </c>
      <c r="AO18341" s="11">
        <v>25522.54</v>
      </c>
      <c r="AP18341" s="9">
        <v>3.516512584077113</v>
      </c>
    </row>
    <row r="18342" spans="40:42" x14ac:dyDescent="0.3">
      <c r="AN18342">
        <v>18338</v>
      </c>
      <c r="AO18342" s="11">
        <v>17332.91</v>
      </c>
      <c r="AP18342" s="9">
        <v>3.1131410111302826</v>
      </c>
    </row>
    <row r="18343" spans="40:42" x14ac:dyDescent="0.3">
      <c r="AN18343">
        <v>18339</v>
      </c>
      <c r="AO18343" s="11">
        <v>27638.13</v>
      </c>
      <c r="AP18343" s="9">
        <v>3.4202339118602185</v>
      </c>
    </row>
    <row r="18344" spans="40:42" x14ac:dyDescent="0.3">
      <c r="AN18344">
        <v>18340</v>
      </c>
      <c r="AO18344" s="11">
        <v>31629.89</v>
      </c>
      <c r="AP18344" s="9">
        <v>3.5601341335109096</v>
      </c>
    </row>
    <row r="18345" spans="40:42" x14ac:dyDescent="0.3">
      <c r="AN18345">
        <v>18341</v>
      </c>
      <c r="AO18345" s="11">
        <v>31785.3</v>
      </c>
      <c r="AP18345" s="9">
        <v>3.1787298382589535</v>
      </c>
    </row>
    <row r="18346" spans="40:42" x14ac:dyDescent="0.3">
      <c r="AN18346">
        <v>18342</v>
      </c>
      <c r="AO18346" s="11">
        <v>29588.99</v>
      </c>
      <c r="AP18346" s="9">
        <v>3.3894922829928489</v>
      </c>
    </row>
    <row r="18347" spans="40:42" x14ac:dyDescent="0.3">
      <c r="AN18347">
        <v>18343</v>
      </c>
      <c r="AO18347" s="11">
        <v>20075.349999999999</v>
      </c>
      <c r="AP18347" s="9">
        <v>2.8764593207841731</v>
      </c>
    </row>
    <row r="18348" spans="40:42" x14ac:dyDescent="0.3">
      <c r="AN18348">
        <v>18344</v>
      </c>
      <c r="AO18348" s="11">
        <v>27183.61</v>
      </c>
      <c r="AP18348" s="9">
        <v>3.1641296490384936</v>
      </c>
    </row>
    <row r="18349" spans="40:42" x14ac:dyDescent="0.3">
      <c r="AN18349">
        <v>18345</v>
      </c>
      <c r="AO18349" s="11">
        <v>20513.95</v>
      </c>
      <c r="AP18349" s="9">
        <v>3.7021562457378723</v>
      </c>
    </row>
    <row r="18350" spans="40:42" x14ac:dyDescent="0.3">
      <c r="AN18350">
        <v>18346</v>
      </c>
      <c r="AO18350" s="11">
        <v>23467.24</v>
      </c>
      <c r="AP18350" s="9">
        <v>3.0984761383760389</v>
      </c>
    </row>
    <row r="18351" spans="40:42" x14ac:dyDescent="0.3">
      <c r="AN18351">
        <v>18347</v>
      </c>
      <c r="AO18351" s="11">
        <v>22380.93</v>
      </c>
      <c r="AP18351" s="9">
        <v>3.2920209316197147</v>
      </c>
    </row>
    <row r="18352" spans="40:42" x14ac:dyDescent="0.3">
      <c r="AN18352">
        <v>18348</v>
      </c>
      <c r="AO18352" s="11">
        <v>32077.22</v>
      </c>
      <c r="AP18352" s="9">
        <v>3.7100490562558313</v>
      </c>
    </row>
    <row r="18353" spans="40:42" x14ac:dyDescent="0.3">
      <c r="AN18353">
        <v>18349</v>
      </c>
      <c r="AO18353" s="11">
        <v>24933.599999999999</v>
      </c>
      <c r="AP18353" s="9">
        <v>3.3092329079735361</v>
      </c>
    </row>
    <row r="18354" spans="40:42" x14ac:dyDescent="0.3">
      <c r="AN18354">
        <v>18350</v>
      </c>
      <c r="AO18354" s="11">
        <v>17419.66</v>
      </c>
      <c r="AP18354" s="9">
        <v>3.5476717422195052</v>
      </c>
    </row>
    <row r="18355" spans="40:42" x14ac:dyDescent="0.3">
      <c r="AN18355">
        <v>18351</v>
      </c>
      <c r="AO18355" s="11">
        <v>45025.02</v>
      </c>
      <c r="AP18355" s="9">
        <v>4.0149229780875544</v>
      </c>
    </row>
    <row r="18356" spans="40:42" x14ac:dyDescent="0.3">
      <c r="AN18356">
        <v>18352</v>
      </c>
      <c r="AO18356" s="11">
        <v>18435.990000000002</v>
      </c>
      <c r="AP18356" s="9">
        <v>2.7978715982288733</v>
      </c>
    </row>
    <row r="18357" spans="40:42" x14ac:dyDescent="0.3">
      <c r="AN18357">
        <v>18353</v>
      </c>
      <c r="AO18357" s="11">
        <v>24221.05</v>
      </c>
      <c r="AP18357" s="9">
        <v>3.6190740827269186</v>
      </c>
    </row>
    <row r="18358" spans="40:42" x14ac:dyDescent="0.3">
      <c r="AN18358">
        <v>18354</v>
      </c>
      <c r="AO18358" s="11">
        <v>39872.04</v>
      </c>
      <c r="AP18358" s="9">
        <v>3.4566104287893968</v>
      </c>
    </row>
    <row r="18359" spans="40:42" x14ac:dyDescent="0.3">
      <c r="AN18359">
        <v>18355</v>
      </c>
      <c r="AO18359" s="11">
        <v>29114.81</v>
      </c>
      <c r="AP18359" s="9">
        <v>2.9335929561368688</v>
      </c>
    </row>
    <row r="18360" spans="40:42" x14ac:dyDescent="0.3">
      <c r="AN18360">
        <v>18356</v>
      </c>
      <c r="AO18360" s="11">
        <v>33987.17</v>
      </c>
      <c r="AP18360" s="9">
        <v>3.3289933747540563</v>
      </c>
    </row>
    <row r="18361" spans="40:42" x14ac:dyDescent="0.3">
      <c r="AN18361">
        <v>18357</v>
      </c>
      <c r="AO18361" s="11">
        <v>34127.120000000003</v>
      </c>
      <c r="AP18361" s="9">
        <v>3.2499300635140052</v>
      </c>
    </row>
    <row r="18362" spans="40:42" x14ac:dyDescent="0.3">
      <c r="AN18362">
        <v>18358</v>
      </c>
      <c r="AO18362" s="11">
        <v>26723.95</v>
      </c>
      <c r="AP18362" s="9">
        <v>3.5499239306114525</v>
      </c>
    </row>
    <row r="18363" spans="40:42" x14ac:dyDescent="0.3">
      <c r="AN18363">
        <v>18359</v>
      </c>
      <c r="AO18363" s="11">
        <v>31293.93</v>
      </c>
      <c r="AP18363" s="9">
        <v>4.6404890826492657</v>
      </c>
    </row>
    <row r="18364" spans="40:42" x14ac:dyDescent="0.3">
      <c r="AN18364">
        <v>18360</v>
      </c>
      <c r="AO18364" s="11">
        <v>29107.81</v>
      </c>
      <c r="AP18364" s="9">
        <v>4.2519390991310342</v>
      </c>
    </row>
    <row r="18365" spans="40:42" x14ac:dyDescent="0.3">
      <c r="AN18365">
        <v>18361</v>
      </c>
      <c r="AO18365" s="11">
        <v>23153.32</v>
      </c>
      <c r="AP18365" s="9">
        <v>3.169298711436086</v>
      </c>
    </row>
    <row r="18366" spans="40:42" x14ac:dyDescent="0.3">
      <c r="AN18366">
        <v>18362</v>
      </c>
      <c r="AO18366" s="11">
        <v>27854.49</v>
      </c>
      <c r="AP18366" s="9">
        <v>3.4232777568222508</v>
      </c>
    </row>
    <row r="18367" spans="40:42" x14ac:dyDescent="0.3">
      <c r="AN18367">
        <v>18363</v>
      </c>
      <c r="AO18367" s="11">
        <v>27291.57</v>
      </c>
      <c r="AP18367" s="9">
        <v>4.1855023725216451</v>
      </c>
    </row>
    <row r="18368" spans="40:42" x14ac:dyDescent="0.3">
      <c r="AN18368">
        <v>18364</v>
      </c>
      <c r="AO18368" s="11">
        <v>28586.98</v>
      </c>
      <c r="AP18368" s="9">
        <v>3.0996338229424238</v>
      </c>
    </row>
    <row r="18369" spans="40:42" x14ac:dyDescent="0.3">
      <c r="AN18369">
        <v>18365</v>
      </c>
      <c r="AO18369" s="11">
        <v>31017.5</v>
      </c>
      <c r="AP18369" s="9">
        <v>3.4776914651709276</v>
      </c>
    </row>
    <row r="18370" spans="40:42" x14ac:dyDescent="0.3">
      <c r="AN18370">
        <v>18366</v>
      </c>
      <c r="AO18370" s="11">
        <v>24019.54</v>
      </c>
      <c r="AP18370" s="9">
        <v>2.9163266413677196</v>
      </c>
    </row>
    <row r="18371" spans="40:42" x14ac:dyDescent="0.3">
      <c r="AN18371">
        <v>18367</v>
      </c>
      <c r="AO18371" s="11">
        <v>19655.7</v>
      </c>
      <c r="AP18371" s="9">
        <v>2.8741966809335247</v>
      </c>
    </row>
    <row r="18372" spans="40:42" x14ac:dyDescent="0.3">
      <c r="AN18372">
        <v>18368</v>
      </c>
      <c r="AO18372" s="11">
        <v>27889.07</v>
      </c>
      <c r="AP18372" s="9">
        <v>3.1465499117943256</v>
      </c>
    </row>
    <row r="18373" spans="40:42" x14ac:dyDescent="0.3">
      <c r="AN18373">
        <v>18369</v>
      </c>
      <c r="AO18373" s="11">
        <v>16016.15</v>
      </c>
      <c r="AP18373" s="9">
        <v>2.8427198661596682</v>
      </c>
    </row>
    <row r="18374" spans="40:42" x14ac:dyDescent="0.3">
      <c r="AN18374">
        <v>18370</v>
      </c>
      <c r="AO18374" s="11">
        <v>18519.580000000002</v>
      </c>
      <c r="AP18374" s="9">
        <v>3.1958503223175203</v>
      </c>
    </row>
    <row r="18375" spans="40:42" x14ac:dyDescent="0.3">
      <c r="AN18375">
        <v>18371</v>
      </c>
      <c r="AO18375" s="11">
        <v>23879.27</v>
      </c>
      <c r="AP18375" s="9">
        <v>3.230641608449027</v>
      </c>
    </row>
    <row r="18376" spans="40:42" x14ac:dyDescent="0.3">
      <c r="AN18376">
        <v>18372</v>
      </c>
      <c r="AO18376" s="11">
        <v>26790.07</v>
      </c>
      <c r="AP18376" s="9">
        <v>3.9358369131071944</v>
      </c>
    </row>
    <row r="18377" spans="40:42" x14ac:dyDescent="0.3">
      <c r="AN18377">
        <v>18373</v>
      </c>
      <c r="AO18377" s="11">
        <v>27840.61</v>
      </c>
      <c r="AP18377" s="9">
        <v>3.7375292897568024</v>
      </c>
    </row>
    <row r="18378" spans="40:42" x14ac:dyDescent="0.3">
      <c r="AN18378">
        <v>18374</v>
      </c>
      <c r="AO18378" s="11">
        <v>29894.1</v>
      </c>
      <c r="AP18378" s="9">
        <v>3.8870412661557703</v>
      </c>
    </row>
    <row r="18379" spans="40:42" x14ac:dyDescent="0.3">
      <c r="AN18379">
        <v>18375</v>
      </c>
      <c r="AO18379" s="11">
        <v>45826.5</v>
      </c>
      <c r="AP18379" s="9">
        <v>3.5471475110835535</v>
      </c>
    </row>
    <row r="18380" spans="40:42" x14ac:dyDescent="0.3">
      <c r="AN18380">
        <v>18376</v>
      </c>
      <c r="AO18380" s="11">
        <v>19765.169999999998</v>
      </c>
      <c r="AP18380" s="9">
        <v>3.4003018013821014</v>
      </c>
    </row>
    <row r="18381" spans="40:42" x14ac:dyDescent="0.3">
      <c r="AN18381">
        <v>18377</v>
      </c>
      <c r="AO18381" s="11">
        <v>21197.45</v>
      </c>
      <c r="AP18381" s="9">
        <v>4.6718722690711925</v>
      </c>
    </row>
    <row r="18382" spans="40:42" x14ac:dyDescent="0.3">
      <c r="AN18382">
        <v>18378</v>
      </c>
      <c r="AO18382" s="11">
        <v>21203.94</v>
      </c>
      <c r="AP18382" s="9">
        <v>3.771396303948833</v>
      </c>
    </row>
    <row r="18383" spans="40:42" x14ac:dyDescent="0.3">
      <c r="AN18383">
        <v>18379</v>
      </c>
      <c r="AO18383" s="11">
        <v>23330.12</v>
      </c>
      <c r="AP18383" s="9">
        <v>2.6793902958195037</v>
      </c>
    </row>
    <row r="18384" spans="40:42" x14ac:dyDescent="0.3">
      <c r="AN18384">
        <v>18380</v>
      </c>
      <c r="AO18384" s="11">
        <v>21920.12</v>
      </c>
      <c r="AP18384" s="9">
        <v>3.0445235455890316</v>
      </c>
    </row>
    <row r="18385" spans="40:42" x14ac:dyDescent="0.3">
      <c r="AN18385">
        <v>18381</v>
      </c>
      <c r="AO18385" s="11">
        <v>39877.300000000003</v>
      </c>
      <c r="AP18385" s="9">
        <v>3.9469533269995223</v>
      </c>
    </row>
    <row r="18386" spans="40:42" x14ac:dyDescent="0.3">
      <c r="AN18386">
        <v>18382</v>
      </c>
      <c r="AO18386" s="11">
        <v>23001.61</v>
      </c>
      <c r="AP18386" s="9">
        <v>3.3615272221038386</v>
      </c>
    </row>
    <row r="18387" spans="40:42" x14ac:dyDescent="0.3">
      <c r="AN18387">
        <v>18383</v>
      </c>
      <c r="AO18387" s="11">
        <v>15160.15</v>
      </c>
      <c r="AP18387" s="9">
        <v>2.9421935616706634</v>
      </c>
    </row>
    <row r="18388" spans="40:42" x14ac:dyDescent="0.3">
      <c r="AN18388">
        <v>18384</v>
      </c>
      <c r="AO18388" s="11">
        <v>30099.09</v>
      </c>
      <c r="AP18388" s="9">
        <v>3.3884958546040558</v>
      </c>
    </row>
    <row r="18389" spans="40:42" x14ac:dyDescent="0.3">
      <c r="AN18389">
        <v>18385</v>
      </c>
      <c r="AO18389" s="11">
        <v>33527.29</v>
      </c>
      <c r="AP18389" s="9">
        <v>3.1961841812596377</v>
      </c>
    </row>
    <row r="18390" spans="40:42" x14ac:dyDescent="0.3">
      <c r="AN18390">
        <v>18386</v>
      </c>
      <c r="AO18390" s="11">
        <v>24620.9</v>
      </c>
      <c r="AP18390" s="9">
        <v>3.3693766793374551</v>
      </c>
    </row>
    <row r="18391" spans="40:42" x14ac:dyDescent="0.3">
      <c r="AN18391">
        <v>18387</v>
      </c>
      <c r="AO18391" s="11">
        <v>31152.04</v>
      </c>
      <c r="AP18391" s="9">
        <v>2.9488203412763645</v>
      </c>
    </row>
    <row r="18392" spans="40:42" x14ac:dyDescent="0.3">
      <c r="AN18392">
        <v>18388</v>
      </c>
      <c r="AO18392" s="11">
        <v>43190.92</v>
      </c>
      <c r="AP18392" s="9">
        <v>3.9923742896469707</v>
      </c>
    </row>
    <row r="18393" spans="40:42" x14ac:dyDescent="0.3">
      <c r="AN18393">
        <v>18389</v>
      </c>
      <c r="AO18393" s="11">
        <v>38082.019999999997</v>
      </c>
      <c r="AP18393" s="9">
        <v>3.6126032530980172</v>
      </c>
    </row>
    <row r="18394" spans="40:42" x14ac:dyDescent="0.3">
      <c r="AN18394">
        <v>18390</v>
      </c>
      <c r="AO18394" s="11">
        <v>24571.96</v>
      </c>
      <c r="AP18394" s="9">
        <v>3.2854714709264345</v>
      </c>
    </row>
    <row r="18395" spans="40:42" x14ac:dyDescent="0.3">
      <c r="AN18395">
        <v>18391</v>
      </c>
      <c r="AO18395" s="11">
        <v>33250.11</v>
      </c>
      <c r="AP18395" s="9">
        <v>3.6847104471070735</v>
      </c>
    </row>
    <row r="18396" spans="40:42" x14ac:dyDescent="0.3">
      <c r="AN18396">
        <v>18392</v>
      </c>
      <c r="AO18396" s="11">
        <v>33561.440000000002</v>
      </c>
      <c r="AP18396" s="9">
        <v>3.7858779454479854</v>
      </c>
    </row>
    <row r="18397" spans="40:42" x14ac:dyDescent="0.3">
      <c r="AN18397">
        <v>18393</v>
      </c>
      <c r="AO18397" s="11">
        <v>22031.41</v>
      </c>
      <c r="AP18397" s="9">
        <v>3.7036993417806525</v>
      </c>
    </row>
    <row r="18398" spans="40:42" x14ac:dyDescent="0.3">
      <c r="AN18398">
        <v>18394</v>
      </c>
      <c r="AO18398" s="11">
        <v>36496.39</v>
      </c>
      <c r="AP18398" s="9">
        <v>3.6381098887760541</v>
      </c>
    </row>
    <row r="18399" spans="40:42" x14ac:dyDescent="0.3">
      <c r="AN18399">
        <v>18395</v>
      </c>
      <c r="AO18399" s="11">
        <v>40661.14</v>
      </c>
      <c r="AP18399" s="9">
        <v>3.3676366832367188</v>
      </c>
    </row>
    <row r="18400" spans="40:42" x14ac:dyDescent="0.3">
      <c r="AN18400">
        <v>18396</v>
      </c>
      <c r="AO18400" s="11">
        <v>27192.959999999999</v>
      </c>
      <c r="AP18400" s="9">
        <v>3.7317267470066193</v>
      </c>
    </row>
    <row r="18401" spans="40:42" x14ac:dyDescent="0.3">
      <c r="AN18401">
        <v>18397</v>
      </c>
      <c r="AO18401" s="11">
        <v>27233.56</v>
      </c>
      <c r="AP18401" s="9">
        <v>3.7674542470428691</v>
      </c>
    </row>
    <row r="18402" spans="40:42" x14ac:dyDescent="0.3">
      <c r="AN18402">
        <v>18398</v>
      </c>
      <c r="AO18402" s="11">
        <v>29126.54</v>
      </c>
      <c r="AP18402" s="9">
        <v>3.345793686023347</v>
      </c>
    </row>
    <row r="18403" spans="40:42" x14ac:dyDescent="0.3">
      <c r="AN18403">
        <v>18399</v>
      </c>
      <c r="AO18403" s="11">
        <v>21801.78</v>
      </c>
      <c r="AP18403" s="9">
        <v>3.011058125094487</v>
      </c>
    </row>
    <row r="18404" spans="40:42" x14ac:dyDescent="0.3">
      <c r="AN18404">
        <v>18400</v>
      </c>
      <c r="AO18404" s="11">
        <v>18262.72</v>
      </c>
      <c r="AP18404" s="9">
        <v>3.3125773690228999</v>
      </c>
    </row>
    <row r="18405" spans="40:42" x14ac:dyDescent="0.3">
      <c r="AN18405">
        <v>18401</v>
      </c>
      <c r="AO18405" s="11">
        <v>37819.75</v>
      </c>
      <c r="AP18405" s="9">
        <v>3.6251412836840582</v>
      </c>
    </row>
    <row r="18406" spans="40:42" x14ac:dyDescent="0.3">
      <c r="AN18406">
        <v>18402</v>
      </c>
      <c r="AO18406" s="11">
        <v>21699.49</v>
      </c>
      <c r="AP18406" s="9">
        <v>2.9986503023074897</v>
      </c>
    </row>
    <row r="18407" spans="40:42" x14ac:dyDescent="0.3">
      <c r="AN18407">
        <v>18403</v>
      </c>
      <c r="AO18407" s="11">
        <v>20445.43</v>
      </c>
      <c r="AP18407" s="9">
        <v>3.9135129566645399</v>
      </c>
    </row>
    <row r="18408" spans="40:42" x14ac:dyDescent="0.3">
      <c r="AN18408">
        <v>18404</v>
      </c>
      <c r="AO18408" s="11">
        <v>26442.06</v>
      </c>
      <c r="AP18408" s="9">
        <v>2.9311574697518452</v>
      </c>
    </row>
    <row r="18409" spans="40:42" x14ac:dyDescent="0.3">
      <c r="AN18409">
        <v>18405</v>
      </c>
      <c r="AO18409" s="11">
        <v>25991.88</v>
      </c>
      <c r="AP18409" s="9">
        <v>2.7852629172589114</v>
      </c>
    </row>
    <row r="18410" spans="40:42" x14ac:dyDescent="0.3">
      <c r="AN18410">
        <v>18406</v>
      </c>
      <c r="AO18410" s="11">
        <v>30830.15</v>
      </c>
      <c r="AP18410" s="9">
        <v>3.4693974900368931</v>
      </c>
    </row>
    <row r="18411" spans="40:42" x14ac:dyDescent="0.3">
      <c r="AN18411">
        <v>18407</v>
      </c>
      <c r="AO18411" s="11">
        <v>27184.639999999999</v>
      </c>
      <c r="AP18411" s="9">
        <v>3.3425320296370042</v>
      </c>
    </row>
    <row r="18412" spans="40:42" x14ac:dyDescent="0.3">
      <c r="AN18412">
        <v>18408</v>
      </c>
      <c r="AO18412" s="11">
        <v>27622.799999999999</v>
      </c>
      <c r="AP18412" s="9">
        <v>4.2241628010474734</v>
      </c>
    </row>
    <row r="18413" spans="40:42" x14ac:dyDescent="0.3">
      <c r="AN18413">
        <v>18409</v>
      </c>
      <c r="AO18413" s="11">
        <v>32231.81</v>
      </c>
      <c r="AP18413" s="9">
        <v>3.7685024600622108</v>
      </c>
    </row>
    <row r="18414" spans="40:42" x14ac:dyDescent="0.3">
      <c r="AN18414">
        <v>18410</v>
      </c>
      <c r="AO18414" s="11">
        <v>23423.91</v>
      </c>
      <c r="AP18414" s="9">
        <v>2.7058023824525921</v>
      </c>
    </row>
    <row r="18415" spans="40:42" x14ac:dyDescent="0.3">
      <c r="AN18415">
        <v>18411</v>
      </c>
      <c r="AO18415" s="11">
        <v>33964.559999999998</v>
      </c>
      <c r="AP18415" s="9">
        <v>3.7504665583225538</v>
      </c>
    </row>
    <row r="18416" spans="40:42" x14ac:dyDescent="0.3">
      <c r="AN18416">
        <v>18412</v>
      </c>
      <c r="AO18416" s="11">
        <v>32676.21</v>
      </c>
      <c r="AP18416" s="9">
        <v>4.2628475176187308</v>
      </c>
    </row>
    <row r="18417" spans="40:42" x14ac:dyDescent="0.3">
      <c r="AN18417">
        <v>18413</v>
      </c>
      <c r="AO18417" s="11">
        <v>36523.75</v>
      </c>
      <c r="AP18417" s="9">
        <v>3.501355929442489</v>
      </c>
    </row>
    <row r="18418" spans="40:42" x14ac:dyDescent="0.3">
      <c r="AN18418">
        <v>18414</v>
      </c>
      <c r="AO18418" s="11">
        <v>12091.24</v>
      </c>
      <c r="AP18418" s="9">
        <v>3.1300608588514787</v>
      </c>
    </row>
    <row r="18419" spans="40:42" x14ac:dyDescent="0.3">
      <c r="AN18419">
        <v>18415</v>
      </c>
      <c r="AO18419" s="11">
        <v>32299.94</v>
      </c>
      <c r="AP18419" s="9">
        <v>3.3414376598763083</v>
      </c>
    </row>
    <row r="18420" spans="40:42" x14ac:dyDescent="0.3">
      <c r="AN18420">
        <v>18416</v>
      </c>
      <c r="AO18420" s="11">
        <v>20928.919999999998</v>
      </c>
      <c r="AP18420" s="9">
        <v>3.4768259479096324</v>
      </c>
    </row>
    <row r="18421" spans="40:42" x14ac:dyDescent="0.3">
      <c r="AN18421">
        <v>18417</v>
      </c>
      <c r="AO18421" s="11">
        <v>27779.64</v>
      </c>
      <c r="AP18421" s="9">
        <v>3.9254648109293453</v>
      </c>
    </row>
    <row r="18422" spans="40:42" x14ac:dyDescent="0.3">
      <c r="AN18422">
        <v>18418</v>
      </c>
      <c r="AO18422" s="11">
        <v>27759.17</v>
      </c>
      <c r="AP18422" s="9">
        <v>2.9439356859081371</v>
      </c>
    </row>
    <row r="18423" spans="40:42" x14ac:dyDescent="0.3">
      <c r="AN18423">
        <v>18419</v>
      </c>
      <c r="AO18423" s="11">
        <v>18255.47</v>
      </c>
      <c r="AP18423" s="9">
        <v>2.9723538799090852</v>
      </c>
    </row>
    <row r="18424" spans="40:42" x14ac:dyDescent="0.3">
      <c r="AN18424">
        <v>18420</v>
      </c>
      <c r="AO18424" s="11">
        <v>34035.56</v>
      </c>
      <c r="AP18424" s="9">
        <v>3.6562371590400509</v>
      </c>
    </row>
    <row r="18425" spans="40:42" x14ac:dyDescent="0.3">
      <c r="AN18425">
        <v>18421</v>
      </c>
      <c r="AO18425" s="11">
        <v>28368.52</v>
      </c>
      <c r="AP18425" s="9">
        <v>3.6544332067123375</v>
      </c>
    </row>
    <row r="18426" spans="40:42" x14ac:dyDescent="0.3">
      <c r="AN18426">
        <v>18422</v>
      </c>
      <c r="AO18426" s="11">
        <v>23230.63</v>
      </c>
      <c r="AP18426" s="9">
        <v>3.4252635965934148</v>
      </c>
    </row>
    <row r="18427" spans="40:42" x14ac:dyDescent="0.3">
      <c r="AN18427">
        <v>18423</v>
      </c>
      <c r="AO18427" s="11">
        <v>39962.1</v>
      </c>
      <c r="AP18427" s="9">
        <v>4.0926650150354051</v>
      </c>
    </row>
    <row r="18428" spans="40:42" x14ac:dyDescent="0.3">
      <c r="AN18428">
        <v>18424</v>
      </c>
      <c r="AO18428" s="11">
        <v>19752.419999999998</v>
      </c>
      <c r="AP18428" s="9">
        <v>3.1398630730004191</v>
      </c>
    </row>
    <row r="18429" spans="40:42" x14ac:dyDescent="0.3">
      <c r="AN18429">
        <v>18425</v>
      </c>
      <c r="AO18429" s="11">
        <v>35251.760000000002</v>
      </c>
      <c r="AP18429" s="9">
        <v>4.1263188088086658</v>
      </c>
    </row>
    <row r="18430" spans="40:42" x14ac:dyDescent="0.3">
      <c r="AN18430">
        <v>18426</v>
      </c>
      <c r="AO18430" s="11">
        <v>32340.799999999999</v>
      </c>
      <c r="AP18430" s="9">
        <v>3.3135978423045427</v>
      </c>
    </row>
    <row r="18431" spans="40:42" x14ac:dyDescent="0.3">
      <c r="AN18431">
        <v>18427</v>
      </c>
      <c r="AO18431" s="11">
        <v>25682.400000000001</v>
      </c>
      <c r="AP18431" s="9">
        <v>3.0860500038144143</v>
      </c>
    </row>
    <row r="18432" spans="40:42" x14ac:dyDescent="0.3">
      <c r="AN18432">
        <v>18428</v>
      </c>
      <c r="AO18432" s="11">
        <v>16361.4</v>
      </c>
      <c r="AP18432" s="9">
        <v>3.3462051527279422</v>
      </c>
    </row>
    <row r="18433" spans="40:42" x14ac:dyDescent="0.3">
      <c r="AN18433">
        <v>18429</v>
      </c>
      <c r="AO18433" s="11">
        <v>25282.17</v>
      </c>
      <c r="AP18433" s="9">
        <v>3.4510034045323392</v>
      </c>
    </row>
    <row r="18434" spans="40:42" x14ac:dyDescent="0.3">
      <c r="AN18434">
        <v>18430</v>
      </c>
      <c r="AO18434" s="11">
        <v>22474.35</v>
      </c>
      <c r="AP18434" s="9">
        <v>3.4003628255114466</v>
      </c>
    </row>
    <row r="18435" spans="40:42" x14ac:dyDescent="0.3">
      <c r="AN18435">
        <v>18431</v>
      </c>
      <c r="AO18435" s="11">
        <v>22278.61</v>
      </c>
      <c r="AP18435" s="9">
        <v>3.2798471380047043</v>
      </c>
    </row>
    <row r="18436" spans="40:42" x14ac:dyDescent="0.3">
      <c r="AN18436">
        <v>18432</v>
      </c>
      <c r="AO18436" s="11">
        <v>27244.18</v>
      </c>
      <c r="AP18436" s="9">
        <v>3.9227876902297312</v>
      </c>
    </row>
    <row r="18437" spans="40:42" x14ac:dyDescent="0.3">
      <c r="AN18437">
        <v>18433</v>
      </c>
      <c r="AO18437" s="11">
        <v>31522.65</v>
      </c>
      <c r="AP18437" s="9">
        <v>2.7489252024810784</v>
      </c>
    </row>
    <row r="18438" spans="40:42" x14ac:dyDescent="0.3">
      <c r="AN18438">
        <v>18434</v>
      </c>
      <c r="AO18438" s="11">
        <v>20658.599999999999</v>
      </c>
      <c r="AP18438" s="9">
        <v>3.0316770399642672</v>
      </c>
    </row>
    <row r="18439" spans="40:42" x14ac:dyDescent="0.3">
      <c r="AN18439">
        <v>18435</v>
      </c>
      <c r="AO18439" s="11">
        <v>12474.7</v>
      </c>
      <c r="AP18439" s="9">
        <v>3.1882569556976184</v>
      </c>
    </row>
    <row r="18440" spans="40:42" x14ac:dyDescent="0.3">
      <c r="AN18440">
        <v>18436</v>
      </c>
      <c r="AO18440" s="11">
        <v>27922.33</v>
      </c>
      <c r="AP18440" s="9">
        <v>3.5774758978021994</v>
      </c>
    </row>
    <row r="18441" spans="40:42" x14ac:dyDescent="0.3">
      <c r="AN18441">
        <v>18437</v>
      </c>
      <c r="AO18441" s="11">
        <v>18144.52</v>
      </c>
      <c r="AP18441" s="9">
        <v>2.7794556325117323</v>
      </c>
    </row>
    <row r="18442" spans="40:42" x14ac:dyDescent="0.3">
      <c r="AN18442">
        <v>18438</v>
      </c>
      <c r="AO18442" s="11">
        <v>26336.21</v>
      </c>
      <c r="AP18442" s="9">
        <v>3.5559807510323034</v>
      </c>
    </row>
    <row r="18443" spans="40:42" x14ac:dyDescent="0.3">
      <c r="AN18443">
        <v>18439</v>
      </c>
      <c r="AO18443" s="11">
        <v>29617.35</v>
      </c>
      <c r="AP18443" s="9">
        <v>2.9325915354377319</v>
      </c>
    </row>
    <row r="18444" spans="40:42" x14ac:dyDescent="0.3">
      <c r="AN18444">
        <v>18440</v>
      </c>
      <c r="AO18444" s="11">
        <v>21512.51</v>
      </c>
      <c r="AP18444" s="9">
        <v>3.3455142948104704</v>
      </c>
    </row>
    <row r="18445" spans="40:42" x14ac:dyDescent="0.3">
      <c r="AN18445">
        <v>18441</v>
      </c>
      <c r="AO18445" s="11">
        <v>32492.09</v>
      </c>
      <c r="AP18445" s="9">
        <v>3.1485480699085451</v>
      </c>
    </row>
    <row r="18446" spans="40:42" x14ac:dyDescent="0.3">
      <c r="AN18446">
        <v>18442</v>
      </c>
      <c r="AO18446" s="11">
        <v>23069.09</v>
      </c>
      <c r="AP18446" s="9">
        <v>3.2709174548177473</v>
      </c>
    </row>
    <row r="18447" spans="40:42" x14ac:dyDescent="0.3">
      <c r="AN18447">
        <v>18443</v>
      </c>
      <c r="AO18447" s="11">
        <v>26838.34</v>
      </c>
      <c r="AP18447" s="9">
        <v>4.7076231303782281</v>
      </c>
    </row>
    <row r="18448" spans="40:42" x14ac:dyDescent="0.3">
      <c r="AN18448">
        <v>18444</v>
      </c>
      <c r="AO18448" s="11">
        <v>22693.32</v>
      </c>
      <c r="AP18448" s="9">
        <v>3.6065509747871887</v>
      </c>
    </row>
    <row r="18449" spans="40:42" x14ac:dyDescent="0.3">
      <c r="AN18449">
        <v>18445</v>
      </c>
      <c r="AO18449" s="11">
        <v>20979.85</v>
      </c>
      <c r="AP18449" s="9">
        <v>2.9461585820901068</v>
      </c>
    </row>
    <row r="18450" spans="40:42" x14ac:dyDescent="0.3">
      <c r="AN18450">
        <v>18446</v>
      </c>
      <c r="AO18450" s="11">
        <v>27334.83</v>
      </c>
      <c r="AP18450" s="9">
        <v>3.1158754893549352</v>
      </c>
    </row>
    <row r="18451" spans="40:42" x14ac:dyDescent="0.3">
      <c r="AN18451">
        <v>18447</v>
      </c>
      <c r="AO18451" s="11">
        <v>20360.259999999998</v>
      </c>
      <c r="AP18451" s="9">
        <v>2.943940856309557</v>
      </c>
    </row>
    <row r="18452" spans="40:42" x14ac:dyDescent="0.3">
      <c r="AN18452">
        <v>18448</v>
      </c>
      <c r="AO18452" s="11">
        <v>36950.22</v>
      </c>
      <c r="AP18452" s="9">
        <v>4.5745055661637553</v>
      </c>
    </row>
    <row r="18453" spans="40:42" x14ac:dyDescent="0.3">
      <c r="AN18453">
        <v>18449</v>
      </c>
      <c r="AO18453" s="11">
        <v>22179.21</v>
      </c>
      <c r="AP18453" s="9">
        <v>2.5487702371120924</v>
      </c>
    </row>
    <row r="18454" spans="40:42" x14ac:dyDescent="0.3">
      <c r="AN18454">
        <v>18450</v>
      </c>
      <c r="AO18454" s="11">
        <v>37978.17</v>
      </c>
      <c r="AP18454" s="9">
        <v>3.7234286248346531</v>
      </c>
    </row>
    <row r="18455" spans="40:42" x14ac:dyDescent="0.3">
      <c r="AN18455">
        <v>18451</v>
      </c>
      <c r="AO18455" s="11">
        <v>26529.8</v>
      </c>
      <c r="AP18455" s="9">
        <v>2.9858457708495738</v>
      </c>
    </row>
    <row r="18456" spans="40:42" x14ac:dyDescent="0.3">
      <c r="AN18456">
        <v>18452</v>
      </c>
      <c r="AO18456" s="11">
        <v>26374.65</v>
      </c>
      <c r="AP18456" s="9">
        <v>3.4849509038483748</v>
      </c>
    </row>
    <row r="18457" spans="40:42" x14ac:dyDescent="0.3">
      <c r="AN18457">
        <v>18453</v>
      </c>
      <c r="AO18457" s="11">
        <v>42484.98</v>
      </c>
      <c r="AP18457" s="9">
        <v>3.7239999019988632</v>
      </c>
    </row>
    <row r="18458" spans="40:42" x14ac:dyDescent="0.3">
      <c r="AN18458">
        <v>18454</v>
      </c>
      <c r="AO18458" s="11">
        <v>47106.75</v>
      </c>
      <c r="AP18458" s="9">
        <v>3.5107611120381024</v>
      </c>
    </row>
    <row r="18459" spans="40:42" x14ac:dyDescent="0.3">
      <c r="AN18459">
        <v>18455</v>
      </c>
      <c r="AO18459" s="11">
        <v>24520.19</v>
      </c>
      <c r="AP18459" s="9">
        <v>3.4938930669603252</v>
      </c>
    </row>
    <row r="18460" spans="40:42" x14ac:dyDescent="0.3">
      <c r="AN18460">
        <v>18456</v>
      </c>
      <c r="AO18460" s="11">
        <v>17352.72</v>
      </c>
      <c r="AP18460" s="9">
        <v>2.9340439516758638</v>
      </c>
    </row>
    <row r="18461" spans="40:42" x14ac:dyDescent="0.3">
      <c r="AN18461">
        <v>18457</v>
      </c>
      <c r="AO18461" s="11">
        <v>35104.25</v>
      </c>
      <c r="AP18461" s="9">
        <v>3.4611312417295022</v>
      </c>
    </row>
    <row r="18462" spans="40:42" x14ac:dyDescent="0.3">
      <c r="AN18462">
        <v>18458</v>
      </c>
      <c r="AO18462" s="11">
        <v>21872.560000000001</v>
      </c>
      <c r="AP18462" s="9">
        <v>2.8157059470575345</v>
      </c>
    </row>
    <row r="18463" spans="40:42" x14ac:dyDescent="0.3">
      <c r="AN18463">
        <v>18459</v>
      </c>
      <c r="AO18463" s="11">
        <v>28022.57</v>
      </c>
      <c r="AP18463" s="9">
        <v>3.080052336418313</v>
      </c>
    </row>
    <row r="18464" spans="40:42" x14ac:dyDescent="0.3">
      <c r="AN18464">
        <v>18460</v>
      </c>
      <c r="AO18464" s="11">
        <v>29439.61</v>
      </c>
      <c r="AP18464" s="9">
        <v>3.6392262870101129</v>
      </c>
    </row>
    <row r="18465" spans="40:42" x14ac:dyDescent="0.3">
      <c r="AN18465">
        <v>18461</v>
      </c>
      <c r="AO18465" s="11">
        <v>17895.75</v>
      </c>
      <c r="AP18465" s="9">
        <v>3.2734220519495172</v>
      </c>
    </row>
    <row r="18466" spans="40:42" x14ac:dyDescent="0.3">
      <c r="AN18466">
        <v>18462</v>
      </c>
      <c r="AO18466" s="11">
        <v>22934.47</v>
      </c>
      <c r="AP18466" s="9">
        <v>3.5950449898562349</v>
      </c>
    </row>
    <row r="18467" spans="40:42" x14ac:dyDescent="0.3">
      <c r="AN18467">
        <v>18463</v>
      </c>
      <c r="AO18467" s="11">
        <v>22441.9</v>
      </c>
      <c r="AP18467" s="9">
        <v>3.2919718315168223</v>
      </c>
    </row>
    <row r="18468" spans="40:42" x14ac:dyDescent="0.3">
      <c r="AN18468">
        <v>18464</v>
      </c>
      <c r="AO18468" s="11">
        <v>29938.49</v>
      </c>
      <c r="AP18468" s="9">
        <v>3.3897106801031782</v>
      </c>
    </row>
    <row r="18469" spans="40:42" x14ac:dyDescent="0.3">
      <c r="AN18469">
        <v>18465</v>
      </c>
      <c r="AO18469" s="11">
        <v>16622.91</v>
      </c>
      <c r="AP18469" s="9">
        <v>3.1622314687781641</v>
      </c>
    </row>
    <row r="18470" spans="40:42" x14ac:dyDescent="0.3">
      <c r="AN18470">
        <v>18466</v>
      </c>
      <c r="AO18470" s="11">
        <v>36139.97</v>
      </c>
      <c r="AP18470" s="9">
        <v>3.2946108987043305</v>
      </c>
    </row>
    <row r="18471" spans="40:42" x14ac:dyDescent="0.3">
      <c r="AN18471">
        <v>18467</v>
      </c>
      <c r="AO18471" s="11">
        <v>23518.47</v>
      </c>
      <c r="AP18471" s="9">
        <v>2.7547018229681299</v>
      </c>
    </row>
    <row r="18472" spans="40:42" x14ac:dyDescent="0.3">
      <c r="AN18472">
        <v>18468</v>
      </c>
      <c r="AO18472" s="11">
        <v>21609.81</v>
      </c>
      <c r="AP18472" s="9">
        <v>4.0645756621858133</v>
      </c>
    </row>
    <row r="18473" spans="40:42" x14ac:dyDescent="0.3">
      <c r="AN18473">
        <v>18469</v>
      </c>
      <c r="AO18473" s="11">
        <v>31070.86</v>
      </c>
      <c r="AP18473" s="9">
        <v>3.657093617695967</v>
      </c>
    </row>
    <row r="18474" spans="40:42" x14ac:dyDescent="0.3">
      <c r="AN18474">
        <v>18470</v>
      </c>
      <c r="AO18474" s="11">
        <v>21232.52</v>
      </c>
      <c r="AP18474" s="9">
        <v>2.8527445133971558</v>
      </c>
    </row>
    <row r="18475" spans="40:42" x14ac:dyDescent="0.3">
      <c r="AN18475">
        <v>18471</v>
      </c>
      <c r="AO18475" s="11">
        <v>18018.37</v>
      </c>
      <c r="AP18475" s="9">
        <v>3.1940091999861626</v>
      </c>
    </row>
    <row r="18476" spans="40:42" x14ac:dyDescent="0.3">
      <c r="AN18476">
        <v>18472</v>
      </c>
      <c r="AO18476" s="11">
        <v>31456.9</v>
      </c>
      <c r="AP18476" s="9">
        <v>2.8479639208877159</v>
      </c>
    </row>
    <row r="18477" spans="40:42" x14ac:dyDescent="0.3">
      <c r="AN18477">
        <v>18473</v>
      </c>
      <c r="AO18477" s="11">
        <v>37026.5</v>
      </c>
      <c r="AP18477" s="9">
        <v>3.6115932002759576</v>
      </c>
    </row>
    <row r="18478" spans="40:42" x14ac:dyDescent="0.3">
      <c r="AN18478">
        <v>18474</v>
      </c>
      <c r="AO18478" s="11">
        <v>15258.47</v>
      </c>
      <c r="AP18478" s="9">
        <v>2.7423763602225071</v>
      </c>
    </row>
    <row r="18479" spans="40:42" x14ac:dyDescent="0.3">
      <c r="AN18479">
        <v>18475</v>
      </c>
      <c r="AO18479" s="11">
        <v>24802.25</v>
      </c>
      <c r="AP18479" s="9">
        <v>3.6887379151998601</v>
      </c>
    </row>
    <row r="18480" spans="40:42" x14ac:dyDescent="0.3">
      <c r="AN18480">
        <v>18476</v>
      </c>
      <c r="AO18480" s="11">
        <v>17189.419999999998</v>
      </c>
      <c r="AP18480" s="9">
        <v>3.5834040015948512</v>
      </c>
    </row>
    <row r="18481" spans="40:42" x14ac:dyDescent="0.3">
      <c r="AN18481">
        <v>18477</v>
      </c>
      <c r="AO18481" s="11">
        <v>15948.74</v>
      </c>
      <c r="AP18481" s="9">
        <v>2.7333737138035414</v>
      </c>
    </row>
    <row r="18482" spans="40:42" x14ac:dyDescent="0.3">
      <c r="AN18482">
        <v>18478</v>
      </c>
      <c r="AO18482" s="11">
        <v>27503.33</v>
      </c>
      <c r="AP18482" s="9">
        <v>3.1071612708308489</v>
      </c>
    </row>
    <row r="18483" spans="40:42" x14ac:dyDescent="0.3">
      <c r="AN18483">
        <v>18479</v>
      </c>
      <c r="AO18483" s="11">
        <v>29414.35</v>
      </c>
      <c r="AP18483" s="9">
        <v>3.6801004049820949</v>
      </c>
    </row>
    <row r="18484" spans="40:42" x14ac:dyDescent="0.3">
      <c r="AN18484">
        <v>18480</v>
      </c>
      <c r="AO18484" s="11">
        <v>27664.7</v>
      </c>
      <c r="AP18484" s="9">
        <v>3.2547855055596946</v>
      </c>
    </row>
    <row r="18485" spans="40:42" x14ac:dyDescent="0.3">
      <c r="AN18485">
        <v>18481</v>
      </c>
      <c r="AO18485" s="11">
        <v>29472.98</v>
      </c>
      <c r="AP18485" s="9">
        <v>3.1334220454621522</v>
      </c>
    </row>
    <row r="18486" spans="40:42" x14ac:dyDescent="0.3">
      <c r="AN18486">
        <v>18482</v>
      </c>
      <c r="AO18486" s="11">
        <v>25390.3</v>
      </c>
      <c r="AP18486" s="9">
        <v>3.2970755087337325</v>
      </c>
    </row>
    <row r="18487" spans="40:42" x14ac:dyDescent="0.3">
      <c r="AN18487">
        <v>18483</v>
      </c>
      <c r="AO18487" s="11">
        <v>28392.95</v>
      </c>
      <c r="AP18487" s="9">
        <v>3.3686184628716647</v>
      </c>
    </row>
    <row r="18488" spans="40:42" x14ac:dyDescent="0.3">
      <c r="AN18488">
        <v>18484</v>
      </c>
      <c r="AO18488" s="11">
        <v>29330.48</v>
      </c>
      <c r="AP18488" s="9">
        <v>3.4769772826510801</v>
      </c>
    </row>
    <row r="18489" spans="40:42" x14ac:dyDescent="0.3">
      <c r="AN18489">
        <v>18485</v>
      </c>
      <c r="AO18489" s="11">
        <v>27247.4</v>
      </c>
      <c r="AP18489" s="9">
        <v>3.2964831959897674</v>
      </c>
    </row>
    <row r="18490" spans="40:42" x14ac:dyDescent="0.3">
      <c r="AN18490">
        <v>18486</v>
      </c>
      <c r="AO18490" s="11">
        <v>27896.21</v>
      </c>
      <c r="AP18490" s="9">
        <v>3.2949322100765288</v>
      </c>
    </row>
    <row r="18491" spans="40:42" x14ac:dyDescent="0.3">
      <c r="AN18491">
        <v>18487</v>
      </c>
      <c r="AO18491" s="11">
        <v>25577.08</v>
      </c>
      <c r="AP18491" s="9">
        <v>4.2968038169334832</v>
      </c>
    </row>
    <row r="18492" spans="40:42" x14ac:dyDescent="0.3">
      <c r="AN18492">
        <v>18488</v>
      </c>
      <c r="AO18492" s="11">
        <v>28062.12</v>
      </c>
      <c r="AP18492" s="9">
        <v>3.1008602263427187</v>
      </c>
    </row>
    <row r="18493" spans="40:42" x14ac:dyDescent="0.3">
      <c r="AN18493">
        <v>18489</v>
      </c>
      <c r="AO18493" s="11">
        <v>42819.66</v>
      </c>
      <c r="AP18493" s="9">
        <v>3.4803609556049357</v>
      </c>
    </row>
    <row r="18494" spans="40:42" x14ac:dyDescent="0.3">
      <c r="AN18494">
        <v>18490</v>
      </c>
      <c r="AO18494" s="11">
        <v>33672.43</v>
      </c>
      <c r="AP18494" s="9">
        <v>3.9188392871370801</v>
      </c>
    </row>
    <row r="18495" spans="40:42" x14ac:dyDescent="0.3">
      <c r="AN18495">
        <v>18491</v>
      </c>
      <c r="AO18495" s="11">
        <v>16672.45</v>
      </c>
      <c r="AP18495" s="9">
        <v>3.070292630943444</v>
      </c>
    </row>
    <row r="18496" spans="40:42" x14ac:dyDescent="0.3">
      <c r="AN18496">
        <v>18492</v>
      </c>
      <c r="AO18496" s="11">
        <v>27073.599999999999</v>
      </c>
      <c r="AP18496" s="9">
        <v>2.9362374950659786</v>
      </c>
    </row>
    <row r="18497" spans="40:42" x14ac:dyDescent="0.3">
      <c r="AN18497">
        <v>18493</v>
      </c>
      <c r="AO18497" s="11">
        <v>29659.48</v>
      </c>
      <c r="AP18497" s="9">
        <v>3.365698728469702</v>
      </c>
    </row>
    <row r="18498" spans="40:42" x14ac:dyDescent="0.3">
      <c r="AN18498">
        <v>18494</v>
      </c>
      <c r="AO18498" s="11">
        <v>24665.26</v>
      </c>
      <c r="AP18498" s="9">
        <v>3.5803846883741812</v>
      </c>
    </row>
    <row r="18499" spans="40:42" x14ac:dyDescent="0.3">
      <c r="AN18499">
        <v>18495</v>
      </c>
      <c r="AO18499" s="11">
        <v>30335.06</v>
      </c>
      <c r="AP18499" s="9">
        <v>3.9660434704390326</v>
      </c>
    </row>
    <row r="18500" spans="40:42" x14ac:dyDescent="0.3">
      <c r="AN18500">
        <v>18496</v>
      </c>
      <c r="AO18500" s="11">
        <v>23483.99</v>
      </c>
      <c r="AP18500" s="9">
        <v>2.8465275361347619</v>
      </c>
    </row>
    <row r="18501" spans="40:42" x14ac:dyDescent="0.3">
      <c r="AN18501">
        <v>18497</v>
      </c>
      <c r="AO18501" s="11">
        <v>23529.5</v>
      </c>
      <c r="AP18501" s="9">
        <v>2.927967617419108</v>
      </c>
    </row>
    <row r="18502" spans="40:42" x14ac:dyDescent="0.3">
      <c r="AN18502">
        <v>18498</v>
      </c>
      <c r="AO18502" s="11">
        <v>24493.19</v>
      </c>
      <c r="AP18502" s="9">
        <v>3.1480395093684717</v>
      </c>
    </row>
    <row r="18503" spans="40:42" x14ac:dyDescent="0.3">
      <c r="AN18503">
        <v>18499</v>
      </c>
      <c r="AO18503" s="11">
        <v>20291.03</v>
      </c>
      <c r="AP18503" s="9">
        <v>3.0079596219485127</v>
      </c>
    </row>
    <row r="18504" spans="40:42" x14ac:dyDescent="0.3">
      <c r="AN18504">
        <v>18500</v>
      </c>
      <c r="AO18504" s="11">
        <v>22065.8</v>
      </c>
      <c r="AP18504" s="9">
        <v>2.9852337777534426</v>
      </c>
    </row>
    <row r="18505" spans="40:42" x14ac:dyDescent="0.3">
      <c r="AN18505">
        <v>18501</v>
      </c>
      <c r="AO18505" s="11">
        <v>34337.83</v>
      </c>
      <c r="AP18505" s="9">
        <v>3.0480828571598115</v>
      </c>
    </row>
    <row r="18506" spans="40:42" x14ac:dyDescent="0.3">
      <c r="AN18506">
        <v>18502</v>
      </c>
      <c r="AO18506" s="11">
        <v>31909.61</v>
      </c>
      <c r="AP18506" s="9">
        <v>3.4222347171636343</v>
      </c>
    </row>
    <row r="18507" spans="40:42" x14ac:dyDescent="0.3">
      <c r="AN18507">
        <v>18503</v>
      </c>
      <c r="AO18507" s="11">
        <v>29672.74</v>
      </c>
      <c r="AP18507" s="9">
        <v>3.7337923090866587</v>
      </c>
    </row>
    <row r="18508" spans="40:42" x14ac:dyDescent="0.3">
      <c r="AN18508">
        <v>18504</v>
      </c>
      <c r="AO18508" s="11">
        <v>39684.93</v>
      </c>
      <c r="AP18508" s="9">
        <v>4.30490540224746</v>
      </c>
    </row>
    <row r="18509" spans="40:42" x14ac:dyDescent="0.3">
      <c r="AN18509">
        <v>18505</v>
      </c>
      <c r="AO18509" s="11">
        <v>28393.45</v>
      </c>
      <c r="AP18509" s="9">
        <v>3.6845796816193102</v>
      </c>
    </row>
    <row r="18510" spans="40:42" x14ac:dyDescent="0.3">
      <c r="AN18510">
        <v>18506</v>
      </c>
      <c r="AO18510" s="11">
        <v>18497.04</v>
      </c>
      <c r="AP18510" s="9">
        <v>2.9093698710928311</v>
      </c>
    </row>
    <row r="18511" spans="40:42" x14ac:dyDescent="0.3">
      <c r="AN18511">
        <v>18507</v>
      </c>
      <c r="AO18511" s="11">
        <v>29572.32</v>
      </c>
      <c r="AP18511" s="9">
        <v>3.3145224386522938</v>
      </c>
    </row>
    <row r="18512" spans="40:42" x14ac:dyDescent="0.3">
      <c r="AN18512">
        <v>18508</v>
      </c>
      <c r="AO18512" s="11">
        <v>25882.7</v>
      </c>
      <c r="AP18512" s="9">
        <v>3.1961314397163045</v>
      </c>
    </row>
    <row r="18513" spans="40:42" x14ac:dyDescent="0.3">
      <c r="AN18513">
        <v>18509</v>
      </c>
      <c r="AO18513" s="11">
        <v>29100.69</v>
      </c>
      <c r="AP18513" s="9">
        <v>3.268454252144358</v>
      </c>
    </row>
    <row r="18514" spans="40:42" x14ac:dyDescent="0.3">
      <c r="AN18514">
        <v>18510</v>
      </c>
      <c r="AO18514" s="11">
        <v>23913.97</v>
      </c>
      <c r="AP18514" s="9">
        <v>3.6684356556985174</v>
      </c>
    </row>
    <row r="18515" spans="40:42" x14ac:dyDescent="0.3">
      <c r="AN18515">
        <v>18511</v>
      </c>
      <c r="AO18515" s="11">
        <v>27573.52</v>
      </c>
      <c r="AP18515" s="9">
        <v>3.8490983105216534</v>
      </c>
    </row>
    <row r="18516" spans="40:42" x14ac:dyDescent="0.3">
      <c r="AN18516">
        <v>18512</v>
      </c>
      <c r="AO18516" s="11">
        <v>22370.02</v>
      </c>
      <c r="AP18516" s="9">
        <v>3.5903483368580416</v>
      </c>
    </row>
    <row r="18517" spans="40:42" x14ac:dyDescent="0.3">
      <c r="AN18517">
        <v>18513</v>
      </c>
      <c r="AO18517" s="11">
        <v>23784.13</v>
      </c>
      <c r="AP18517" s="9">
        <v>3.3335250478435414</v>
      </c>
    </row>
    <row r="18518" spans="40:42" x14ac:dyDescent="0.3">
      <c r="AN18518">
        <v>18514</v>
      </c>
      <c r="AO18518" s="11">
        <v>32971.14</v>
      </c>
      <c r="AP18518" s="9">
        <v>3.0496604273795813</v>
      </c>
    </row>
    <row r="18519" spans="40:42" x14ac:dyDescent="0.3">
      <c r="AN18519">
        <v>18515</v>
      </c>
      <c r="AO18519" s="11">
        <v>35452.370000000003</v>
      </c>
      <c r="AP18519" s="9">
        <v>3.1182543153849802</v>
      </c>
    </row>
    <row r="18520" spans="40:42" x14ac:dyDescent="0.3">
      <c r="AN18520">
        <v>18516</v>
      </c>
      <c r="AO18520" s="11">
        <v>40016</v>
      </c>
      <c r="AP18520" s="9">
        <v>3.6257542908499456</v>
      </c>
    </row>
    <row r="18521" spans="40:42" x14ac:dyDescent="0.3">
      <c r="AN18521">
        <v>18517</v>
      </c>
      <c r="AO18521" s="11">
        <v>23233.62</v>
      </c>
      <c r="AP18521" s="9">
        <v>3.3716410857797037</v>
      </c>
    </row>
    <row r="18522" spans="40:42" x14ac:dyDescent="0.3">
      <c r="AN18522">
        <v>18518</v>
      </c>
      <c r="AO18522" s="11">
        <v>22362.28</v>
      </c>
      <c r="AP18522" s="9">
        <v>3.1059662483010508</v>
      </c>
    </row>
    <row r="18523" spans="40:42" x14ac:dyDescent="0.3">
      <c r="AN18523">
        <v>18519</v>
      </c>
      <c r="AO18523" s="11">
        <v>18387.7</v>
      </c>
      <c r="AP18523" s="9">
        <v>3.6063629117243785</v>
      </c>
    </row>
    <row r="18524" spans="40:42" x14ac:dyDescent="0.3">
      <c r="AN18524">
        <v>18520</v>
      </c>
      <c r="AO18524" s="11">
        <v>28047.01</v>
      </c>
      <c r="AP18524" s="9">
        <v>3.5004035616607094</v>
      </c>
    </row>
    <row r="18525" spans="40:42" x14ac:dyDescent="0.3">
      <c r="AN18525">
        <v>18521</v>
      </c>
      <c r="AO18525" s="11">
        <v>22759.87</v>
      </c>
      <c r="AP18525" s="9">
        <v>3.3914588727296859</v>
      </c>
    </row>
    <row r="18526" spans="40:42" x14ac:dyDescent="0.3">
      <c r="AN18526">
        <v>18522</v>
      </c>
      <c r="AO18526" s="11">
        <v>23901.64</v>
      </c>
      <c r="AP18526" s="9">
        <v>2.9047355552958654</v>
      </c>
    </row>
    <row r="18527" spans="40:42" x14ac:dyDescent="0.3">
      <c r="AN18527">
        <v>18523</v>
      </c>
      <c r="AO18527" s="11">
        <v>21826.35</v>
      </c>
      <c r="AP18527" s="9">
        <v>2.7033137954397679</v>
      </c>
    </row>
    <row r="18528" spans="40:42" x14ac:dyDescent="0.3">
      <c r="AN18528">
        <v>18524</v>
      </c>
      <c r="AO18528" s="11">
        <v>19552.189999999999</v>
      </c>
      <c r="AP18528" s="9">
        <v>2.9345810315094605</v>
      </c>
    </row>
    <row r="18529" spans="40:42" x14ac:dyDescent="0.3">
      <c r="AN18529">
        <v>18525</v>
      </c>
      <c r="AO18529" s="11">
        <v>32762.04</v>
      </c>
      <c r="AP18529" s="9">
        <v>3.6241958024784662</v>
      </c>
    </row>
    <row r="18530" spans="40:42" x14ac:dyDescent="0.3">
      <c r="AN18530">
        <v>18526</v>
      </c>
      <c r="AO18530" s="11">
        <v>14215.4</v>
      </c>
      <c r="AP18530" s="9">
        <v>3.26539434988605</v>
      </c>
    </row>
    <row r="18531" spans="40:42" x14ac:dyDescent="0.3">
      <c r="AN18531">
        <v>18527</v>
      </c>
      <c r="AO18531" s="11">
        <v>19604.7</v>
      </c>
      <c r="AP18531" s="9">
        <v>3.4560902946320522</v>
      </c>
    </row>
    <row r="18532" spans="40:42" x14ac:dyDescent="0.3">
      <c r="AN18532">
        <v>18528</v>
      </c>
      <c r="AO18532" s="11">
        <v>32680.03</v>
      </c>
      <c r="AP18532" s="9">
        <v>4.415101936366181</v>
      </c>
    </row>
    <row r="18533" spans="40:42" x14ac:dyDescent="0.3">
      <c r="AN18533">
        <v>18529</v>
      </c>
      <c r="AO18533" s="11">
        <v>23417.279999999999</v>
      </c>
      <c r="AP18533" s="9">
        <v>3.2488840323608619</v>
      </c>
    </row>
    <row r="18534" spans="40:42" x14ac:dyDescent="0.3">
      <c r="AN18534">
        <v>18530</v>
      </c>
      <c r="AO18534" s="11">
        <v>20834.830000000002</v>
      </c>
      <c r="AP18534" s="9">
        <v>3.0071518794070791</v>
      </c>
    </row>
    <row r="18535" spans="40:42" x14ac:dyDescent="0.3">
      <c r="AN18535">
        <v>18531</v>
      </c>
      <c r="AO18535" s="11">
        <v>31510.87</v>
      </c>
      <c r="AP18535" s="9">
        <v>3.5573931356105954</v>
      </c>
    </row>
    <row r="18536" spans="40:42" x14ac:dyDescent="0.3">
      <c r="AN18536">
        <v>18532</v>
      </c>
      <c r="AO18536" s="11">
        <v>21061.23</v>
      </c>
      <c r="AP18536" s="9">
        <v>2.9735502565244163</v>
      </c>
    </row>
    <row r="18537" spans="40:42" x14ac:dyDescent="0.3">
      <c r="AN18537">
        <v>18533</v>
      </c>
      <c r="AO18537" s="11">
        <v>28836.16</v>
      </c>
      <c r="AP18537" s="9">
        <v>3.2981001357851354</v>
      </c>
    </row>
    <row r="18538" spans="40:42" x14ac:dyDescent="0.3">
      <c r="AN18538">
        <v>18534</v>
      </c>
      <c r="AO18538" s="11">
        <v>20638.990000000002</v>
      </c>
      <c r="AP18538" s="9">
        <v>3.4557528273531339</v>
      </c>
    </row>
    <row r="18539" spans="40:42" x14ac:dyDescent="0.3">
      <c r="AN18539">
        <v>18535</v>
      </c>
      <c r="AO18539" s="11">
        <v>22875.8</v>
      </c>
      <c r="AP18539" s="9">
        <v>4.0216265071863049</v>
      </c>
    </row>
    <row r="18540" spans="40:42" x14ac:dyDescent="0.3">
      <c r="AN18540">
        <v>18536</v>
      </c>
      <c r="AO18540" s="11">
        <v>30938.71</v>
      </c>
      <c r="AP18540" s="9">
        <v>4.1340484878795758</v>
      </c>
    </row>
    <row r="18541" spans="40:42" x14ac:dyDescent="0.3">
      <c r="AN18541">
        <v>18537</v>
      </c>
      <c r="AO18541" s="11">
        <v>28522.17</v>
      </c>
      <c r="AP18541" s="9">
        <v>2.7411152632859945</v>
      </c>
    </row>
    <row r="18542" spans="40:42" x14ac:dyDescent="0.3">
      <c r="AN18542">
        <v>18538</v>
      </c>
      <c r="AO18542" s="11">
        <v>22169.22</v>
      </c>
      <c r="AP18542" s="9">
        <v>3.6457217834832307</v>
      </c>
    </row>
    <row r="18543" spans="40:42" x14ac:dyDescent="0.3">
      <c r="AN18543">
        <v>18539</v>
      </c>
      <c r="AO18543" s="11">
        <v>19636.22</v>
      </c>
      <c r="AP18543" s="9">
        <v>3.4015921542837821</v>
      </c>
    </row>
    <row r="18544" spans="40:42" x14ac:dyDescent="0.3">
      <c r="AN18544">
        <v>18540</v>
      </c>
      <c r="AO18544" s="11">
        <v>33587.54</v>
      </c>
      <c r="AP18544" s="9">
        <v>3.8895656839681165</v>
      </c>
    </row>
    <row r="18545" spans="40:42" x14ac:dyDescent="0.3">
      <c r="AN18545">
        <v>18541</v>
      </c>
      <c r="AO18545" s="11">
        <v>32301.22</v>
      </c>
      <c r="AP18545" s="9">
        <v>3.1600667698702511</v>
      </c>
    </row>
    <row r="18546" spans="40:42" x14ac:dyDescent="0.3">
      <c r="AN18546">
        <v>18542</v>
      </c>
      <c r="AO18546" s="11">
        <v>31298.59</v>
      </c>
      <c r="AP18546" s="9">
        <v>3.3283539512904601</v>
      </c>
    </row>
    <row r="18547" spans="40:42" x14ac:dyDescent="0.3">
      <c r="AN18547">
        <v>18543</v>
      </c>
      <c r="AO18547" s="11">
        <v>15732.11</v>
      </c>
      <c r="AP18547" s="9">
        <v>2.7240318485440547</v>
      </c>
    </row>
    <row r="18548" spans="40:42" x14ac:dyDescent="0.3">
      <c r="AN18548">
        <v>18544</v>
      </c>
      <c r="AO18548" s="11">
        <v>33916.17</v>
      </c>
      <c r="AP18548" s="9">
        <v>3.5036326261856314</v>
      </c>
    </row>
    <row r="18549" spans="40:42" x14ac:dyDescent="0.3">
      <c r="AN18549">
        <v>18545</v>
      </c>
      <c r="AO18549" s="11">
        <v>32624.67</v>
      </c>
      <c r="AP18549" s="9">
        <v>3.4123519158577698</v>
      </c>
    </row>
    <row r="18550" spans="40:42" x14ac:dyDescent="0.3">
      <c r="AN18550">
        <v>18546</v>
      </c>
      <c r="AO18550" s="11">
        <v>21263.47</v>
      </c>
      <c r="AP18550" s="9">
        <v>3.539112652747173</v>
      </c>
    </row>
    <row r="18551" spans="40:42" x14ac:dyDescent="0.3">
      <c r="AN18551">
        <v>18547</v>
      </c>
      <c r="AO18551" s="11">
        <v>22921.31</v>
      </c>
      <c r="AP18551" s="9">
        <v>3.2899618793927226</v>
      </c>
    </row>
    <row r="18552" spans="40:42" x14ac:dyDescent="0.3">
      <c r="AN18552">
        <v>18548</v>
      </c>
      <c r="AO18552" s="11">
        <v>36365.58</v>
      </c>
      <c r="AP18552" s="9">
        <v>4.1511669736079329</v>
      </c>
    </row>
    <row r="18553" spans="40:42" x14ac:dyDescent="0.3">
      <c r="AN18553">
        <v>18549</v>
      </c>
      <c r="AO18553" s="11">
        <v>21589.19</v>
      </c>
      <c r="AP18553" s="9">
        <v>2.9147403487601</v>
      </c>
    </row>
    <row r="18554" spans="40:42" x14ac:dyDescent="0.3">
      <c r="AN18554">
        <v>18550</v>
      </c>
      <c r="AO18554" s="11">
        <v>37097.629999999997</v>
      </c>
      <c r="AP18554" s="9">
        <v>3.1157095616700339</v>
      </c>
    </row>
    <row r="18555" spans="40:42" x14ac:dyDescent="0.3">
      <c r="AN18555">
        <v>18551</v>
      </c>
      <c r="AO18555" s="11">
        <v>30838.86</v>
      </c>
      <c r="AP18555" s="9">
        <v>3.2998400064741031</v>
      </c>
    </row>
    <row r="18556" spans="40:42" x14ac:dyDescent="0.3">
      <c r="AN18556">
        <v>18552</v>
      </c>
      <c r="AO18556" s="11">
        <v>28152.2</v>
      </c>
      <c r="AP18556" s="9">
        <v>3.3543079522440986</v>
      </c>
    </row>
    <row r="18557" spans="40:42" x14ac:dyDescent="0.3">
      <c r="AN18557">
        <v>18553</v>
      </c>
      <c r="AO18557" s="11">
        <v>29257.32</v>
      </c>
      <c r="AP18557" s="9">
        <v>3.8460096994286133</v>
      </c>
    </row>
    <row r="18558" spans="40:42" x14ac:dyDescent="0.3">
      <c r="AN18558">
        <v>18554</v>
      </c>
      <c r="AO18558" s="11">
        <v>30626.880000000001</v>
      </c>
      <c r="AP18558" s="9">
        <v>3.0938749738850495</v>
      </c>
    </row>
    <row r="18559" spans="40:42" x14ac:dyDescent="0.3">
      <c r="AN18559">
        <v>18555</v>
      </c>
      <c r="AO18559" s="11">
        <v>28016.61</v>
      </c>
      <c r="AP18559" s="9">
        <v>3.5326995601137954</v>
      </c>
    </row>
    <row r="18560" spans="40:42" x14ac:dyDescent="0.3">
      <c r="AN18560">
        <v>18556</v>
      </c>
      <c r="AO18560" s="11">
        <v>27013.35</v>
      </c>
      <c r="AP18560" s="9">
        <v>2.8976243333651022</v>
      </c>
    </row>
    <row r="18561" spans="40:42" x14ac:dyDescent="0.3">
      <c r="AN18561">
        <v>18557</v>
      </c>
      <c r="AO18561" s="11">
        <v>22863.85</v>
      </c>
      <c r="AP18561" s="9">
        <v>3.2800113938984179</v>
      </c>
    </row>
    <row r="18562" spans="40:42" x14ac:dyDescent="0.3">
      <c r="AN18562">
        <v>18558</v>
      </c>
      <c r="AO18562" s="11">
        <v>36318.769999999997</v>
      </c>
      <c r="AP18562" s="9">
        <v>3.124729739607405</v>
      </c>
    </row>
    <row r="18563" spans="40:42" x14ac:dyDescent="0.3">
      <c r="AN18563">
        <v>18559</v>
      </c>
      <c r="AO18563" s="11">
        <v>17931.95</v>
      </c>
      <c r="AP18563" s="9">
        <v>3.2701276379991904</v>
      </c>
    </row>
    <row r="18564" spans="40:42" x14ac:dyDescent="0.3">
      <c r="AN18564">
        <v>18560</v>
      </c>
      <c r="AO18564" s="11">
        <v>17627.22</v>
      </c>
      <c r="AP18564" s="9">
        <v>3.1811720065657942</v>
      </c>
    </row>
    <row r="18565" spans="40:42" x14ac:dyDescent="0.3">
      <c r="AN18565">
        <v>18561</v>
      </c>
      <c r="AO18565" s="11">
        <v>28668.98</v>
      </c>
      <c r="AP18565" s="9">
        <v>3.9077856258919645</v>
      </c>
    </row>
    <row r="18566" spans="40:42" x14ac:dyDescent="0.3">
      <c r="AN18566">
        <v>18562</v>
      </c>
      <c r="AO18566" s="11">
        <v>19405.05</v>
      </c>
      <c r="AP18566" s="9">
        <v>3.1412012921167021</v>
      </c>
    </row>
    <row r="18567" spans="40:42" x14ac:dyDescent="0.3">
      <c r="AN18567">
        <v>18563</v>
      </c>
      <c r="AO18567" s="11">
        <v>27241.15</v>
      </c>
      <c r="AP18567" s="9">
        <v>3.0903251990836123</v>
      </c>
    </row>
    <row r="18568" spans="40:42" x14ac:dyDescent="0.3">
      <c r="AN18568">
        <v>18564</v>
      </c>
      <c r="AO18568" s="11">
        <v>31655.13</v>
      </c>
      <c r="AP18568" s="9">
        <v>3.7239746033976595</v>
      </c>
    </row>
    <row r="18569" spans="40:42" x14ac:dyDescent="0.3">
      <c r="AN18569">
        <v>18565</v>
      </c>
      <c r="AO18569" s="11">
        <v>29361.57</v>
      </c>
      <c r="AP18569" s="9">
        <v>3.7508730092134601</v>
      </c>
    </row>
    <row r="18570" spans="40:42" x14ac:dyDescent="0.3">
      <c r="AN18570">
        <v>18566</v>
      </c>
      <c r="AO18570" s="11">
        <v>23800.61</v>
      </c>
      <c r="AP18570" s="9">
        <v>2.8944252934823695</v>
      </c>
    </row>
    <row r="18571" spans="40:42" x14ac:dyDescent="0.3">
      <c r="AN18571">
        <v>18567</v>
      </c>
      <c r="AO18571" s="11">
        <v>23035.31</v>
      </c>
      <c r="AP18571" s="9">
        <v>3.6348969812978726</v>
      </c>
    </row>
    <row r="18572" spans="40:42" x14ac:dyDescent="0.3">
      <c r="AN18572">
        <v>18568</v>
      </c>
      <c r="AO18572" s="11">
        <v>22974.03</v>
      </c>
      <c r="AP18572" s="9">
        <v>2.7430297914429032</v>
      </c>
    </row>
    <row r="18573" spans="40:42" x14ac:dyDescent="0.3">
      <c r="AN18573">
        <v>18569</v>
      </c>
      <c r="AO18573" s="11">
        <v>24604.98</v>
      </c>
      <c r="AP18573" s="9">
        <v>2.8093924054776687</v>
      </c>
    </row>
    <row r="18574" spans="40:42" x14ac:dyDescent="0.3">
      <c r="AN18574">
        <v>18570</v>
      </c>
      <c r="AO18574" s="11">
        <v>41110.15</v>
      </c>
      <c r="AP18574" s="9">
        <v>3.0504886004040079</v>
      </c>
    </row>
    <row r="18575" spans="40:42" x14ac:dyDescent="0.3">
      <c r="AN18575">
        <v>18571</v>
      </c>
      <c r="AO18575" s="11">
        <v>15735.35</v>
      </c>
      <c r="AP18575" s="9">
        <v>3.6559508077865863</v>
      </c>
    </row>
    <row r="18576" spans="40:42" x14ac:dyDescent="0.3">
      <c r="AN18576">
        <v>18572</v>
      </c>
      <c r="AO18576" s="11">
        <v>34639.25</v>
      </c>
      <c r="AP18576" s="9">
        <v>3.0509018278826003</v>
      </c>
    </row>
    <row r="18577" spans="40:42" x14ac:dyDescent="0.3">
      <c r="AN18577">
        <v>18573</v>
      </c>
      <c r="AO18577" s="11">
        <v>30342.54</v>
      </c>
      <c r="AP18577" s="9">
        <v>3.6668018429965206</v>
      </c>
    </row>
    <row r="18578" spans="40:42" x14ac:dyDescent="0.3">
      <c r="AN18578">
        <v>18574</v>
      </c>
      <c r="AO18578" s="11">
        <v>21180.71</v>
      </c>
      <c r="AP18578" s="9">
        <v>3.1589191419301299</v>
      </c>
    </row>
    <row r="18579" spans="40:42" x14ac:dyDescent="0.3">
      <c r="AN18579">
        <v>18575</v>
      </c>
      <c r="AO18579" s="11">
        <v>37011.75</v>
      </c>
      <c r="AP18579" s="9">
        <v>3.3152881057365629</v>
      </c>
    </row>
    <row r="18580" spans="40:42" x14ac:dyDescent="0.3">
      <c r="AN18580">
        <v>18576</v>
      </c>
      <c r="AO18580" s="11">
        <v>12995.37</v>
      </c>
      <c r="AP18580" s="9">
        <v>3.3254311125404166</v>
      </c>
    </row>
    <row r="18581" spans="40:42" x14ac:dyDescent="0.3">
      <c r="AN18581">
        <v>18577</v>
      </c>
      <c r="AO18581" s="11">
        <v>24876.43</v>
      </c>
      <c r="AP18581" s="9">
        <v>2.9560306167211614</v>
      </c>
    </row>
    <row r="18582" spans="40:42" x14ac:dyDescent="0.3">
      <c r="AN18582">
        <v>18578</v>
      </c>
      <c r="AO18582" s="11">
        <v>26336.22</v>
      </c>
      <c r="AP18582" s="9">
        <v>4.1482086117349022</v>
      </c>
    </row>
    <row r="18583" spans="40:42" x14ac:dyDescent="0.3">
      <c r="AN18583">
        <v>18579</v>
      </c>
      <c r="AO18583" s="11">
        <v>36589.370000000003</v>
      </c>
      <c r="AP18583" s="9">
        <v>3.8779355666960016</v>
      </c>
    </row>
    <row r="18584" spans="40:42" x14ac:dyDescent="0.3">
      <c r="AN18584">
        <v>18580</v>
      </c>
      <c r="AO18584" s="11">
        <v>23064.19</v>
      </c>
      <c r="AP18584" s="9">
        <v>3.4964347281279804</v>
      </c>
    </row>
    <row r="18585" spans="40:42" x14ac:dyDescent="0.3">
      <c r="AN18585">
        <v>18581</v>
      </c>
      <c r="AO18585" s="11">
        <v>25306.11</v>
      </c>
      <c r="AP18585" s="9">
        <v>3.2503592462258393</v>
      </c>
    </row>
    <row r="18586" spans="40:42" x14ac:dyDescent="0.3">
      <c r="AN18586">
        <v>18582</v>
      </c>
      <c r="AO18586" s="11">
        <v>21785.78</v>
      </c>
      <c r="AP18586" s="9">
        <v>3.4877035778460006</v>
      </c>
    </row>
    <row r="18587" spans="40:42" x14ac:dyDescent="0.3">
      <c r="AN18587">
        <v>18583</v>
      </c>
      <c r="AO18587" s="11">
        <v>23102.34</v>
      </c>
      <c r="AP18587" s="9">
        <v>3.0843537943725026</v>
      </c>
    </row>
    <row r="18588" spans="40:42" x14ac:dyDescent="0.3">
      <c r="AN18588">
        <v>18584</v>
      </c>
      <c r="AO18588" s="11">
        <v>21981.01</v>
      </c>
      <c r="AP18588" s="9">
        <v>2.953393706913825</v>
      </c>
    </row>
    <row r="18589" spans="40:42" x14ac:dyDescent="0.3">
      <c r="AN18589">
        <v>18585</v>
      </c>
      <c r="AO18589" s="11">
        <v>18035.36</v>
      </c>
      <c r="AP18589" s="9">
        <v>3.1902072348958725</v>
      </c>
    </row>
    <row r="18590" spans="40:42" x14ac:dyDescent="0.3">
      <c r="AN18590">
        <v>18586</v>
      </c>
      <c r="AO18590" s="11">
        <v>22442.44</v>
      </c>
      <c r="AP18590" s="9">
        <v>3.7298364505825852</v>
      </c>
    </row>
    <row r="18591" spans="40:42" x14ac:dyDescent="0.3">
      <c r="AN18591">
        <v>18587</v>
      </c>
      <c r="AO18591" s="11">
        <v>13709.69</v>
      </c>
      <c r="AP18591" s="9">
        <v>3.4161972861731709</v>
      </c>
    </row>
    <row r="18592" spans="40:42" x14ac:dyDescent="0.3">
      <c r="AN18592">
        <v>18588</v>
      </c>
      <c r="AO18592" s="11">
        <v>22652.61</v>
      </c>
      <c r="AP18592" s="9">
        <v>3.4794867324113952</v>
      </c>
    </row>
    <row r="18593" spans="40:42" x14ac:dyDescent="0.3">
      <c r="AN18593">
        <v>18589</v>
      </c>
      <c r="AO18593" s="11">
        <v>18802.560000000001</v>
      </c>
      <c r="AP18593" s="9">
        <v>3.0463479816577888</v>
      </c>
    </row>
    <row r="18594" spans="40:42" x14ac:dyDescent="0.3">
      <c r="AN18594">
        <v>18590</v>
      </c>
      <c r="AO18594" s="11">
        <v>27792.13</v>
      </c>
      <c r="AP18594" s="9">
        <v>3.3673155632309704</v>
      </c>
    </row>
    <row r="18595" spans="40:42" x14ac:dyDescent="0.3">
      <c r="AN18595">
        <v>18591</v>
      </c>
      <c r="AO18595" s="11">
        <v>34372.980000000003</v>
      </c>
      <c r="AP18595" s="9">
        <v>3.5501067232470431</v>
      </c>
    </row>
    <row r="18596" spans="40:42" x14ac:dyDescent="0.3">
      <c r="AN18596">
        <v>18592</v>
      </c>
      <c r="AO18596" s="11">
        <v>34267.74</v>
      </c>
      <c r="AP18596" s="9">
        <v>3.7615034160799752</v>
      </c>
    </row>
    <row r="18597" spans="40:42" x14ac:dyDescent="0.3">
      <c r="AN18597">
        <v>18593</v>
      </c>
      <c r="AO18597" s="11">
        <v>24716.66</v>
      </c>
      <c r="AP18597" s="9">
        <v>3.5097793732504834</v>
      </c>
    </row>
    <row r="18598" spans="40:42" x14ac:dyDescent="0.3">
      <c r="AN18598">
        <v>18594</v>
      </c>
      <c r="AO18598" s="11">
        <v>19100.05</v>
      </c>
      <c r="AP18598" s="9">
        <v>3.7121378981668265</v>
      </c>
    </row>
    <row r="18599" spans="40:42" x14ac:dyDescent="0.3">
      <c r="AN18599">
        <v>18595</v>
      </c>
      <c r="AO18599" s="11">
        <v>18589.48</v>
      </c>
      <c r="AP18599" s="9">
        <v>3.2054222640327579</v>
      </c>
    </row>
    <row r="18600" spans="40:42" x14ac:dyDescent="0.3">
      <c r="AN18600">
        <v>18596</v>
      </c>
      <c r="AO18600" s="11">
        <v>27325.5</v>
      </c>
      <c r="AP18600" s="9">
        <v>3.5495278601015818</v>
      </c>
    </row>
    <row r="18601" spans="40:42" x14ac:dyDescent="0.3">
      <c r="AN18601">
        <v>18597</v>
      </c>
      <c r="AO18601" s="11">
        <v>28756.48</v>
      </c>
      <c r="AP18601" s="9">
        <v>3.3114683252315458</v>
      </c>
    </row>
    <row r="18602" spans="40:42" x14ac:dyDescent="0.3">
      <c r="AN18602">
        <v>18598</v>
      </c>
      <c r="AO18602" s="11">
        <v>45107.5</v>
      </c>
      <c r="AP18602" s="9">
        <v>3.4651432783464426</v>
      </c>
    </row>
    <row r="18603" spans="40:42" x14ac:dyDescent="0.3">
      <c r="AN18603">
        <v>18599</v>
      </c>
      <c r="AO18603" s="11">
        <v>26579.35</v>
      </c>
      <c r="AP18603" s="9">
        <v>3.6990670224838902</v>
      </c>
    </row>
    <row r="18604" spans="40:42" x14ac:dyDescent="0.3">
      <c r="AN18604">
        <v>18600</v>
      </c>
      <c r="AO18604" s="11">
        <v>26725.41</v>
      </c>
      <c r="AP18604" s="9">
        <v>2.9189996950555726</v>
      </c>
    </row>
    <row r="18605" spans="40:42" x14ac:dyDescent="0.3">
      <c r="AN18605">
        <v>18601</v>
      </c>
      <c r="AO18605" s="11">
        <v>28983</v>
      </c>
      <c r="AP18605" s="9">
        <v>3.3090529204158479</v>
      </c>
    </row>
    <row r="18606" spans="40:42" x14ac:dyDescent="0.3">
      <c r="AN18606">
        <v>18602</v>
      </c>
      <c r="AO18606" s="11">
        <v>35049.730000000003</v>
      </c>
      <c r="AP18606" s="9">
        <v>3.9363411595525792</v>
      </c>
    </row>
    <row r="18607" spans="40:42" x14ac:dyDescent="0.3">
      <c r="AN18607">
        <v>18603</v>
      </c>
      <c r="AO18607" s="11">
        <v>29528.48</v>
      </c>
      <c r="AP18607" s="9">
        <v>3.255416836881933</v>
      </c>
    </row>
    <row r="18608" spans="40:42" x14ac:dyDescent="0.3">
      <c r="AN18608">
        <v>18604</v>
      </c>
      <c r="AO18608" s="11">
        <v>18922.650000000001</v>
      </c>
      <c r="AP18608" s="9">
        <v>3.4605027576159437</v>
      </c>
    </row>
    <row r="18609" spans="40:42" x14ac:dyDescent="0.3">
      <c r="AN18609">
        <v>18605</v>
      </c>
      <c r="AO18609" s="11">
        <v>26605.58</v>
      </c>
      <c r="AP18609" s="9">
        <v>3.6306115096889218</v>
      </c>
    </row>
    <row r="18610" spans="40:42" x14ac:dyDescent="0.3">
      <c r="AN18610">
        <v>18606</v>
      </c>
      <c r="AO18610" s="11">
        <v>19874.72</v>
      </c>
      <c r="AP18610" s="9">
        <v>3.1200239653145574</v>
      </c>
    </row>
    <row r="18611" spans="40:42" x14ac:dyDescent="0.3">
      <c r="AN18611">
        <v>18607</v>
      </c>
      <c r="AO18611" s="11">
        <v>31379.69</v>
      </c>
      <c r="AP18611" s="9">
        <v>3.4896892704448068</v>
      </c>
    </row>
    <row r="18612" spans="40:42" x14ac:dyDescent="0.3">
      <c r="AN18612">
        <v>18608</v>
      </c>
      <c r="AO18612" s="11">
        <v>20390.88</v>
      </c>
      <c r="AP18612" s="9">
        <v>2.8902133184586574</v>
      </c>
    </row>
    <row r="18613" spans="40:42" x14ac:dyDescent="0.3">
      <c r="AN18613">
        <v>18609</v>
      </c>
      <c r="AO18613" s="11">
        <v>25940.38</v>
      </c>
      <c r="AP18613" s="9">
        <v>3.4959282867089319</v>
      </c>
    </row>
    <row r="18614" spans="40:42" x14ac:dyDescent="0.3">
      <c r="AN18614">
        <v>18610</v>
      </c>
      <c r="AO18614" s="11">
        <v>20828.78</v>
      </c>
      <c r="AP18614" s="9">
        <v>3.2905862570821061</v>
      </c>
    </row>
    <row r="18615" spans="40:42" x14ac:dyDescent="0.3">
      <c r="AN18615">
        <v>18611</v>
      </c>
      <c r="AO18615" s="11">
        <v>17645.11</v>
      </c>
      <c r="AP18615" s="9">
        <v>2.9157884502479772</v>
      </c>
    </row>
    <row r="18616" spans="40:42" x14ac:dyDescent="0.3">
      <c r="AN18616">
        <v>18612</v>
      </c>
      <c r="AO18616" s="11">
        <v>31069.72</v>
      </c>
      <c r="AP18616" s="9">
        <v>3.5402669030667457</v>
      </c>
    </row>
    <row r="18617" spans="40:42" x14ac:dyDescent="0.3">
      <c r="AN18617">
        <v>18613</v>
      </c>
      <c r="AO18617" s="11">
        <v>35846.879999999997</v>
      </c>
      <c r="AP18617" s="9">
        <v>3.3759040956878352</v>
      </c>
    </row>
    <row r="18618" spans="40:42" x14ac:dyDescent="0.3">
      <c r="AN18618">
        <v>18614</v>
      </c>
      <c r="AO18618" s="11">
        <v>30872.7</v>
      </c>
      <c r="AP18618" s="9">
        <v>3.4456538269838699</v>
      </c>
    </row>
    <row r="18619" spans="40:42" x14ac:dyDescent="0.3">
      <c r="AN18619">
        <v>18615</v>
      </c>
      <c r="AO18619" s="11">
        <v>22009.89</v>
      </c>
      <c r="AP18619" s="9">
        <v>4.1173517566938251</v>
      </c>
    </row>
    <row r="18620" spans="40:42" x14ac:dyDescent="0.3">
      <c r="AN18620">
        <v>18616</v>
      </c>
      <c r="AO18620" s="11">
        <v>28915.4</v>
      </c>
      <c r="AP18620" s="9">
        <v>2.6416236548091496</v>
      </c>
    </row>
    <row r="18621" spans="40:42" x14ac:dyDescent="0.3">
      <c r="AN18621">
        <v>18617</v>
      </c>
      <c r="AO18621" s="11">
        <v>38333.22</v>
      </c>
      <c r="AP18621" s="9">
        <v>3.9297476310409181</v>
      </c>
    </row>
    <row r="18622" spans="40:42" x14ac:dyDescent="0.3">
      <c r="AN18622">
        <v>18618</v>
      </c>
      <c r="AO18622" s="11">
        <v>22425.29</v>
      </c>
      <c r="AP18622" s="9">
        <v>3.2730680450643912</v>
      </c>
    </row>
    <row r="18623" spans="40:42" x14ac:dyDescent="0.3">
      <c r="AN18623">
        <v>18619</v>
      </c>
      <c r="AO18623" s="11">
        <v>38552.86</v>
      </c>
      <c r="AP18623" s="9">
        <v>3.8641673842304343</v>
      </c>
    </row>
    <row r="18624" spans="40:42" x14ac:dyDescent="0.3">
      <c r="AN18624">
        <v>18620</v>
      </c>
      <c r="AO18624" s="11">
        <v>26168.29</v>
      </c>
      <c r="AP18624" s="9">
        <v>3.2971559918571534</v>
      </c>
    </row>
    <row r="18625" spans="40:42" x14ac:dyDescent="0.3">
      <c r="AN18625">
        <v>18621</v>
      </c>
      <c r="AO18625" s="11">
        <v>27322.44</v>
      </c>
      <c r="AP18625" s="9">
        <v>3.8186590090117982</v>
      </c>
    </row>
    <row r="18626" spans="40:42" x14ac:dyDescent="0.3">
      <c r="AN18626">
        <v>18622</v>
      </c>
      <c r="AO18626" s="11">
        <v>18634.43</v>
      </c>
      <c r="AP18626" s="9">
        <v>3.1406678051190662</v>
      </c>
    </row>
    <row r="18627" spans="40:42" x14ac:dyDescent="0.3">
      <c r="AN18627">
        <v>18623</v>
      </c>
      <c r="AO18627" s="11">
        <v>36974.870000000003</v>
      </c>
      <c r="AP18627" s="9">
        <v>4.2020503686537243</v>
      </c>
    </row>
    <row r="18628" spans="40:42" x14ac:dyDescent="0.3">
      <c r="AN18628">
        <v>18624</v>
      </c>
      <c r="AO18628" s="11">
        <v>33632.93</v>
      </c>
      <c r="AP18628" s="9">
        <v>3.7499234461923061</v>
      </c>
    </row>
    <row r="18629" spans="40:42" x14ac:dyDescent="0.3">
      <c r="AN18629">
        <v>18625</v>
      </c>
      <c r="AO18629" s="11">
        <v>25070.63</v>
      </c>
      <c r="AP18629" s="9">
        <v>3.6000234480523332</v>
      </c>
    </row>
    <row r="18630" spans="40:42" x14ac:dyDescent="0.3">
      <c r="AN18630">
        <v>18626</v>
      </c>
      <c r="AO18630" s="11">
        <v>32408.25</v>
      </c>
      <c r="AP18630" s="9">
        <v>3.5405795201750534</v>
      </c>
    </row>
    <row r="18631" spans="40:42" x14ac:dyDescent="0.3">
      <c r="AN18631">
        <v>18627</v>
      </c>
      <c r="AO18631" s="11">
        <v>21959.94</v>
      </c>
      <c r="AP18631" s="9">
        <v>3.3755448432176012</v>
      </c>
    </row>
    <row r="18632" spans="40:42" x14ac:dyDescent="0.3">
      <c r="AN18632">
        <v>18628</v>
      </c>
      <c r="AO18632" s="11">
        <v>19993.04</v>
      </c>
      <c r="AP18632" s="9">
        <v>3.859761172085058</v>
      </c>
    </row>
    <row r="18633" spans="40:42" x14ac:dyDescent="0.3">
      <c r="AN18633">
        <v>18629</v>
      </c>
      <c r="AO18633" s="11">
        <v>26366.58</v>
      </c>
      <c r="AP18633" s="9">
        <v>3.3534344569079035</v>
      </c>
    </row>
    <row r="18634" spans="40:42" x14ac:dyDescent="0.3">
      <c r="AN18634">
        <v>18630</v>
      </c>
      <c r="AO18634" s="11">
        <v>36762.620000000003</v>
      </c>
      <c r="AP18634" s="9">
        <v>4.4467965990953831</v>
      </c>
    </row>
    <row r="18635" spans="40:42" x14ac:dyDescent="0.3">
      <c r="AN18635">
        <v>18631</v>
      </c>
      <c r="AO18635" s="11">
        <v>29538.41</v>
      </c>
      <c r="AP18635" s="9">
        <v>3.4106197011676378</v>
      </c>
    </row>
    <row r="18636" spans="40:42" x14ac:dyDescent="0.3">
      <c r="AN18636">
        <v>18632</v>
      </c>
      <c r="AO18636" s="11">
        <v>24604.15</v>
      </c>
      <c r="AP18636" s="9">
        <v>3.2586638385642228</v>
      </c>
    </row>
    <row r="18637" spans="40:42" x14ac:dyDescent="0.3">
      <c r="AN18637">
        <v>18633</v>
      </c>
      <c r="AO18637" s="11">
        <v>35051.21</v>
      </c>
      <c r="AP18637" s="9">
        <v>3.244313738792119</v>
      </c>
    </row>
    <row r="18638" spans="40:42" x14ac:dyDescent="0.3">
      <c r="AN18638">
        <v>18634</v>
      </c>
      <c r="AO18638" s="11">
        <v>26792.959999999999</v>
      </c>
      <c r="AP18638" s="9">
        <v>3.7268540425339274</v>
      </c>
    </row>
    <row r="18639" spans="40:42" x14ac:dyDescent="0.3">
      <c r="AN18639">
        <v>18635</v>
      </c>
      <c r="AO18639" s="11">
        <v>16831.96</v>
      </c>
      <c r="AP18639" s="9">
        <v>2.7108351622095923</v>
      </c>
    </row>
    <row r="18640" spans="40:42" x14ac:dyDescent="0.3">
      <c r="AN18640">
        <v>18636</v>
      </c>
      <c r="AO18640" s="11">
        <v>24664.42</v>
      </c>
      <c r="AP18640" s="9">
        <v>3.6499792878266542</v>
      </c>
    </row>
    <row r="18641" spans="40:42" x14ac:dyDescent="0.3">
      <c r="AN18641">
        <v>18637</v>
      </c>
      <c r="AO18641" s="11">
        <v>29047.119999999999</v>
      </c>
      <c r="AP18641" s="9">
        <v>3.5893936971982452</v>
      </c>
    </row>
    <row r="18642" spans="40:42" x14ac:dyDescent="0.3">
      <c r="AN18642">
        <v>18638</v>
      </c>
      <c r="AO18642" s="11">
        <v>20067.3</v>
      </c>
      <c r="AP18642" s="9">
        <v>2.7452350615986072</v>
      </c>
    </row>
    <row r="18643" spans="40:42" x14ac:dyDescent="0.3">
      <c r="AN18643">
        <v>18639</v>
      </c>
      <c r="AO18643" s="11">
        <v>27324.03</v>
      </c>
      <c r="AP18643" s="9">
        <v>4.0363774268540498</v>
      </c>
    </row>
    <row r="18644" spans="40:42" x14ac:dyDescent="0.3">
      <c r="AN18644">
        <v>18640</v>
      </c>
      <c r="AO18644" s="11">
        <v>26894.36</v>
      </c>
      <c r="AP18644" s="9">
        <v>3.6496689966197766</v>
      </c>
    </row>
    <row r="18645" spans="40:42" x14ac:dyDescent="0.3">
      <c r="AN18645">
        <v>18641</v>
      </c>
      <c r="AO18645" s="11">
        <v>48792.800000000003</v>
      </c>
      <c r="AP18645" s="9">
        <v>5.0758648069198582</v>
      </c>
    </row>
    <row r="18646" spans="40:42" x14ac:dyDescent="0.3">
      <c r="AN18646">
        <v>18642</v>
      </c>
      <c r="AO18646" s="11">
        <v>40663.1</v>
      </c>
      <c r="AP18646" s="9">
        <v>3.2262277718853283</v>
      </c>
    </row>
    <row r="18647" spans="40:42" x14ac:dyDescent="0.3">
      <c r="AN18647">
        <v>18643</v>
      </c>
      <c r="AO18647" s="11">
        <v>26087.02</v>
      </c>
      <c r="AP18647" s="9">
        <v>3.3403439715213543</v>
      </c>
    </row>
    <row r="18648" spans="40:42" x14ac:dyDescent="0.3">
      <c r="AN18648">
        <v>18644</v>
      </c>
      <c r="AO18648" s="11">
        <v>23152.47</v>
      </c>
      <c r="AP18648" s="9">
        <v>3.1517926683675208</v>
      </c>
    </row>
    <row r="18649" spans="40:42" x14ac:dyDescent="0.3">
      <c r="AN18649">
        <v>18645</v>
      </c>
      <c r="AO18649" s="11">
        <v>25729.39</v>
      </c>
      <c r="AP18649" s="9">
        <v>3.1279179484479585</v>
      </c>
    </row>
    <row r="18650" spans="40:42" x14ac:dyDescent="0.3">
      <c r="AN18650">
        <v>18646</v>
      </c>
      <c r="AO18650" s="11">
        <v>22420.18</v>
      </c>
      <c r="AP18650" s="9">
        <v>3.0343606259646503</v>
      </c>
    </row>
    <row r="18651" spans="40:42" x14ac:dyDescent="0.3">
      <c r="AN18651">
        <v>18647</v>
      </c>
      <c r="AO18651" s="11">
        <v>30598.28</v>
      </c>
      <c r="AP18651" s="9">
        <v>3.078557072155705</v>
      </c>
    </row>
    <row r="18652" spans="40:42" x14ac:dyDescent="0.3">
      <c r="AN18652">
        <v>18648</v>
      </c>
      <c r="AO18652" s="11">
        <v>25093.01</v>
      </c>
      <c r="AP18652" s="9">
        <v>3.3453838241997547</v>
      </c>
    </row>
    <row r="18653" spans="40:42" x14ac:dyDescent="0.3">
      <c r="AN18653">
        <v>18649</v>
      </c>
      <c r="AO18653" s="11">
        <v>27897.23</v>
      </c>
      <c r="AP18653" s="9">
        <v>2.9698063523130007</v>
      </c>
    </row>
    <row r="18654" spans="40:42" x14ac:dyDescent="0.3">
      <c r="AN18654">
        <v>18650</v>
      </c>
      <c r="AO18654" s="11">
        <v>22019.47</v>
      </c>
      <c r="AP18654" s="9">
        <v>3.3269529319905997</v>
      </c>
    </row>
    <row r="18655" spans="40:42" x14ac:dyDescent="0.3">
      <c r="AN18655">
        <v>18651</v>
      </c>
      <c r="AO18655" s="11">
        <v>28009.02</v>
      </c>
      <c r="AP18655" s="9">
        <v>3.4203364904011311</v>
      </c>
    </row>
    <row r="18656" spans="40:42" x14ac:dyDescent="0.3">
      <c r="AN18656">
        <v>18652</v>
      </c>
      <c r="AO18656" s="11">
        <v>36051.68</v>
      </c>
      <c r="AP18656" s="9">
        <v>3.2743700584349837</v>
      </c>
    </row>
    <row r="18657" spans="40:42" x14ac:dyDescent="0.3">
      <c r="AN18657">
        <v>18653</v>
      </c>
      <c r="AO18657" s="11">
        <v>31723.48</v>
      </c>
      <c r="AP18657" s="9">
        <v>3.8696227458299353</v>
      </c>
    </row>
    <row r="18658" spans="40:42" x14ac:dyDescent="0.3">
      <c r="AN18658">
        <v>18654</v>
      </c>
      <c r="AO18658" s="11">
        <v>24965.35</v>
      </c>
      <c r="AP18658" s="9">
        <v>2.878586701710228</v>
      </c>
    </row>
    <row r="18659" spans="40:42" x14ac:dyDescent="0.3">
      <c r="AN18659">
        <v>18655</v>
      </c>
      <c r="AO18659" s="11">
        <v>28080.2</v>
      </c>
      <c r="AP18659" s="9">
        <v>4.0685541138367149</v>
      </c>
    </row>
    <row r="18660" spans="40:42" x14ac:dyDescent="0.3">
      <c r="AN18660">
        <v>18656</v>
      </c>
      <c r="AO18660" s="11">
        <v>35144.879999999997</v>
      </c>
      <c r="AP18660" s="9">
        <v>3.8556929796194006</v>
      </c>
    </row>
    <row r="18661" spans="40:42" x14ac:dyDescent="0.3">
      <c r="AN18661">
        <v>18657</v>
      </c>
      <c r="AO18661" s="11">
        <v>23718.78</v>
      </c>
      <c r="AP18661" s="9">
        <v>3.635451927802869</v>
      </c>
    </row>
    <row r="18662" spans="40:42" x14ac:dyDescent="0.3">
      <c r="AN18662">
        <v>18658</v>
      </c>
      <c r="AO18662" s="11">
        <v>26620.38</v>
      </c>
      <c r="AP18662" s="9">
        <v>2.996439143911541</v>
      </c>
    </row>
    <row r="18663" spans="40:42" x14ac:dyDescent="0.3">
      <c r="AN18663">
        <v>18659</v>
      </c>
      <c r="AO18663" s="11">
        <v>31998.38</v>
      </c>
      <c r="AP18663" s="9">
        <v>3.0965285798406046</v>
      </c>
    </row>
    <row r="18664" spans="40:42" x14ac:dyDescent="0.3">
      <c r="AN18664">
        <v>18660</v>
      </c>
      <c r="AO18664" s="11">
        <v>23982.43</v>
      </c>
      <c r="AP18664" s="9">
        <v>3.3108184912469443</v>
      </c>
    </row>
    <row r="18665" spans="40:42" x14ac:dyDescent="0.3">
      <c r="AN18665">
        <v>18661</v>
      </c>
      <c r="AO18665" s="11">
        <v>34304.75</v>
      </c>
      <c r="AP18665" s="9">
        <v>3.2552096041129879</v>
      </c>
    </row>
    <row r="18666" spans="40:42" x14ac:dyDescent="0.3">
      <c r="AN18666">
        <v>18662</v>
      </c>
      <c r="AO18666" s="11">
        <v>27032.13</v>
      </c>
      <c r="AP18666" s="9">
        <v>3.5865187840181876</v>
      </c>
    </row>
    <row r="18667" spans="40:42" x14ac:dyDescent="0.3">
      <c r="AN18667">
        <v>18663</v>
      </c>
      <c r="AO18667" s="11">
        <v>31136.31</v>
      </c>
      <c r="AP18667" s="9">
        <v>3.457842014459783</v>
      </c>
    </row>
    <row r="18668" spans="40:42" x14ac:dyDescent="0.3">
      <c r="AN18668">
        <v>18664</v>
      </c>
      <c r="AO18668" s="11">
        <v>29744.54</v>
      </c>
      <c r="AP18668" s="9">
        <v>3.3079326909275011</v>
      </c>
    </row>
    <row r="18669" spans="40:42" x14ac:dyDescent="0.3">
      <c r="AN18669">
        <v>18665</v>
      </c>
      <c r="AO18669" s="11">
        <v>32094.05</v>
      </c>
      <c r="AP18669" s="9">
        <v>3.2513038031588501</v>
      </c>
    </row>
    <row r="18670" spans="40:42" x14ac:dyDescent="0.3">
      <c r="AN18670">
        <v>18666</v>
      </c>
      <c r="AO18670" s="11">
        <v>19319.84</v>
      </c>
      <c r="AP18670" s="9">
        <v>3.1806613572047078</v>
      </c>
    </row>
    <row r="18671" spans="40:42" x14ac:dyDescent="0.3">
      <c r="AN18671">
        <v>18667</v>
      </c>
      <c r="AO18671" s="11">
        <v>29762.77</v>
      </c>
      <c r="AP18671" s="9">
        <v>3.1338428168851005</v>
      </c>
    </row>
    <row r="18672" spans="40:42" x14ac:dyDescent="0.3">
      <c r="AN18672">
        <v>18668</v>
      </c>
      <c r="AO18672" s="11">
        <v>26052.959999999999</v>
      </c>
      <c r="AP18672" s="9">
        <v>3.1499125472839764</v>
      </c>
    </row>
    <row r="18673" spans="40:42" x14ac:dyDescent="0.3">
      <c r="AN18673">
        <v>18669</v>
      </c>
      <c r="AO18673" s="11">
        <v>20406.73</v>
      </c>
      <c r="AP18673" s="9">
        <v>3.3903630002489287</v>
      </c>
    </row>
    <row r="18674" spans="40:42" x14ac:dyDescent="0.3">
      <c r="AN18674">
        <v>18670</v>
      </c>
      <c r="AO18674" s="11">
        <v>25056.959999999999</v>
      </c>
      <c r="AP18674" s="9">
        <v>3.1285765860967345</v>
      </c>
    </row>
    <row r="18675" spans="40:42" x14ac:dyDescent="0.3">
      <c r="AN18675">
        <v>18671</v>
      </c>
      <c r="AO18675" s="11">
        <v>20421.900000000001</v>
      </c>
      <c r="AP18675" s="9">
        <v>2.7744686436105579</v>
      </c>
    </row>
    <row r="18676" spans="40:42" x14ac:dyDescent="0.3">
      <c r="AN18676">
        <v>18672</v>
      </c>
      <c r="AO18676" s="11">
        <v>27235.03</v>
      </c>
      <c r="AP18676" s="9">
        <v>3.5440677492722297</v>
      </c>
    </row>
    <row r="18677" spans="40:42" x14ac:dyDescent="0.3">
      <c r="AN18677">
        <v>18673</v>
      </c>
      <c r="AO18677" s="11">
        <v>27350.16</v>
      </c>
      <c r="AP18677" s="9">
        <v>2.6737443711139228</v>
      </c>
    </row>
    <row r="18678" spans="40:42" x14ac:dyDescent="0.3">
      <c r="AN18678">
        <v>18674</v>
      </c>
      <c r="AO18678" s="11">
        <v>32637.89</v>
      </c>
      <c r="AP18678" s="9">
        <v>3.0263511667174678</v>
      </c>
    </row>
    <row r="18679" spans="40:42" x14ac:dyDescent="0.3">
      <c r="AN18679">
        <v>18675</v>
      </c>
      <c r="AO18679" s="11">
        <v>34728.519999999997</v>
      </c>
      <c r="AP18679" s="9">
        <v>3.7510958590751478</v>
      </c>
    </row>
    <row r="18680" spans="40:42" x14ac:dyDescent="0.3">
      <c r="AN18680">
        <v>18676</v>
      </c>
      <c r="AO18680" s="11">
        <v>27115.98</v>
      </c>
      <c r="AP18680" s="9">
        <v>3.6646054097787393</v>
      </c>
    </row>
    <row r="18681" spans="40:42" x14ac:dyDescent="0.3">
      <c r="AN18681">
        <v>18677</v>
      </c>
      <c r="AO18681" s="11">
        <v>28571.86</v>
      </c>
      <c r="AP18681" s="9">
        <v>3.0069539274005965</v>
      </c>
    </row>
    <row r="18682" spans="40:42" x14ac:dyDescent="0.3">
      <c r="AN18682">
        <v>18678</v>
      </c>
      <c r="AO18682" s="11">
        <v>31966.63</v>
      </c>
      <c r="AP18682" s="9">
        <v>3.72185759457098</v>
      </c>
    </row>
    <row r="18683" spans="40:42" x14ac:dyDescent="0.3">
      <c r="AN18683">
        <v>18679</v>
      </c>
      <c r="AO18683" s="11">
        <v>22118.75</v>
      </c>
      <c r="AP18683" s="9">
        <v>2.6609193326500629</v>
      </c>
    </row>
    <row r="18684" spans="40:42" x14ac:dyDescent="0.3">
      <c r="AN18684">
        <v>18680</v>
      </c>
      <c r="AO18684" s="11">
        <v>24724.11</v>
      </c>
      <c r="AP18684" s="9">
        <v>2.9807042710321783</v>
      </c>
    </row>
    <row r="18685" spans="40:42" x14ac:dyDescent="0.3">
      <c r="AN18685">
        <v>18681</v>
      </c>
      <c r="AO18685" s="11">
        <v>24269.08</v>
      </c>
      <c r="AP18685" s="9">
        <v>3.8995681168417589</v>
      </c>
    </row>
    <row r="18686" spans="40:42" x14ac:dyDescent="0.3">
      <c r="AN18686">
        <v>18682</v>
      </c>
      <c r="AO18686" s="11">
        <v>13833.52</v>
      </c>
      <c r="AP18686" s="9">
        <v>3.4059420146226227</v>
      </c>
    </row>
    <row r="18687" spans="40:42" x14ac:dyDescent="0.3">
      <c r="AN18687">
        <v>18683</v>
      </c>
      <c r="AO18687" s="11">
        <v>39739.379999999997</v>
      </c>
      <c r="AP18687" s="9">
        <v>3.7235174757243681</v>
      </c>
    </row>
    <row r="18688" spans="40:42" x14ac:dyDescent="0.3">
      <c r="AN18688">
        <v>18684</v>
      </c>
      <c r="AO18688" s="11">
        <v>37234.46</v>
      </c>
      <c r="AP18688" s="9">
        <v>3.5349948397058237</v>
      </c>
    </row>
    <row r="18689" spans="40:42" x14ac:dyDescent="0.3">
      <c r="AN18689">
        <v>18685</v>
      </c>
      <c r="AO18689" s="11">
        <v>30601.78</v>
      </c>
      <c r="AP18689" s="9">
        <v>3.6320910377537796</v>
      </c>
    </row>
    <row r="18690" spans="40:42" x14ac:dyDescent="0.3">
      <c r="AN18690">
        <v>18686</v>
      </c>
      <c r="AO18690" s="11">
        <v>28732.95</v>
      </c>
      <c r="AP18690" s="9">
        <v>3.5764751948169331</v>
      </c>
    </row>
    <row r="18691" spans="40:42" x14ac:dyDescent="0.3">
      <c r="AN18691">
        <v>18687</v>
      </c>
      <c r="AO18691" s="11">
        <v>25355.66</v>
      </c>
      <c r="AP18691" s="9">
        <v>2.9400556274004157</v>
      </c>
    </row>
    <row r="18692" spans="40:42" x14ac:dyDescent="0.3">
      <c r="AN18692">
        <v>18688</v>
      </c>
      <c r="AO18692" s="11">
        <v>25072.42</v>
      </c>
      <c r="AP18692" s="9">
        <v>3.7743075154490646</v>
      </c>
    </row>
    <row r="18693" spans="40:42" x14ac:dyDescent="0.3">
      <c r="AN18693">
        <v>18689</v>
      </c>
      <c r="AO18693" s="11">
        <v>24795.94</v>
      </c>
      <c r="AP18693" s="9">
        <v>3.8157345998899848</v>
      </c>
    </row>
    <row r="18694" spans="40:42" x14ac:dyDescent="0.3">
      <c r="AN18694">
        <v>18690</v>
      </c>
      <c r="AO18694" s="11">
        <v>29174.03</v>
      </c>
      <c r="AP18694" s="9">
        <v>3.0581996306139962</v>
      </c>
    </row>
    <row r="18695" spans="40:42" x14ac:dyDescent="0.3">
      <c r="AN18695">
        <v>18691</v>
      </c>
      <c r="AO18695" s="11">
        <v>24530.080000000002</v>
      </c>
      <c r="AP18695" s="9">
        <v>3.8283630451803758</v>
      </c>
    </row>
    <row r="18696" spans="40:42" x14ac:dyDescent="0.3">
      <c r="AN18696">
        <v>18692</v>
      </c>
      <c r="AO18696" s="11">
        <v>26805.55</v>
      </c>
      <c r="AP18696" s="9">
        <v>3.7716764837232022</v>
      </c>
    </row>
    <row r="18697" spans="40:42" x14ac:dyDescent="0.3">
      <c r="AN18697">
        <v>18693</v>
      </c>
      <c r="AO18697" s="11">
        <v>30938.38</v>
      </c>
      <c r="AP18697" s="9">
        <v>3.0300934875641774</v>
      </c>
    </row>
    <row r="18698" spans="40:42" x14ac:dyDescent="0.3">
      <c r="AN18698">
        <v>18694</v>
      </c>
      <c r="AO18698" s="11">
        <v>31948.23</v>
      </c>
      <c r="AP18698" s="9">
        <v>3.6131180549433908</v>
      </c>
    </row>
    <row r="18699" spans="40:42" x14ac:dyDescent="0.3">
      <c r="AN18699">
        <v>18695</v>
      </c>
      <c r="AO18699" s="11">
        <v>33299.18</v>
      </c>
      <c r="AP18699" s="9">
        <v>3.0106924329767684</v>
      </c>
    </row>
    <row r="18700" spans="40:42" x14ac:dyDescent="0.3">
      <c r="AN18700">
        <v>18696</v>
      </c>
      <c r="AO18700" s="11">
        <v>15781.32</v>
      </c>
      <c r="AP18700" s="9">
        <v>3.0849298621625412</v>
      </c>
    </row>
    <row r="18701" spans="40:42" x14ac:dyDescent="0.3">
      <c r="AN18701">
        <v>18697</v>
      </c>
      <c r="AO18701" s="11">
        <v>34317.160000000003</v>
      </c>
      <c r="AP18701" s="9">
        <v>4.2216435919674105</v>
      </c>
    </row>
    <row r="18702" spans="40:42" x14ac:dyDescent="0.3">
      <c r="AN18702">
        <v>18698</v>
      </c>
      <c r="AO18702" s="11">
        <v>36965.410000000003</v>
      </c>
      <c r="AP18702" s="9">
        <v>3.3076393951222243</v>
      </c>
    </row>
    <row r="18703" spans="40:42" x14ac:dyDescent="0.3">
      <c r="AN18703">
        <v>18699</v>
      </c>
      <c r="AO18703" s="11">
        <v>26044.240000000002</v>
      </c>
      <c r="AP18703" s="9">
        <v>3.2913669342846821</v>
      </c>
    </row>
    <row r="18704" spans="40:42" x14ac:dyDescent="0.3">
      <c r="AN18704">
        <v>18700</v>
      </c>
      <c r="AO18704" s="11">
        <v>37361.11</v>
      </c>
      <c r="AP18704" s="9">
        <v>3.4474441681782868</v>
      </c>
    </row>
    <row r="18705" spans="40:42" x14ac:dyDescent="0.3">
      <c r="AN18705">
        <v>18701</v>
      </c>
      <c r="AO18705" s="11">
        <v>21671.88</v>
      </c>
      <c r="AP18705" s="9">
        <v>3.4337155250357059</v>
      </c>
    </row>
    <row r="18706" spans="40:42" x14ac:dyDescent="0.3">
      <c r="AN18706">
        <v>18702</v>
      </c>
      <c r="AO18706" s="11">
        <v>28212.13</v>
      </c>
      <c r="AP18706" s="9">
        <v>3.0037348298789484</v>
      </c>
    </row>
    <row r="18707" spans="40:42" x14ac:dyDescent="0.3">
      <c r="AN18707">
        <v>18703</v>
      </c>
      <c r="AO18707" s="11">
        <v>34370.31</v>
      </c>
      <c r="AP18707" s="9">
        <v>3.2922524988897046</v>
      </c>
    </row>
    <row r="18708" spans="40:42" x14ac:dyDescent="0.3">
      <c r="AN18708">
        <v>18704</v>
      </c>
      <c r="AO18708" s="11">
        <v>20936.79</v>
      </c>
      <c r="AP18708" s="9">
        <v>3.0393229518014757</v>
      </c>
    </row>
    <row r="18709" spans="40:42" x14ac:dyDescent="0.3">
      <c r="AN18709">
        <v>18705</v>
      </c>
      <c r="AO18709" s="11">
        <v>26297.53</v>
      </c>
      <c r="AP18709" s="9">
        <v>3.4081929979637113</v>
      </c>
    </row>
    <row r="18710" spans="40:42" x14ac:dyDescent="0.3">
      <c r="AN18710">
        <v>18706</v>
      </c>
      <c r="AO18710" s="11">
        <v>29168.13</v>
      </c>
      <c r="AP18710" s="9">
        <v>3.5562077361184703</v>
      </c>
    </row>
    <row r="18711" spans="40:42" x14ac:dyDescent="0.3">
      <c r="AN18711">
        <v>18707</v>
      </c>
      <c r="AO18711" s="11">
        <v>32811.49</v>
      </c>
      <c r="AP18711" s="9">
        <v>2.9797037660487318</v>
      </c>
    </row>
    <row r="18712" spans="40:42" x14ac:dyDescent="0.3">
      <c r="AN18712">
        <v>18708</v>
      </c>
      <c r="AO18712" s="11">
        <v>28202.06</v>
      </c>
      <c r="AP18712" s="9">
        <v>3.6935884520901876</v>
      </c>
    </row>
    <row r="18713" spans="40:42" x14ac:dyDescent="0.3">
      <c r="AN18713">
        <v>18709</v>
      </c>
      <c r="AO18713" s="11">
        <v>21131.77</v>
      </c>
      <c r="AP18713" s="9">
        <v>3.0001538327545418</v>
      </c>
    </row>
    <row r="18714" spans="40:42" x14ac:dyDescent="0.3">
      <c r="AN18714">
        <v>18710</v>
      </c>
      <c r="AO18714" s="11">
        <v>34233.360000000001</v>
      </c>
      <c r="AP18714" s="9">
        <v>3.4584884134324145</v>
      </c>
    </row>
    <row r="18715" spans="40:42" x14ac:dyDescent="0.3">
      <c r="AN18715">
        <v>18711</v>
      </c>
      <c r="AO18715" s="11">
        <v>31370.82</v>
      </c>
      <c r="AP18715" s="9">
        <v>3.2308304889882216</v>
      </c>
    </row>
    <row r="18716" spans="40:42" x14ac:dyDescent="0.3">
      <c r="AN18716">
        <v>18712</v>
      </c>
      <c r="AO18716" s="11">
        <v>35510.26</v>
      </c>
      <c r="AP18716" s="9">
        <v>3.3035607894626988</v>
      </c>
    </row>
    <row r="18717" spans="40:42" x14ac:dyDescent="0.3">
      <c r="AN18717">
        <v>18713</v>
      </c>
      <c r="AO18717" s="11">
        <v>24623.43</v>
      </c>
      <c r="AP18717" s="9">
        <v>3.2427624288250123</v>
      </c>
    </row>
    <row r="18718" spans="40:42" x14ac:dyDescent="0.3">
      <c r="AN18718">
        <v>18714</v>
      </c>
      <c r="AO18718" s="11">
        <v>33185.480000000003</v>
      </c>
      <c r="AP18718" s="9">
        <v>3.9144102783049433</v>
      </c>
    </row>
    <row r="18719" spans="40:42" x14ac:dyDescent="0.3">
      <c r="AN18719">
        <v>18715</v>
      </c>
      <c r="AO18719" s="11">
        <v>47411.1</v>
      </c>
      <c r="AP18719" s="9">
        <v>4.4570164758055979</v>
      </c>
    </row>
    <row r="18720" spans="40:42" x14ac:dyDescent="0.3">
      <c r="AN18720">
        <v>18716</v>
      </c>
      <c r="AO18720" s="11">
        <v>16864.330000000002</v>
      </c>
      <c r="AP18720" s="9">
        <v>3.4565226050751128</v>
      </c>
    </row>
    <row r="18721" spans="40:42" x14ac:dyDescent="0.3">
      <c r="AN18721">
        <v>18717</v>
      </c>
      <c r="AO18721" s="11">
        <v>19440.98</v>
      </c>
      <c r="AP18721" s="9">
        <v>2.5679472637013574</v>
      </c>
    </row>
    <row r="18722" spans="40:42" x14ac:dyDescent="0.3">
      <c r="AN18722">
        <v>18718</v>
      </c>
      <c r="AO18722" s="11">
        <v>16345.71</v>
      </c>
      <c r="AP18722" s="9">
        <v>4.1064823131097761</v>
      </c>
    </row>
    <row r="18723" spans="40:42" x14ac:dyDescent="0.3">
      <c r="AN18723">
        <v>18719</v>
      </c>
      <c r="AO18723" s="11">
        <v>28651.35</v>
      </c>
      <c r="AP18723" s="9">
        <v>2.8959612016040204</v>
      </c>
    </row>
    <row r="18724" spans="40:42" x14ac:dyDescent="0.3">
      <c r="AN18724">
        <v>18720</v>
      </c>
      <c r="AO18724" s="11">
        <v>28279.67</v>
      </c>
      <c r="AP18724" s="9">
        <v>3.0347843436005264</v>
      </c>
    </row>
    <row r="18725" spans="40:42" x14ac:dyDescent="0.3">
      <c r="AN18725">
        <v>18721</v>
      </c>
      <c r="AO18725" s="11">
        <v>13751.46</v>
      </c>
      <c r="AP18725" s="9">
        <v>2.60751077051337</v>
      </c>
    </row>
    <row r="18726" spans="40:42" x14ac:dyDescent="0.3">
      <c r="AN18726">
        <v>18722</v>
      </c>
      <c r="AO18726" s="11">
        <v>36928.550000000003</v>
      </c>
      <c r="AP18726" s="9">
        <v>3.6764673938555301</v>
      </c>
    </row>
    <row r="18727" spans="40:42" x14ac:dyDescent="0.3">
      <c r="AN18727">
        <v>18723</v>
      </c>
      <c r="AO18727" s="11">
        <v>29252.66</v>
      </c>
      <c r="AP18727" s="9">
        <v>3.3349876458983649</v>
      </c>
    </row>
    <row r="18728" spans="40:42" x14ac:dyDescent="0.3">
      <c r="AN18728">
        <v>18724</v>
      </c>
      <c r="AO18728" s="11">
        <v>22902.61</v>
      </c>
      <c r="AP18728" s="9">
        <v>3.4079287823759903</v>
      </c>
    </row>
    <row r="18729" spans="40:42" x14ac:dyDescent="0.3">
      <c r="AN18729">
        <v>18725</v>
      </c>
      <c r="AO18729" s="11">
        <v>42365.39</v>
      </c>
      <c r="AP18729" s="9">
        <v>3.3865044531452271</v>
      </c>
    </row>
    <row r="18730" spans="40:42" x14ac:dyDescent="0.3">
      <c r="AN18730">
        <v>18726</v>
      </c>
      <c r="AO18730" s="11">
        <v>24341.29</v>
      </c>
      <c r="AP18730" s="9">
        <v>2.9323186297049277</v>
      </c>
    </row>
    <row r="18731" spans="40:42" x14ac:dyDescent="0.3">
      <c r="AN18731">
        <v>18727</v>
      </c>
      <c r="AO18731" s="11">
        <v>31194.35</v>
      </c>
      <c r="AP18731" s="9">
        <v>3.0256121885518161</v>
      </c>
    </row>
    <row r="18732" spans="40:42" x14ac:dyDescent="0.3">
      <c r="AN18732">
        <v>18728</v>
      </c>
      <c r="AO18732" s="11">
        <v>23484.6</v>
      </c>
      <c r="AP18732" s="9">
        <v>2.9934856956326583</v>
      </c>
    </row>
    <row r="18733" spans="40:42" x14ac:dyDescent="0.3">
      <c r="AN18733">
        <v>18729</v>
      </c>
      <c r="AO18733" s="11">
        <v>27920.02</v>
      </c>
      <c r="AP18733" s="9">
        <v>3.3301787101844114</v>
      </c>
    </row>
    <row r="18734" spans="40:42" x14ac:dyDescent="0.3">
      <c r="AN18734">
        <v>18730</v>
      </c>
      <c r="AO18734" s="11">
        <v>26189.75</v>
      </c>
      <c r="AP18734" s="9">
        <v>3.3759113187628262</v>
      </c>
    </row>
    <row r="18735" spans="40:42" x14ac:dyDescent="0.3">
      <c r="AN18735">
        <v>18731</v>
      </c>
      <c r="AO18735" s="11">
        <v>35790.28</v>
      </c>
      <c r="AP18735" s="9">
        <v>3.6299563448206835</v>
      </c>
    </row>
    <row r="18736" spans="40:42" x14ac:dyDescent="0.3">
      <c r="AN18736">
        <v>18732</v>
      </c>
      <c r="AO18736" s="11">
        <v>26060.57</v>
      </c>
      <c r="AP18736" s="9">
        <v>3.2589762967459399</v>
      </c>
    </row>
    <row r="18737" spans="40:42" x14ac:dyDescent="0.3">
      <c r="AN18737">
        <v>18733</v>
      </c>
      <c r="AO18737" s="11">
        <v>27755.35</v>
      </c>
      <c r="AP18737" s="9">
        <v>3.5290457227434775</v>
      </c>
    </row>
    <row r="18738" spans="40:42" x14ac:dyDescent="0.3">
      <c r="AN18738">
        <v>18734</v>
      </c>
      <c r="AO18738" s="11">
        <v>22310.93</v>
      </c>
      <c r="AP18738" s="9">
        <v>3.9368624412276074</v>
      </c>
    </row>
    <row r="18739" spans="40:42" x14ac:dyDescent="0.3">
      <c r="AN18739">
        <v>18735</v>
      </c>
      <c r="AO18739" s="11">
        <v>35788.31</v>
      </c>
      <c r="AP18739" s="9">
        <v>3.3399199233927765</v>
      </c>
    </row>
    <row r="18740" spans="40:42" x14ac:dyDescent="0.3">
      <c r="AN18740">
        <v>18736</v>
      </c>
      <c r="AO18740" s="11">
        <v>20659.64</v>
      </c>
      <c r="AP18740" s="9">
        <v>3.1748969815133181</v>
      </c>
    </row>
    <row r="18741" spans="40:42" x14ac:dyDescent="0.3">
      <c r="AN18741">
        <v>18737</v>
      </c>
      <c r="AO18741" s="11">
        <v>21757.27</v>
      </c>
      <c r="AP18741" s="9">
        <v>2.7262246976500619</v>
      </c>
    </row>
    <row r="18742" spans="40:42" x14ac:dyDescent="0.3">
      <c r="AN18742">
        <v>18738</v>
      </c>
      <c r="AO18742" s="11">
        <v>31219.97</v>
      </c>
      <c r="AP18742" s="9">
        <v>3.8185794225467067</v>
      </c>
    </row>
    <row r="18743" spans="40:42" x14ac:dyDescent="0.3">
      <c r="AN18743">
        <v>18739</v>
      </c>
      <c r="AO18743" s="11">
        <v>26073.24</v>
      </c>
      <c r="AP18743" s="9">
        <v>3.1629438680676505</v>
      </c>
    </row>
    <row r="18744" spans="40:42" x14ac:dyDescent="0.3">
      <c r="AN18744">
        <v>18740</v>
      </c>
      <c r="AO18744" s="11">
        <v>26274.14</v>
      </c>
      <c r="AP18744" s="9">
        <v>3.4846514835516738</v>
      </c>
    </row>
    <row r="18745" spans="40:42" x14ac:dyDescent="0.3">
      <c r="AN18745">
        <v>18741</v>
      </c>
      <c r="AO18745" s="11">
        <v>30016.47</v>
      </c>
      <c r="AP18745" s="9">
        <v>3.0258868024694001</v>
      </c>
    </row>
    <row r="18746" spans="40:42" x14ac:dyDescent="0.3">
      <c r="AN18746">
        <v>18742</v>
      </c>
      <c r="AO18746" s="11">
        <v>35541.67</v>
      </c>
      <c r="AP18746" s="9">
        <v>3.4409176287858068</v>
      </c>
    </row>
    <row r="18747" spans="40:42" x14ac:dyDescent="0.3">
      <c r="AN18747">
        <v>18743</v>
      </c>
      <c r="AO18747" s="11">
        <v>31862.67</v>
      </c>
      <c r="AP18747" s="9">
        <v>3.3539425056762551</v>
      </c>
    </row>
    <row r="18748" spans="40:42" x14ac:dyDescent="0.3">
      <c r="AN18748">
        <v>18744</v>
      </c>
      <c r="AO18748" s="11">
        <v>23639.89</v>
      </c>
      <c r="AP18748" s="9">
        <v>4.3619987516784882</v>
      </c>
    </row>
    <row r="18749" spans="40:42" x14ac:dyDescent="0.3">
      <c r="AN18749">
        <v>18745</v>
      </c>
      <c r="AO18749" s="11">
        <v>16229.33</v>
      </c>
      <c r="AP18749" s="9">
        <v>3.3456140681060664</v>
      </c>
    </row>
    <row r="18750" spans="40:42" x14ac:dyDescent="0.3">
      <c r="AN18750">
        <v>18746</v>
      </c>
      <c r="AO18750" s="11">
        <v>30216.04</v>
      </c>
      <c r="AP18750" s="9">
        <v>2.8537768091127824</v>
      </c>
    </row>
    <row r="18751" spans="40:42" x14ac:dyDescent="0.3">
      <c r="AN18751">
        <v>18747</v>
      </c>
      <c r="AO18751" s="11">
        <v>37883.9</v>
      </c>
      <c r="AP18751" s="9">
        <v>4.1325490556826798</v>
      </c>
    </row>
    <row r="18752" spans="40:42" x14ac:dyDescent="0.3">
      <c r="AN18752">
        <v>18748</v>
      </c>
      <c r="AO18752" s="11">
        <v>18667.48</v>
      </c>
      <c r="AP18752" s="9">
        <v>3.5645475514758478</v>
      </c>
    </row>
    <row r="18753" spans="40:42" x14ac:dyDescent="0.3">
      <c r="AN18753">
        <v>18749</v>
      </c>
      <c r="AO18753" s="11">
        <v>22266.560000000001</v>
      </c>
      <c r="AP18753" s="9">
        <v>3.3308563040008696</v>
      </c>
    </row>
    <row r="18754" spans="40:42" x14ac:dyDescent="0.3">
      <c r="AN18754">
        <v>18750</v>
      </c>
      <c r="AO18754" s="11">
        <v>37776.54</v>
      </c>
      <c r="AP18754" s="9">
        <v>3.4842765528613278</v>
      </c>
    </row>
    <row r="18755" spans="40:42" x14ac:dyDescent="0.3">
      <c r="AN18755">
        <v>18751</v>
      </c>
      <c r="AO18755" s="11">
        <v>40810.06</v>
      </c>
      <c r="AP18755" s="9">
        <v>3.638383459960369</v>
      </c>
    </row>
    <row r="18756" spans="40:42" x14ac:dyDescent="0.3">
      <c r="AN18756">
        <v>18752</v>
      </c>
      <c r="AO18756" s="11">
        <v>42905.81</v>
      </c>
      <c r="AP18756" s="9">
        <v>3.7487002178417637</v>
      </c>
    </row>
    <row r="18757" spans="40:42" x14ac:dyDescent="0.3">
      <c r="AN18757">
        <v>18753</v>
      </c>
      <c r="AO18757" s="11">
        <v>22993.4</v>
      </c>
      <c r="AP18757" s="9">
        <v>3.1464351503328771</v>
      </c>
    </row>
    <row r="18758" spans="40:42" x14ac:dyDescent="0.3">
      <c r="AN18758">
        <v>18754</v>
      </c>
      <c r="AO18758" s="11">
        <v>29107.38</v>
      </c>
      <c r="AP18758" s="9">
        <v>3.3505728355846096</v>
      </c>
    </row>
    <row r="18759" spans="40:42" x14ac:dyDescent="0.3">
      <c r="AN18759">
        <v>18755</v>
      </c>
      <c r="AO18759" s="11">
        <v>18537.71</v>
      </c>
      <c r="AP18759" s="9">
        <v>3.4296508815190281</v>
      </c>
    </row>
    <row r="18760" spans="40:42" x14ac:dyDescent="0.3">
      <c r="AN18760">
        <v>18756</v>
      </c>
      <c r="AO18760" s="11">
        <v>24053.05</v>
      </c>
      <c r="AP18760" s="9">
        <v>3.5807889985691492</v>
      </c>
    </row>
    <row r="18761" spans="40:42" x14ac:dyDescent="0.3">
      <c r="AN18761">
        <v>18757</v>
      </c>
      <c r="AO18761" s="11">
        <v>17583.75</v>
      </c>
      <c r="AP18761" s="9">
        <v>3.1634225828379052</v>
      </c>
    </row>
    <row r="18762" spans="40:42" x14ac:dyDescent="0.3">
      <c r="AN18762">
        <v>18758</v>
      </c>
      <c r="AO18762" s="11">
        <v>22205.71</v>
      </c>
      <c r="AP18762" s="9">
        <v>3.7558665002445997</v>
      </c>
    </row>
    <row r="18763" spans="40:42" x14ac:dyDescent="0.3">
      <c r="AN18763">
        <v>18759</v>
      </c>
      <c r="AO18763" s="11">
        <v>25369.86</v>
      </c>
      <c r="AP18763" s="9">
        <v>3.3252997337286234</v>
      </c>
    </row>
    <row r="18764" spans="40:42" x14ac:dyDescent="0.3">
      <c r="AN18764">
        <v>18760</v>
      </c>
      <c r="AO18764" s="11">
        <v>16746.95</v>
      </c>
      <c r="AP18764" s="9">
        <v>2.9688327167621256</v>
      </c>
    </row>
    <row r="18765" spans="40:42" x14ac:dyDescent="0.3">
      <c r="AN18765">
        <v>18761</v>
      </c>
      <c r="AO18765" s="11">
        <v>23847.9</v>
      </c>
      <c r="AP18765" s="9">
        <v>3.4840618359386633</v>
      </c>
    </row>
    <row r="18766" spans="40:42" x14ac:dyDescent="0.3">
      <c r="AN18766">
        <v>18762</v>
      </c>
      <c r="AO18766" s="11">
        <v>18175.330000000002</v>
      </c>
      <c r="AP18766" s="9">
        <v>2.8764154702553513</v>
      </c>
    </row>
    <row r="18767" spans="40:42" x14ac:dyDescent="0.3">
      <c r="AN18767">
        <v>18763</v>
      </c>
      <c r="AO18767" s="11">
        <v>24814.32</v>
      </c>
      <c r="AP18767" s="9">
        <v>3.7511702210331759</v>
      </c>
    </row>
    <row r="18768" spans="40:42" x14ac:dyDescent="0.3">
      <c r="AN18768">
        <v>18764</v>
      </c>
      <c r="AO18768" s="11">
        <v>38769.620000000003</v>
      </c>
      <c r="AP18768" s="9">
        <v>3.4968544354932205</v>
      </c>
    </row>
    <row r="18769" spans="40:42" x14ac:dyDescent="0.3">
      <c r="AN18769">
        <v>18765</v>
      </c>
      <c r="AO18769" s="11">
        <v>31776.34</v>
      </c>
      <c r="AP18769" s="9">
        <v>3.5267445548442304</v>
      </c>
    </row>
    <row r="18770" spans="40:42" x14ac:dyDescent="0.3">
      <c r="AN18770">
        <v>18766</v>
      </c>
      <c r="AO18770" s="11">
        <v>21516.639999999999</v>
      </c>
      <c r="AP18770" s="9">
        <v>3.245851635247567</v>
      </c>
    </row>
    <row r="18771" spans="40:42" x14ac:dyDescent="0.3">
      <c r="AN18771">
        <v>18767</v>
      </c>
      <c r="AO18771" s="11">
        <v>30834.21</v>
      </c>
      <c r="AP18771" s="9">
        <v>3.0598745802261598</v>
      </c>
    </row>
    <row r="18772" spans="40:42" x14ac:dyDescent="0.3">
      <c r="AN18772">
        <v>18768</v>
      </c>
      <c r="AO18772" s="11">
        <v>17503.72</v>
      </c>
      <c r="AP18772" s="9">
        <v>3.5992823384090307</v>
      </c>
    </row>
    <row r="18773" spans="40:42" x14ac:dyDescent="0.3">
      <c r="AN18773">
        <v>18769</v>
      </c>
      <c r="AO18773" s="11">
        <v>22633.98</v>
      </c>
      <c r="AP18773" s="9">
        <v>3.8378508242840899</v>
      </c>
    </row>
    <row r="18774" spans="40:42" x14ac:dyDescent="0.3">
      <c r="AN18774">
        <v>18770</v>
      </c>
      <c r="AO18774" s="11">
        <v>18027.66</v>
      </c>
      <c r="AP18774" s="9">
        <v>3.9178147411001558</v>
      </c>
    </row>
    <row r="18775" spans="40:42" x14ac:dyDescent="0.3">
      <c r="AN18775">
        <v>18771</v>
      </c>
      <c r="AO18775" s="11">
        <v>24881.1</v>
      </c>
      <c r="AP18775" s="9">
        <v>3.5632826055707092</v>
      </c>
    </row>
    <row r="18776" spans="40:42" x14ac:dyDescent="0.3">
      <c r="AN18776">
        <v>18772</v>
      </c>
      <c r="AO18776" s="11">
        <v>36413.49</v>
      </c>
      <c r="AP18776" s="9">
        <v>3.3818975265757039</v>
      </c>
    </row>
    <row r="18777" spans="40:42" x14ac:dyDescent="0.3">
      <c r="AN18777">
        <v>18773</v>
      </c>
      <c r="AO18777" s="11">
        <v>20133.88</v>
      </c>
      <c r="AP18777" s="9">
        <v>3.2198476905963394</v>
      </c>
    </row>
    <row r="18778" spans="40:42" x14ac:dyDescent="0.3">
      <c r="AN18778">
        <v>18774</v>
      </c>
      <c r="AO18778" s="11">
        <v>23184.21</v>
      </c>
      <c r="AP18778" s="9">
        <v>3.3866892895335052</v>
      </c>
    </row>
    <row r="18779" spans="40:42" x14ac:dyDescent="0.3">
      <c r="AN18779">
        <v>18775</v>
      </c>
      <c r="AO18779" s="11">
        <v>20652.05</v>
      </c>
      <c r="AP18779" s="9">
        <v>3.4245850057429346</v>
      </c>
    </row>
    <row r="18780" spans="40:42" x14ac:dyDescent="0.3">
      <c r="AN18780">
        <v>18776</v>
      </c>
      <c r="AO18780" s="11">
        <v>25112.76</v>
      </c>
      <c r="AP18780" s="9">
        <v>3.2078452549588001</v>
      </c>
    </row>
    <row r="18781" spans="40:42" x14ac:dyDescent="0.3">
      <c r="AN18781">
        <v>18777</v>
      </c>
      <c r="AO18781" s="11">
        <v>43382.25</v>
      </c>
      <c r="AP18781" s="9">
        <v>3.5306203745522917</v>
      </c>
    </row>
    <row r="18782" spans="40:42" x14ac:dyDescent="0.3">
      <c r="AN18782">
        <v>18778</v>
      </c>
      <c r="AO18782" s="11">
        <v>27111.37</v>
      </c>
      <c r="AP18782" s="9">
        <v>3.2455988332277701</v>
      </c>
    </row>
    <row r="18783" spans="40:42" x14ac:dyDescent="0.3">
      <c r="AN18783">
        <v>18779</v>
      </c>
      <c r="AO18783" s="11">
        <v>29157.84</v>
      </c>
      <c r="AP18783" s="9">
        <v>2.9722795503009425</v>
      </c>
    </row>
    <row r="18784" spans="40:42" x14ac:dyDescent="0.3">
      <c r="AN18784">
        <v>18780</v>
      </c>
      <c r="AO18784" s="11">
        <v>23087.25</v>
      </c>
      <c r="AP18784" s="9">
        <v>3.5047311704103743</v>
      </c>
    </row>
    <row r="18785" spans="40:42" x14ac:dyDescent="0.3">
      <c r="AN18785">
        <v>18781</v>
      </c>
      <c r="AO18785" s="11">
        <v>20913.91</v>
      </c>
      <c r="AP18785" s="9">
        <v>3.8020019569645109</v>
      </c>
    </row>
    <row r="18786" spans="40:42" x14ac:dyDescent="0.3">
      <c r="AN18786">
        <v>18782</v>
      </c>
      <c r="AO18786" s="11">
        <v>28573.52</v>
      </c>
      <c r="AP18786" s="9">
        <v>3.6705926383115646</v>
      </c>
    </row>
    <row r="18787" spans="40:42" x14ac:dyDescent="0.3">
      <c r="AN18787">
        <v>18783</v>
      </c>
      <c r="AO18787" s="11">
        <v>21635.52</v>
      </c>
      <c r="AP18787" s="9">
        <v>3.0977407897759921</v>
      </c>
    </row>
    <row r="18788" spans="40:42" x14ac:dyDescent="0.3">
      <c r="AN18788">
        <v>18784</v>
      </c>
      <c r="AO18788" s="11">
        <v>25211.55</v>
      </c>
      <c r="AP18788" s="9">
        <v>3.3325773117541218</v>
      </c>
    </row>
    <row r="18789" spans="40:42" x14ac:dyDescent="0.3">
      <c r="AN18789">
        <v>18785</v>
      </c>
      <c r="AO18789" s="11">
        <v>27485.31</v>
      </c>
      <c r="AP18789" s="9">
        <v>3.3366019439546255</v>
      </c>
    </row>
    <row r="18790" spans="40:42" x14ac:dyDescent="0.3">
      <c r="AN18790">
        <v>18786</v>
      </c>
      <c r="AO18790" s="11">
        <v>25409.040000000001</v>
      </c>
      <c r="AP18790" s="9">
        <v>3.1855034115697061</v>
      </c>
    </row>
    <row r="18791" spans="40:42" x14ac:dyDescent="0.3">
      <c r="AN18791">
        <v>18787</v>
      </c>
      <c r="AO18791" s="11">
        <v>24808.720000000001</v>
      </c>
      <c r="AP18791" s="9">
        <v>3.7637722657379733</v>
      </c>
    </row>
    <row r="18792" spans="40:42" x14ac:dyDescent="0.3">
      <c r="AN18792">
        <v>18788</v>
      </c>
      <c r="AO18792" s="11">
        <v>29228.89</v>
      </c>
      <c r="AP18792" s="9">
        <v>3.5410542013498207</v>
      </c>
    </row>
    <row r="18793" spans="40:42" x14ac:dyDescent="0.3">
      <c r="AN18793">
        <v>18789</v>
      </c>
      <c r="AO18793" s="11">
        <v>31015.83</v>
      </c>
      <c r="AP18793" s="9">
        <v>3.3220517986811005</v>
      </c>
    </row>
    <row r="18794" spans="40:42" x14ac:dyDescent="0.3">
      <c r="AN18794">
        <v>18790</v>
      </c>
      <c r="AO18794" s="11">
        <v>24993.75</v>
      </c>
      <c r="AP18794" s="9">
        <v>3.9577344104788321</v>
      </c>
    </row>
    <row r="18795" spans="40:42" x14ac:dyDescent="0.3">
      <c r="AN18795">
        <v>18791</v>
      </c>
      <c r="AO18795" s="11">
        <v>33249.760000000002</v>
      </c>
      <c r="AP18795" s="9">
        <v>3.8195160425636638</v>
      </c>
    </row>
    <row r="18796" spans="40:42" x14ac:dyDescent="0.3">
      <c r="AN18796">
        <v>18792</v>
      </c>
      <c r="AO18796" s="11">
        <v>34645.120000000003</v>
      </c>
      <c r="AP18796" s="9">
        <v>2.8720844256056619</v>
      </c>
    </row>
    <row r="18797" spans="40:42" x14ac:dyDescent="0.3">
      <c r="AN18797">
        <v>18793</v>
      </c>
      <c r="AO18797" s="11">
        <v>32493.95</v>
      </c>
      <c r="AP18797" s="9">
        <v>3.5653444900126567</v>
      </c>
    </row>
    <row r="18798" spans="40:42" x14ac:dyDescent="0.3">
      <c r="AN18798">
        <v>18794</v>
      </c>
      <c r="AO18798" s="11">
        <v>26278.71</v>
      </c>
      <c r="AP18798" s="9">
        <v>3.1009608504830557</v>
      </c>
    </row>
    <row r="18799" spans="40:42" x14ac:dyDescent="0.3">
      <c r="AN18799">
        <v>18795</v>
      </c>
      <c r="AO18799" s="11">
        <v>12517.15</v>
      </c>
      <c r="AP18799" s="9">
        <v>3.81450797257606</v>
      </c>
    </row>
    <row r="18800" spans="40:42" x14ac:dyDescent="0.3">
      <c r="AN18800">
        <v>18796</v>
      </c>
      <c r="AO18800" s="11">
        <v>33070.959999999999</v>
      </c>
      <c r="AP18800" s="9">
        <v>3.80896171887803</v>
      </c>
    </row>
    <row r="18801" spans="40:42" x14ac:dyDescent="0.3">
      <c r="AN18801">
        <v>18797</v>
      </c>
      <c r="AO18801" s="11">
        <v>21359.3</v>
      </c>
      <c r="AP18801" s="9">
        <v>3.1542858596024659</v>
      </c>
    </row>
    <row r="18802" spans="40:42" x14ac:dyDescent="0.3">
      <c r="AN18802">
        <v>18798</v>
      </c>
      <c r="AO18802" s="11">
        <v>23850.080000000002</v>
      </c>
      <c r="AP18802" s="9">
        <v>3.4127840211316212</v>
      </c>
    </row>
    <row r="18803" spans="40:42" x14ac:dyDescent="0.3">
      <c r="AN18803">
        <v>18799</v>
      </c>
      <c r="AO18803" s="11">
        <v>26493.32</v>
      </c>
      <c r="AP18803" s="9">
        <v>3.4316138382341239</v>
      </c>
    </row>
    <row r="18804" spans="40:42" x14ac:dyDescent="0.3">
      <c r="AN18804">
        <v>18800</v>
      </c>
      <c r="AO18804" s="11">
        <v>26700.37</v>
      </c>
      <c r="AP18804" s="9">
        <v>3.5779417813474277</v>
      </c>
    </row>
    <row r="18805" spans="40:42" x14ac:dyDescent="0.3">
      <c r="AN18805">
        <v>18801</v>
      </c>
      <c r="AO18805" s="11">
        <v>24377.51</v>
      </c>
      <c r="AP18805" s="9">
        <v>3.3401359829126349</v>
      </c>
    </row>
    <row r="18806" spans="40:42" x14ac:dyDescent="0.3">
      <c r="AN18806">
        <v>18802</v>
      </c>
      <c r="AO18806" s="11">
        <v>24005.360000000001</v>
      </c>
      <c r="AP18806" s="9">
        <v>3.829452543122799</v>
      </c>
    </row>
    <row r="18807" spans="40:42" x14ac:dyDescent="0.3">
      <c r="AN18807">
        <v>18803</v>
      </c>
      <c r="AO18807" s="11">
        <v>35669.040000000001</v>
      </c>
      <c r="AP18807" s="9">
        <v>4.1141696450978298</v>
      </c>
    </row>
    <row r="18808" spans="40:42" x14ac:dyDescent="0.3">
      <c r="AN18808">
        <v>18804</v>
      </c>
      <c r="AO18808" s="11">
        <v>22141.72</v>
      </c>
      <c r="AP18808" s="9">
        <v>3.1154997998846268</v>
      </c>
    </row>
    <row r="18809" spans="40:42" x14ac:dyDescent="0.3">
      <c r="AN18809">
        <v>18805</v>
      </c>
      <c r="AO18809" s="11">
        <v>30046.52</v>
      </c>
      <c r="AP18809" s="9">
        <v>3.6208900876737959</v>
      </c>
    </row>
    <row r="18810" spans="40:42" x14ac:dyDescent="0.3">
      <c r="AN18810">
        <v>18806</v>
      </c>
      <c r="AO18810" s="11">
        <v>24874.57</v>
      </c>
      <c r="AP18810" s="9">
        <v>3.8616684843965294</v>
      </c>
    </row>
    <row r="18811" spans="40:42" x14ac:dyDescent="0.3">
      <c r="AN18811">
        <v>18807</v>
      </c>
      <c r="AO18811" s="11">
        <v>21555.26</v>
      </c>
      <c r="AP18811" s="9">
        <v>2.8435615773052545</v>
      </c>
    </row>
    <row r="18812" spans="40:42" x14ac:dyDescent="0.3">
      <c r="AN18812">
        <v>18808</v>
      </c>
      <c r="AO18812" s="11">
        <v>21263</v>
      </c>
      <c r="AP18812" s="9">
        <v>2.9070414570480172</v>
      </c>
    </row>
    <row r="18813" spans="40:42" x14ac:dyDescent="0.3">
      <c r="AN18813">
        <v>18809</v>
      </c>
      <c r="AO18813" s="11">
        <v>34423.65</v>
      </c>
      <c r="AP18813" s="9">
        <v>3.458071942308651</v>
      </c>
    </row>
    <row r="18814" spans="40:42" x14ac:dyDescent="0.3">
      <c r="AN18814">
        <v>18810</v>
      </c>
      <c r="AO18814" s="11">
        <v>38252.239999999998</v>
      </c>
      <c r="AP18814" s="9">
        <v>3.6817117360024523</v>
      </c>
    </row>
    <row r="18815" spans="40:42" x14ac:dyDescent="0.3">
      <c r="AN18815">
        <v>18811</v>
      </c>
      <c r="AO18815" s="11">
        <v>24884.02</v>
      </c>
      <c r="AP18815" s="9">
        <v>3.5345876711155371</v>
      </c>
    </row>
    <row r="18816" spans="40:42" x14ac:dyDescent="0.3">
      <c r="AN18816">
        <v>18812</v>
      </c>
      <c r="AO18816" s="11">
        <v>37089.360000000001</v>
      </c>
      <c r="AP18816" s="9">
        <v>2.9835442924918545</v>
      </c>
    </row>
    <row r="18817" spans="40:42" x14ac:dyDescent="0.3">
      <c r="AN18817">
        <v>18813</v>
      </c>
      <c r="AO18817" s="11">
        <v>12849.78</v>
      </c>
      <c r="AP18817" s="9">
        <v>3.3627301162755767</v>
      </c>
    </row>
    <row r="18818" spans="40:42" x14ac:dyDescent="0.3">
      <c r="AN18818">
        <v>18814</v>
      </c>
      <c r="AO18818" s="11">
        <v>32999.4</v>
      </c>
      <c r="AP18818" s="9">
        <v>3.3113945536557492</v>
      </c>
    </row>
    <row r="18819" spans="40:42" x14ac:dyDescent="0.3">
      <c r="AN18819">
        <v>18815</v>
      </c>
      <c r="AO18819" s="11">
        <v>16067.82</v>
      </c>
      <c r="AP18819" s="9">
        <v>2.8579567208149359</v>
      </c>
    </row>
    <row r="18820" spans="40:42" x14ac:dyDescent="0.3">
      <c r="AN18820">
        <v>18816</v>
      </c>
      <c r="AO18820" s="11">
        <v>25596.560000000001</v>
      </c>
      <c r="AP18820" s="9">
        <v>3.0363658003078937</v>
      </c>
    </row>
    <row r="18821" spans="40:42" x14ac:dyDescent="0.3">
      <c r="AN18821">
        <v>18817</v>
      </c>
      <c r="AO18821" s="11">
        <v>20323.34</v>
      </c>
      <c r="AP18821" s="9">
        <v>2.9529361409567723</v>
      </c>
    </row>
    <row r="18822" spans="40:42" x14ac:dyDescent="0.3">
      <c r="AN18822">
        <v>18818</v>
      </c>
      <c r="AO18822" s="11">
        <v>17752.830000000002</v>
      </c>
      <c r="AP18822" s="9">
        <v>2.751122180496969</v>
      </c>
    </row>
    <row r="18823" spans="40:42" x14ac:dyDescent="0.3">
      <c r="AN18823">
        <v>18819</v>
      </c>
      <c r="AO18823" s="11">
        <v>15206.73</v>
      </c>
      <c r="AP18823" s="9">
        <v>2.87952282652682</v>
      </c>
    </row>
    <row r="18824" spans="40:42" x14ac:dyDescent="0.3">
      <c r="AN18824">
        <v>18820</v>
      </c>
      <c r="AO18824" s="11">
        <v>29530.6</v>
      </c>
      <c r="AP18824" s="9">
        <v>3.4720868047003757</v>
      </c>
    </row>
    <row r="18825" spans="40:42" x14ac:dyDescent="0.3">
      <c r="AN18825">
        <v>18821</v>
      </c>
      <c r="AO18825" s="11">
        <v>28851.15</v>
      </c>
      <c r="AP18825" s="9">
        <v>3.593192216439395</v>
      </c>
    </row>
    <row r="18826" spans="40:42" x14ac:dyDescent="0.3">
      <c r="AN18826">
        <v>18822</v>
      </c>
      <c r="AO18826" s="11">
        <v>26972.19</v>
      </c>
      <c r="AP18826" s="9">
        <v>4.434776258214689</v>
      </c>
    </row>
    <row r="18827" spans="40:42" x14ac:dyDescent="0.3">
      <c r="AN18827">
        <v>18823</v>
      </c>
      <c r="AO18827" s="11">
        <v>17971.48</v>
      </c>
      <c r="AP18827" s="9">
        <v>2.89672808602608</v>
      </c>
    </row>
    <row r="18828" spans="40:42" x14ac:dyDescent="0.3">
      <c r="AN18828">
        <v>18824</v>
      </c>
      <c r="AO18828" s="11">
        <v>23097.43</v>
      </c>
      <c r="AP18828" s="9">
        <v>3.3606492098069691</v>
      </c>
    </row>
    <row r="18829" spans="40:42" x14ac:dyDescent="0.3">
      <c r="AN18829">
        <v>18825</v>
      </c>
      <c r="AO18829" s="11">
        <v>17625.77</v>
      </c>
      <c r="AP18829" s="9">
        <v>2.8102290085429407</v>
      </c>
    </row>
    <row r="18830" spans="40:42" x14ac:dyDescent="0.3">
      <c r="AN18830">
        <v>18826</v>
      </c>
      <c r="AO18830" s="11">
        <v>38428.61</v>
      </c>
      <c r="AP18830" s="9">
        <v>3.868465547010338</v>
      </c>
    </row>
    <row r="18831" spans="40:42" x14ac:dyDescent="0.3">
      <c r="AN18831">
        <v>18827</v>
      </c>
      <c r="AO18831" s="11">
        <v>18913.5</v>
      </c>
      <c r="AP18831" s="9">
        <v>3.0641876857608334</v>
      </c>
    </row>
    <row r="18832" spans="40:42" x14ac:dyDescent="0.3">
      <c r="AN18832">
        <v>18828</v>
      </c>
      <c r="AO18832" s="11">
        <v>17062.12</v>
      </c>
      <c r="AP18832" s="9">
        <v>3.0368291252881856</v>
      </c>
    </row>
    <row r="18833" spans="40:42" x14ac:dyDescent="0.3">
      <c r="AN18833">
        <v>18829</v>
      </c>
      <c r="AO18833" s="11">
        <v>22707.119999999999</v>
      </c>
      <c r="AP18833" s="9">
        <v>4.0227914048934093</v>
      </c>
    </row>
    <row r="18834" spans="40:42" x14ac:dyDescent="0.3">
      <c r="AN18834">
        <v>18830</v>
      </c>
      <c r="AO18834" s="11">
        <v>23605.119999999999</v>
      </c>
      <c r="AP18834" s="9">
        <v>3.2864852125706849</v>
      </c>
    </row>
    <row r="18835" spans="40:42" x14ac:dyDescent="0.3">
      <c r="AN18835">
        <v>18831</v>
      </c>
      <c r="AO18835" s="11">
        <v>27508.26</v>
      </c>
      <c r="AP18835" s="9">
        <v>3.8617806128266703</v>
      </c>
    </row>
    <row r="18836" spans="40:42" x14ac:dyDescent="0.3">
      <c r="AN18836">
        <v>18832</v>
      </c>
      <c r="AO18836" s="11">
        <v>36281.279999999999</v>
      </c>
      <c r="AP18836" s="9">
        <v>3.5414064751229821</v>
      </c>
    </row>
    <row r="18837" spans="40:42" x14ac:dyDescent="0.3">
      <c r="AN18837">
        <v>18833</v>
      </c>
      <c r="AO18837" s="11">
        <v>31538.81</v>
      </c>
      <c r="AP18837" s="9">
        <v>3.4731773883871848</v>
      </c>
    </row>
    <row r="18838" spans="40:42" x14ac:dyDescent="0.3">
      <c r="AN18838">
        <v>18834</v>
      </c>
      <c r="AO18838" s="11">
        <v>22712.82</v>
      </c>
      <c r="AP18838" s="9">
        <v>3.2522372420228414</v>
      </c>
    </row>
    <row r="18839" spans="40:42" x14ac:dyDescent="0.3">
      <c r="AN18839">
        <v>18835</v>
      </c>
      <c r="AO18839" s="11">
        <v>24897.51</v>
      </c>
      <c r="AP18839" s="9">
        <v>3.2982376679892056</v>
      </c>
    </row>
    <row r="18840" spans="40:42" x14ac:dyDescent="0.3">
      <c r="AN18840">
        <v>18836</v>
      </c>
      <c r="AO18840" s="11">
        <v>17895.72</v>
      </c>
      <c r="AP18840" s="9">
        <v>3.5077969464989343</v>
      </c>
    </row>
    <row r="18841" spans="40:42" x14ac:dyDescent="0.3">
      <c r="AN18841">
        <v>18837</v>
      </c>
      <c r="AO18841" s="11">
        <v>30639.48</v>
      </c>
      <c r="AP18841" s="9">
        <v>3.6053806800559443</v>
      </c>
    </row>
    <row r="18842" spans="40:42" x14ac:dyDescent="0.3">
      <c r="AN18842">
        <v>18838</v>
      </c>
      <c r="AO18842" s="11">
        <v>22151.1</v>
      </c>
      <c r="AP18842" s="9">
        <v>3.1215549744967581</v>
      </c>
    </row>
    <row r="18843" spans="40:42" x14ac:dyDescent="0.3">
      <c r="AN18843">
        <v>18839</v>
      </c>
      <c r="AO18843" s="11">
        <v>24290.31</v>
      </c>
      <c r="AP18843" s="9">
        <v>3.3497986075750124</v>
      </c>
    </row>
    <row r="18844" spans="40:42" x14ac:dyDescent="0.3">
      <c r="AN18844">
        <v>18840</v>
      </c>
      <c r="AO18844" s="11">
        <v>30369.040000000001</v>
      </c>
      <c r="AP18844" s="9">
        <v>3.0442380927511747</v>
      </c>
    </row>
    <row r="18845" spans="40:42" x14ac:dyDescent="0.3">
      <c r="AN18845">
        <v>18841</v>
      </c>
      <c r="AO18845" s="11">
        <v>20639.47</v>
      </c>
      <c r="AP18845" s="9">
        <v>3.2632436072626101</v>
      </c>
    </row>
    <row r="18846" spans="40:42" x14ac:dyDescent="0.3">
      <c r="AN18846">
        <v>18842</v>
      </c>
      <c r="AO18846" s="11">
        <v>29374.73</v>
      </c>
      <c r="AP18846" s="9">
        <v>3.7646428456030385</v>
      </c>
    </row>
    <row r="18847" spans="40:42" x14ac:dyDescent="0.3">
      <c r="AN18847">
        <v>18843</v>
      </c>
      <c r="AO18847" s="11">
        <v>17196.03</v>
      </c>
      <c r="AP18847" s="9">
        <v>3.1161881641103255</v>
      </c>
    </row>
    <row r="18848" spans="40:42" x14ac:dyDescent="0.3">
      <c r="AN18848">
        <v>18844</v>
      </c>
      <c r="AO18848" s="11">
        <v>26714.77</v>
      </c>
      <c r="AP18848" s="9">
        <v>3.3055459469607706</v>
      </c>
    </row>
    <row r="18849" spans="40:42" x14ac:dyDescent="0.3">
      <c r="AN18849">
        <v>18845</v>
      </c>
      <c r="AO18849" s="11">
        <v>17341.88</v>
      </c>
      <c r="AP18849" s="9">
        <v>2.923678678131103</v>
      </c>
    </row>
    <row r="18850" spans="40:42" x14ac:dyDescent="0.3">
      <c r="AN18850">
        <v>18846</v>
      </c>
      <c r="AO18850" s="11">
        <v>21486.93</v>
      </c>
      <c r="AP18850" s="9">
        <v>3.0084443335307398</v>
      </c>
    </row>
    <row r="18851" spans="40:42" x14ac:dyDescent="0.3">
      <c r="AN18851">
        <v>18847</v>
      </c>
      <c r="AO18851" s="11">
        <v>19546.48</v>
      </c>
      <c r="AP18851" s="9">
        <v>3.3703846143206766</v>
      </c>
    </row>
    <row r="18852" spans="40:42" x14ac:dyDescent="0.3">
      <c r="AN18852">
        <v>18848</v>
      </c>
      <c r="AO18852" s="11">
        <v>20644.64</v>
      </c>
      <c r="AP18852" s="9">
        <v>3.2756965737783283</v>
      </c>
    </row>
    <row r="18853" spans="40:42" x14ac:dyDescent="0.3">
      <c r="AN18853">
        <v>18849</v>
      </c>
      <c r="AO18853" s="11">
        <v>29900.61</v>
      </c>
      <c r="AP18853" s="9">
        <v>4.1202209475034897</v>
      </c>
    </row>
    <row r="18854" spans="40:42" x14ac:dyDescent="0.3">
      <c r="AN18854">
        <v>18850</v>
      </c>
      <c r="AO18854" s="11">
        <v>29911.78</v>
      </c>
      <c r="AP18854" s="9">
        <v>3.2748905072187946</v>
      </c>
    </row>
    <row r="18855" spans="40:42" x14ac:dyDescent="0.3">
      <c r="AN18855">
        <v>18851</v>
      </c>
      <c r="AO18855" s="11">
        <v>34705.86</v>
      </c>
      <c r="AP18855" s="9">
        <v>3.3779382206990918</v>
      </c>
    </row>
    <row r="18856" spans="40:42" x14ac:dyDescent="0.3">
      <c r="AN18856">
        <v>18852</v>
      </c>
      <c r="AO18856" s="11">
        <v>27318.01</v>
      </c>
      <c r="AP18856" s="9">
        <v>2.7558677639482485</v>
      </c>
    </row>
    <row r="18857" spans="40:42" x14ac:dyDescent="0.3">
      <c r="AN18857">
        <v>18853</v>
      </c>
      <c r="AO18857" s="11">
        <v>27002</v>
      </c>
      <c r="AP18857" s="9">
        <v>2.8501422183060079</v>
      </c>
    </row>
    <row r="18858" spans="40:42" x14ac:dyDescent="0.3">
      <c r="AN18858">
        <v>18854</v>
      </c>
      <c r="AO18858" s="11">
        <v>27378.7</v>
      </c>
      <c r="AP18858" s="9">
        <v>3.0130701287450048</v>
      </c>
    </row>
    <row r="18859" spans="40:42" x14ac:dyDescent="0.3">
      <c r="AN18859">
        <v>18855</v>
      </c>
      <c r="AO18859" s="11">
        <v>21282.93</v>
      </c>
      <c r="AP18859" s="9">
        <v>4.0119064526251069</v>
      </c>
    </row>
    <row r="18860" spans="40:42" x14ac:dyDescent="0.3">
      <c r="AN18860">
        <v>18856</v>
      </c>
      <c r="AO18860" s="11">
        <v>35443.78</v>
      </c>
      <c r="AP18860" s="9">
        <v>3.8175630914646193</v>
      </c>
    </row>
    <row r="18861" spans="40:42" x14ac:dyDescent="0.3">
      <c r="AN18861">
        <v>18857</v>
      </c>
      <c r="AO18861" s="11">
        <v>35725.22</v>
      </c>
      <c r="AP18861" s="9">
        <v>4.2036088739127484</v>
      </c>
    </row>
    <row r="18862" spans="40:42" x14ac:dyDescent="0.3">
      <c r="AN18862">
        <v>18858</v>
      </c>
      <c r="AO18862" s="11">
        <v>25077.35</v>
      </c>
      <c r="AP18862" s="9">
        <v>3.3100477143031957</v>
      </c>
    </row>
    <row r="18863" spans="40:42" x14ac:dyDescent="0.3">
      <c r="AN18863">
        <v>18859</v>
      </c>
      <c r="AO18863" s="11">
        <v>23902.54</v>
      </c>
      <c r="AP18863" s="9">
        <v>3.5510861498405313</v>
      </c>
    </row>
    <row r="18864" spans="40:42" x14ac:dyDescent="0.3">
      <c r="AN18864">
        <v>18860</v>
      </c>
      <c r="AO18864" s="11">
        <v>35224.58</v>
      </c>
      <c r="AP18864" s="9">
        <v>3.8482125152613507</v>
      </c>
    </row>
    <row r="18865" spans="40:42" x14ac:dyDescent="0.3">
      <c r="AN18865">
        <v>18861</v>
      </c>
      <c r="AO18865" s="11">
        <v>25078.45</v>
      </c>
      <c r="AP18865" s="9">
        <v>2.5736326970658006</v>
      </c>
    </row>
    <row r="18866" spans="40:42" x14ac:dyDescent="0.3">
      <c r="AN18866">
        <v>18862</v>
      </c>
      <c r="AO18866" s="11">
        <v>24882.58</v>
      </c>
      <c r="AP18866" s="9">
        <v>2.8653454771729376</v>
      </c>
    </row>
    <row r="18867" spans="40:42" x14ac:dyDescent="0.3">
      <c r="AN18867">
        <v>18863</v>
      </c>
      <c r="AO18867" s="11">
        <v>24188.799999999999</v>
      </c>
      <c r="AP18867" s="9">
        <v>3.0622887406155668</v>
      </c>
    </row>
    <row r="18868" spans="40:42" x14ac:dyDescent="0.3">
      <c r="AN18868">
        <v>18864</v>
      </c>
      <c r="AO18868" s="11">
        <v>21121.68</v>
      </c>
      <c r="AP18868" s="9">
        <v>3.5304156935628352</v>
      </c>
    </row>
    <row r="18869" spans="40:42" x14ac:dyDescent="0.3">
      <c r="AN18869">
        <v>18865</v>
      </c>
      <c r="AO18869" s="11">
        <v>22453.49</v>
      </c>
      <c r="AP18869" s="9">
        <v>3.4326884204546739</v>
      </c>
    </row>
    <row r="18870" spans="40:42" x14ac:dyDescent="0.3">
      <c r="AN18870">
        <v>18866</v>
      </c>
      <c r="AO18870" s="11">
        <v>44266.32</v>
      </c>
      <c r="AP18870" s="9">
        <v>3.6231330289837822</v>
      </c>
    </row>
    <row r="18871" spans="40:42" x14ac:dyDescent="0.3">
      <c r="AN18871">
        <v>18867</v>
      </c>
      <c r="AO18871" s="11">
        <v>29131.47</v>
      </c>
      <c r="AP18871" s="9">
        <v>3.2748866056098689</v>
      </c>
    </row>
    <row r="18872" spans="40:42" x14ac:dyDescent="0.3">
      <c r="AN18872">
        <v>18868</v>
      </c>
      <c r="AO18872" s="11">
        <v>25059.23</v>
      </c>
      <c r="AP18872" s="9">
        <v>3.7925359132913092</v>
      </c>
    </row>
    <row r="18873" spans="40:42" x14ac:dyDescent="0.3">
      <c r="AN18873">
        <v>18869</v>
      </c>
      <c r="AO18873" s="11">
        <v>27929.65</v>
      </c>
      <c r="AP18873" s="9">
        <v>2.9465288166865866</v>
      </c>
    </row>
    <row r="18874" spans="40:42" x14ac:dyDescent="0.3">
      <c r="AN18874">
        <v>18870</v>
      </c>
      <c r="AO18874" s="11">
        <v>28796.43</v>
      </c>
      <c r="AP18874" s="9">
        <v>3.4232804762370406</v>
      </c>
    </row>
    <row r="18875" spans="40:42" x14ac:dyDescent="0.3">
      <c r="AN18875">
        <v>18871</v>
      </c>
      <c r="AO18875" s="11">
        <v>28769.18</v>
      </c>
      <c r="AP18875" s="9">
        <v>3.3270464407820959</v>
      </c>
    </row>
    <row r="18876" spans="40:42" x14ac:dyDescent="0.3">
      <c r="AN18876">
        <v>18872</v>
      </c>
      <c r="AO18876" s="11">
        <v>21033.18</v>
      </c>
      <c r="AP18876" s="9">
        <v>3.55178461982119</v>
      </c>
    </row>
    <row r="18877" spans="40:42" x14ac:dyDescent="0.3">
      <c r="AN18877">
        <v>18873</v>
      </c>
      <c r="AO18877" s="11">
        <v>27742.78</v>
      </c>
      <c r="AP18877" s="9">
        <v>3.2004808264483144</v>
      </c>
    </row>
    <row r="18878" spans="40:42" x14ac:dyDescent="0.3">
      <c r="AN18878">
        <v>18874</v>
      </c>
      <c r="AO18878" s="11">
        <v>37860.49</v>
      </c>
      <c r="AP18878" s="9">
        <v>3.7595517581137066</v>
      </c>
    </row>
    <row r="18879" spans="40:42" x14ac:dyDescent="0.3">
      <c r="AN18879">
        <v>18875</v>
      </c>
      <c r="AO18879" s="11">
        <v>25712.18</v>
      </c>
      <c r="AP18879" s="9">
        <v>2.8366635451923075</v>
      </c>
    </row>
    <row r="18880" spans="40:42" x14ac:dyDescent="0.3">
      <c r="AN18880">
        <v>18876</v>
      </c>
      <c r="AO18880" s="11">
        <v>12901.07</v>
      </c>
      <c r="AP18880" s="9">
        <v>3.2490665082265533</v>
      </c>
    </row>
    <row r="18881" spans="40:42" x14ac:dyDescent="0.3">
      <c r="AN18881">
        <v>18877</v>
      </c>
      <c r="AO18881" s="11">
        <v>43599.31</v>
      </c>
      <c r="AP18881" s="9">
        <v>3.609999043853743</v>
      </c>
    </row>
    <row r="18882" spans="40:42" x14ac:dyDescent="0.3">
      <c r="AN18882">
        <v>18878</v>
      </c>
      <c r="AO18882" s="11">
        <v>37776.629999999997</v>
      </c>
      <c r="AP18882" s="9">
        <v>3.4092761601483113</v>
      </c>
    </row>
    <row r="18883" spans="40:42" x14ac:dyDescent="0.3">
      <c r="AN18883">
        <v>18879</v>
      </c>
      <c r="AO18883" s="11">
        <v>24026</v>
      </c>
      <c r="AP18883" s="9">
        <v>3.0193093931572981</v>
      </c>
    </row>
    <row r="18884" spans="40:42" x14ac:dyDescent="0.3">
      <c r="AN18884">
        <v>18880</v>
      </c>
      <c r="AO18884" s="11">
        <v>33514.04</v>
      </c>
      <c r="AP18884" s="9">
        <v>3.3198245588996875</v>
      </c>
    </row>
    <row r="18885" spans="40:42" x14ac:dyDescent="0.3">
      <c r="AN18885">
        <v>18881</v>
      </c>
      <c r="AO18885" s="11">
        <v>26525.15</v>
      </c>
      <c r="AP18885" s="9">
        <v>3.4224288635786855</v>
      </c>
    </row>
    <row r="18886" spans="40:42" x14ac:dyDescent="0.3">
      <c r="AN18886">
        <v>18882</v>
      </c>
      <c r="AO18886" s="11">
        <v>32775.96</v>
      </c>
      <c r="AP18886" s="9">
        <v>4.7740003249629863</v>
      </c>
    </row>
    <row r="18887" spans="40:42" x14ac:dyDescent="0.3">
      <c r="AN18887">
        <v>18883</v>
      </c>
      <c r="AO18887" s="11">
        <v>24113.1</v>
      </c>
      <c r="AP18887" s="9">
        <v>3.0467712126189359</v>
      </c>
    </row>
    <row r="18888" spans="40:42" x14ac:dyDescent="0.3">
      <c r="AN18888">
        <v>18884</v>
      </c>
      <c r="AO18888" s="11">
        <v>26589.39</v>
      </c>
      <c r="AP18888" s="9">
        <v>2.4916876136576276</v>
      </c>
    </row>
    <row r="18889" spans="40:42" x14ac:dyDescent="0.3">
      <c r="AN18889">
        <v>18885</v>
      </c>
      <c r="AO18889" s="11">
        <v>33293.21</v>
      </c>
      <c r="AP18889" s="9">
        <v>3.3964358130872392</v>
      </c>
    </row>
    <row r="18890" spans="40:42" x14ac:dyDescent="0.3">
      <c r="AN18890">
        <v>18886</v>
      </c>
      <c r="AO18890" s="11">
        <v>22811.39</v>
      </c>
      <c r="AP18890" s="9">
        <v>2.8241908203408053</v>
      </c>
    </row>
    <row r="18891" spans="40:42" x14ac:dyDescent="0.3">
      <c r="AN18891">
        <v>18887</v>
      </c>
      <c r="AO18891" s="11">
        <v>35136.35</v>
      </c>
      <c r="AP18891" s="9">
        <v>3.3191130170074326</v>
      </c>
    </row>
    <row r="18892" spans="40:42" x14ac:dyDescent="0.3">
      <c r="AN18892">
        <v>18888</v>
      </c>
      <c r="AO18892" s="11">
        <v>16631.95</v>
      </c>
      <c r="AP18892" s="9">
        <v>3.4028333085379945</v>
      </c>
    </row>
    <row r="18893" spans="40:42" x14ac:dyDescent="0.3">
      <c r="AN18893">
        <v>18889</v>
      </c>
      <c r="AO18893" s="11">
        <v>31048.34</v>
      </c>
      <c r="AP18893" s="9">
        <v>3.7018158773252452</v>
      </c>
    </row>
    <row r="18894" spans="40:42" x14ac:dyDescent="0.3">
      <c r="AN18894">
        <v>18890</v>
      </c>
      <c r="AO18894" s="11">
        <v>18442.45</v>
      </c>
      <c r="AP18894" s="9">
        <v>4.042665212670709</v>
      </c>
    </row>
    <row r="18895" spans="40:42" x14ac:dyDescent="0.3">
      <c r="AN18895">
        <v>18891</v>
      </c>
      <c r="AO18895" s="11">
        <v>20915.13</v>
      </c>
      <c r="AP18895" s="9">
        <v>3.1542365153533636</v>
      </c>
    </row>
    <row r="18896" spans="40:42" x14ac:dyDescent="0.3">
      <c r="AN18896">
        <v>18892</v>
      </c>
      <c r="AO18896" s="11">
        <v>25768.639999999999</v>
      </c>
      <c r="AP18896" s="9">
        <v>3.7632171347661276</v>
      </c>
    </row>
    <row r="18897" spans="40:42" x14ac:dyDescent="0.3">
      <c r="AN18897">
        <v>18893</v>
      </c>
      <c r="AO18897" s="11">
        <v>23151.040000000001</v>
      </c>
      <c r="AP18897" s="9">
        <v>2.935233808929218</v>
      </c>
    </row>
    <row r="18898" spans="40:42" x14ac:dyDescent="0.3">
      <c r="AN18898">
        <v>18894</v>
      </c>
      <c r="AO18898" s="11">
        <v>32964.480000000003</v>
      </c>
      <c r="AP18898" s="9">
        <v>3.2868787775017618</v>
      </c>
    </row>
    <row r="18899" spans="40:42" x14ac:dyDescent="0.3">
      <c r="AN18899">
        <v>18895</v>
      </c>
      <c r="AO18899" s="11">
        <v>30435.14</v>
      </c>
      <c r="AP18899" s="9">
        <v>3.6820742983900518</v>
      </c>
    </row>
    <row r="18900" spans="40:42" x14ac:dyDescent="0.3">
      <c r="AN18900">
        <v>18896</v>
      </c>
      <c r="AO18900" s="11">
        <v>16704.39</v>
      </c>
      <c r="AP18900" s="9">
        <v>3.1713522453759704</v>
      </c>
    </row>
    <row r="18901" spans="40:42" x14ac:dyDescent="0.3">
      <c r="AN18901">
        <v>18897</v>
      </c>
      <c r="AO18901" s="11">
        <v>12490.46</v>
      </c>
      <c r="AP18901" s="9">
        <v>2.8840000339579372</v>
      </c>
    </row>
    <row r="18902" spans="40:42" x14ac:dyDescent="0.3">
      <c r="AN18902">
        <v>18898</v>
      </c>
      <c r="AO18902" s="11">
        <v>20055.78</v>
      </c>
      <c r="AP18902" s="9">
        <v>3.404379349419532</v>
      </c>
    </row>
    <row r="18903" spans="40:42" x14ac:dyDescent="0.3">
      <c r="AN18903">
        <v>18899</v>
      </c>
      <c r="AO18903" s="11">
        <v>19985.68</v>
      </c>
      <c r="AP18903" s="9">
        <v>3.3889768799694489</v>
      </c>
    </row>
    <row r="18904" spans="40:42" x14ac:dyDescent="0.3">
      <c r="AN18904">
        <v>18900</v>
      </c>
      <c r="AO18904" s="11">
        <v>23958.77</v>
      </c>
      <c r="AP18904" s="9">
        <v>3.1989188425425241</v>
      </c>
    </row>
    <row r="18905" spans="40:42" x14ac:dyDescent="0.3">
      <c r="AN18905">
        <v>18901</v>
      </c>
      <c r="AO18905" s="11">
        <v>34050.53</v>
      </c>
      <c r="AP18905" s="9">
        <v>3.8089095983681664</v>
      </c>
    </row>
    <row r="18906" spans="40:42" x14ac:dyDescent="0.3">
      <c r="AN18906">
        <v>18902</v>
      </c>
      <c r="AO18906" s="11">
        <v>19536.849999999999</v>
      </c>
      <c r="AP18906" s="9">
        <v>2.9392426220465104</v>
      </c>
    </row>
    <row r="18907" spans="40:42" x14ac:dyDescent="0.3">
      <c r="AN18907">
        <v>18903</v>
      </c>
      <c r="AO18907" s="11">
        <v>25363.65</v>
      </c>
      <c r="AP18907" s="9">
        <v>2.885466270192913</v>
      </c>
    </row>
    <row r="18908" spans="40:42" x14ac:dyDescent="0.3">
      <c r="AN18908">
        <v>18904</v>
      </c>
      <c r="AO18908" s="11">
        <v>35889.39</v>
      </c>
      <c r="AP18908" s="9">
        <v>3.8570175328143637</v>
      </c>
    </row>
    <row r="18909" spans="40:42" x14ac:dyDescent="0.3">
      <c r="AN18909">
        <v>18905</v>
      </c>
      <c r="AO18909" s="11">
        <v>22817.23</v>
      </c>
      <c r="AP18909" s="9">
        <v>2.9884122706801222</v>
      </c>
    </row>
    <row r="18910" spans="40:42" x14ac:dyDescent="0.3">
      <c r="AN18910">
        <v>18906</v>
      </c>
      <c r="AO18910" s="11">
        <v>20753.689999999999</v>
      </c>
      <c r="AP18910" s="9">
        <v>3.1933038901939681</v>
      </c>
    </row>
    <row r="18911" spans="40:42" x14ac:dyDescent="0.3">
      <c r="AN18911">
        <v>18907</v>
      </c>
      <c r="AO18911" s="11">
        <v>24883.1</v>
      </c>
      <c r="AP18911" s="9">
        <v>3.6424607139789065</v>
      </c>
    </row>
    <row r="18912" spans="40:42" x14ac:dyDescent="0.3">
      <c r="AN18912">
        <v>18908</v>
      </c>
      <c r="AO18912" s="11">
        <v>24701.34</v>
      </c>
      <c r="AP18912" s="9">
        <v>3.3259915180707749</v>
      </c>
    </row>
    <row r="18913" spans="40:42" x14ac:dyDescent="0.3">
      <c r="AN18913">
        <v>18909</v>
      </c>
      <c r="AO18913" s="11">
        <v>32135.46</v>
      </c>
      <c r="AP18913" s="9">
        <v>3.8774437450974206</v>
      </c>
    </row>
    <row r="18914" spans="40:42" x14ac:dyDescent="0.3">
      <c r="AN18914">
        <v>18910</v>
      </c>
      <c r="AO18914" s="11">
        <v>27009.49</v>
      </c>
      <c r="AP18914" s="9">
        <v>3.4033400298161345</v>
      </c>
    </row>
    <row r="18915" spans="40:42" x14ac:dyDescent="0.3">
      <c r="AN18915">
        <v>18911</v>
      </c>
      <c r="AO18915" s="11">
        <v>34172.92</v>
      </c>
      <c r="AP18915" s="9">
        <v>3.3652394068685374</v>
      </c>
    </row>
    <row r="18916" spans="40:42" x14ac:dyDescent="0.3">
      <c r="AN18916">
        <v>18912</v>
      </c>
      <c r="AO18916" s="11">
        <v>24182.35</v>
      </c>
      <c r="AP18916" s="9">
        <v>3.7935365962014354</v>
      </c>
    </row>
    <row r="18917" spans="40:42" x14ac:dyDescent="0.3">
      <c r="AN18917">
        <v>18913</v>
      </c>
      <c r="AO18917" s="11">
        <v>15880.71</v>
      </c>
      <c r="AP18917" s="9">
        <v>2.990501695610964</v>
      </c>
    </row>
    <row r="18918" spans="40:42" x14ac:dyDescent="0.3">
      <c r="AN18918">
        <v>18914</v>
      </c>
      <c r="AO18918" s="11">
        <v>20135.259999999998</v>
      </c>
      <c r="AP18918" s="9">
        <v>3.0146364612594483</v>
      </c>
    </row>
    <row r="18919" spans="40:42" x14ac:dyDescent="0.3">
      <c r="AN18919">
        <v>18915</v>
      </c>
      <c r="AO18919" s="11">
        <v>30568.27</v>
      </c>
      <c r="AP18919" s="9">
        <v>3.6563303810737882</v>
      </c>
    </row>
    <row r="18920" spans="40:42" x14ac:dyDescent="0.3">
      <c r="AN18920">
        <v>18916</v>
      </c>
      <c r="AO18920" s="11">
        <v>18901.23</v>
      </c>
      <c r="AP18920" s="9">
        <v>2.8149057049420949</v>
      </c>
    </row>
    <row r="18921" spans="40:42" x14ac:dyDescent="0.3">
      <c r="AN18921">
        <v>18917</v>
      </c>
      <c r="AO18921" s="11">
        <v>27780</v>
      </c>
      <c r="AP18921" s="9">
        <v>3.6558261883021426</v>
      </c>
    </row>
    <row r="18922" spans="40:42" x14ac:dyDescent="0.3">
      <c r="AN18922">
        <v>18918</v>
      </c>
      <c r="AO18922" s="11">
        <v>42190.76</v>
      </c>
      <c r="AP18922" s="9">
        <v>4.0361388673388694</v>
      </c>
    </row>
    <row r="18923" spans="40:42" x14ac:dyDescent="0.3">
      <c r="AN18923">
        <v>18919</v>
      </c>
      <c r="AO18923" s="11">
        <v>19606.28</v>
      </c>
      <c r="AP18923" s="9">
        <v>2.9087553611445043</v>
      </c>
    </row>
    <row r="18924" spans="40:42" x14ac:dyDescent="0.3">
      <c r="AN18924">
        <v>18920</v>
      </c>
      <c r="AO18924" s="11">
        <v>46804.36</v>
      </c>
      <c r="AP18924" s="9">
        <v>4.1862543015974971</v>
      </c>
    </row>
    <row r="18925" spans="40:42" x14ac:dyDescent="0.3">
      <c r="AN18925">
        <v>18921</v>
      </c>
      <c r="AO18925" s="11">
        <v>33780.019999999997</v>
      </c>
      <c r="AP18925" s="9">
        <v>3.3755919320485921</v>
      </c>
    </row>
    <row r="18926" spans="40:42" x14ac:dyDescent="0.3">
      <c r="AN18926">
        <v>18922</v>
      </c>
      <c r="AO18926" s="11">
        <v>31124.78</v>
      </c>
      <c r="AP18926" s="9">
        <v>3.7274266907203302</v>
      </c>
    </row>
    <row r="18927" spans="40:42" x14ac:dyDescent="0.3">
      <c r="AN18927">
        <v>18923</v>
      </c>
      <c r="AO18927" s="11">
        <v>29306.720000000001</v>
      </c>
      <c r="AP18927" s="9">
        <v>2.8444954041025343</v>
      </c>
    </row>
    <row r="18928" spans="40:42" x14ac:dyDescent="0.3">
      <c r="AN18928">
        <v>18924</v>
      </c>
      <c r="AO18928" s="11">
        <v>30065.17</v>
      </c>
      <c r="AP18928" s="9">
        <v>3.47801502522272</v>
      </c>
    </row>
    <row r="18929" spans="40:42" x14ac:dyDescent="0.3">
      <c r="AN18929">
        <v>18925</v>
      </c>
      <c r="AO18929" s="11">
        <v>20258.5</v>
      </c>
      <c r="AP18929" s="9">
        <v>3.1761758880500812</v>
      </c>
    </row>
    <row r="18930" spans="40:42" x14ac:dyDescent="0.3">
      <c r="AN18930">
        <v>18926</v>
      </c>
      <c r="AO18930" s="11">
        <v>43007.14</v>
      </c>
      <c r="AP18930" s="9">
        <v>3.8116773160917425</v>
      </c>
    </row>
    <row r="18931" spans="40:42" x14ac:dyDescent="0.3">
      <c r="AN18931">
        <v>18927</v>
      </c>
      <c r="AO18931" s="11">
        <v>26062.9</v>
      </c>
      <c r="AP18931" s="9">
        <v>2.8719152430623187</v>
      </c>
    </row>
    <row r="18932" spans="40:42" x14ac:dyDescent="0.3">
      <c r="AN18932">
        <v>18928</v>
      </c>
      <c r="AO18932" s="11">
        <v>15579.72</v>
      </c>
      <c r="AP18932" s="9">
        <v>3.2053329916902138</v>
      </c>
    </row>
    <row r="18933" spans="40:42" x14ac:dyDescent="0.3">
      <c r="AN18933">
        <v>18929</v>
      </c>
      <c r="AO18933" s="11">
        <v>21615.439999999999</v>
      </c>
      <c r="AP18933" s="9">
        <v>3.4892368836539407</v>
      </c>
    </row>
    <row r="18934" spans="40:42" x14ac:dyDescent="0.3">
      <c r="AN18934">
        <v>18930</v>
      </c>
      <c r="AO18934" s="11">
        <v>22502.27</v>
      </c>
      <c r="AP18934" s="9">
        <v>3.6619434058202702</v>
      </c>
    </row>
    <row r="18935" spans="40:42" x14ac:dyDescent="0.3">
      <c r="AN18935">
        <v>18931</v>
      </c>
      <c r="AO18935" s="11">
        <v>30474.46</v>
      </c>
      <c r="AP18935" s="9">
        <v>3.8135270323789632</v>
      </c>
    </row>
    <row r="18936" spans="40:42" x14ac:dyDescent="0.3">
      <c r="AN18936">
        <v>18932</v>
      </c>
      <c r="AO18936" s="11">
        <v>37673.25</v>
      </c>
      <c r="AP18936" s="9">
        <v>4.0517661715998265</v>
      </c>
    </row>
    <row r="18937" spans="40:42" x14ac:dyDescent="0.3">
      <c r="AN18937">
        <v>18933</v>
      </c>
      <c r="AO18937" s="11">
        <v>29418.880000000001</v>
      </c>
      <c r="AP18937" s="9">
        <v>3.0414337602918269</v>
      </c>
    </row>
    <row r="18938" spans="40:42" x14ac:dyDescent="0.3">
      <c r="AN18938">
        <v>18934</v>
      </c>
      <c r="AO18938" s="11">
        <v>29076.720000000001</v>
      </c>
      <c r="AP18938" s="9">
        <v>3.538757443537782</v>
      </c>
    </row>
    <row r="18939" spans="40:42" x14ac:dyDescent="0.3">
      <c r="AN18939">
        <v>18935</v>
      </c>
      <c r="AO18939" s="11">
        <v>18321.89</v>
      </c>
      <c r="AP18939" s="9">
        <v>3.3294626674255645</v>
      </c>
    </row>
    <row r="18940" spans="40:42" x14ac:dyDescent="0.3">
      <c r="AN18940">
        <v>18936</v>
      </c>
      <c r="AO18940" s="11">
        <v>32059.52</v>
      </c>
      <c r="AP18940" s="9">
        <v>3.3331010130811691</v>
      </c>
    </row>
    <row r="18941" spans="40:42" x14ac:dyDescent="0.3">
      <c r="AN18941">
        <v>18937</v>
      </c>
      <c r="AO18941" s="11">
        <v>24892.9</v>
      </c>
      <c r="AP18941" s="9">
        <v>3.2586210234926418</v>
      </c>
    </row>
    <row r="18942" spans="40:42" x14ac:dyDescent="0.3">
      <c r="AN18942">
        <v>18938</v>
      </c>
      <c r="AO18942" s="11">
        <v>22307.62</v>
      </c>
      <c r="AP18942" s="9">
        <v>3.1729707068373427</v>
      </c>
    </row>
    <row r="18943" spans="40:42" x14ac:dyDescent="0.3">
      <c r="AN18943">
        <v>18939</v>
      </c>
      <c r="AO18943" s="11">
        <v>24172.560000000001</v>
      </c>
      <c r="AP18943" s="9">
        <v>2.8969011110243366</v>
      </c>
    </row>
    <row r="18944" spans="40:42" x14ac:dyDescent="0.3">
      <c r="AN18944">
        <v>18940</v>
      </c>
      <c r="AO18944" s="11">
        <v>24730.86</v>
      </c>
      <c r="AP18944" s="9">
        <v>4.0479427973872992</v>
      </c>
    </row>
    <row r="18945" spans="40:42" x14ac:dyDescent="0.3">
      <c r="AN18945">
        <v>18941</v>
      </c>
      <c r="AO18945" s="11">
        <v>30237.35</v>
      </c>
      <c r="AP18945" s="9">
        <v>3.5384168488027128</v>
      </c>
    </row>
    <row r="18946" spans="40:42" x14ac:dyDescent="0.3">
      <c r="AN18946">
        <v>18942</v>
      </c>
      <c r="AO18946" s="11">
        <v>18954.07</v>
      </c>
      <c r="AP18946" s="9">
        <v>3.1357128195711494</v>
      </c>
    </row>
    <row r="18947" spans="40:42" x14ac:dyDescent="0.3">
      <c r="AN18947">
        <v>18943</v>
      </c>
      <c r="AO18947" s="11">
        <v>35327.19</v>
      </c>
      <c r="AP18947" s="9">
        <v>3.6165655846418963</v>
      </c>
    </row>
    <row r="18948" spans="40:42" x14ac:dyDescent="0.3">
      <c r="AN18948">
        <v>18944</v>
      </c>
      <c r="AO18948" s="11">
        <v>19357.77</v>
      </c>
      <c r="AP18948" s="9">
        <v>3.582876214075327</v>
      </c>
    </row>
    <row r="18949" spans="40:42" x14ac:dyDescent="0.3">
      <c r="AN18949">
        <v>18945</v>
      </c>
      <c r="AO18949" s="11">
        <v>48176.28</v>
      </c>
      <c r="AP18949" s="9">
        <v>4.2559060942629579</v>
      </c>
    </row>
    <row r="18950" spans="40:42" x14ac:dyDescent="0.3">
      <c r="AN18950">
        <v>18946</v>
      </c>
      <c r="AO18950" s="11">
        <v>21898.25</v>
      </c>
      <c r="AP18950" s="9">
        <v>3.2659331313415225</v>
      </c>
    </row>
    <row r="18951" spans="40:42" x14ac:dyDescent="0.3">
      <c r="AN18951">
        <v>18947</v>
      </c>
      <c r="AO18951" s="11">
        <v>12641.28</v>
      </c>
      <c r="AP18951" s="9">
        <v>3.2553933397544776</v>
      </c>
    </row>
    <row r="18952" spans="40:42" x14ac:dyDescent="0.3">
      <c r="AN18952">
        <v>18948</v>
      </c>
      <c r="AO18952" s="11">
        <v>25131.29</v>
      </c>
      <c r="AP18952" s="9">
        <v>3.7169113022542786</v>
      </c>
    </row>
    <row r="18953" spans="40:42" x14ac:dyDescent="0.3">
      <c r="AN18953">
        <v>18949</v>
      </c>
      <c r="AO18953" s="11">
        <v>32887.83</v>
      </c>
      <c r="AP18953" s="9">
        <v>3.7337256185816736</v>
      </c>
    </row>
    <row r="18954" spans="40:42" x14ac:dyDescent="0.3">
      <c r="AN18954">
        <v>18950</v>
      </c>
      <c r="AO18954" s="11">
        <v>36131.379999999997</v>
      </c>
      <c r="AP18954" s="9">
        <v>3.273248133928417</v>
      </c>
    </row>
    <row r="18955" spans="40:42" x14ac:dyDescent="0.3">
      <c r="AN18955">
        <v>18951</v>
      </c>
      <c r="AO18955" s="11">
        <v>18788.61</v>
      </c>
      <c r="AP18955" s="9">
        <v>3.3152863396699286</v>
      </c>
    </row>
    <row r="18956" spans="40:42" x14ac:dyDescent="0.3">
      <c r="AN18956">
        <v>18952</v>
      </c>
      <c r="AO18956" s="11">
        <v>16375.02</v>
      </c>
      <c r="AP18956" s="9">
        <v>3.1817038932891073</v>
      </c>
    </row>
    <row r="18957" spans="40:42" x14ac:dyDescent="0.3">
      <c r="AN18957">
        <v>18953</v>
      </c>
      <c r="AO18957" s="11">
        <v>16696.009999999998</v>
      </c>
      <c r="AP18957" s="9">
        <v>3.0096768281990847</v>
      </c>
    </row>
    <row r="18958" spans="40:42" x14ac:dyDescent="0.3">
      <c r="AN18958">
        <v>18954</v>
      </c>
      <c r="AO18958" s="11">
        <v>25426.26</v>
      </c>
      <c r="AP18958" s="9">
        <v>3.5404974817315544</v>
      </c>
    </row>
    <row r="18959" spans="40:42" x14ac:dyDescent="0.3">
      <c r="AN18959">
        <v>18955</v>
      </c>
      <c r="AO18959" s="11">
        <v>32102.93</v>
      </c>
      <c r="AP18959" s="9">
        <v>3.4926466992053111</v>
      </c>
    </row>
    <row r="18960" spans="40:42" x14ac:dyDescent="0.3">
      <c r="AN18960">
        <v>18956</v>
      </c>
      <c r="AO18960" s="11">
        <v>26258.9</v>
      </c>
      <c r="AP18960" s="9">
        <v>3.5030322372304545</v>
      </c>
    </row>
    <row r="18961" spans="40:42" x14ac:dyDescent="0.3">
      <c r="AN18961">
        <v>18957</v>
      </c>
      <c r="AO18961" s="11">
        <v>36378.6</v>
      </c>
      <c r="AP18961" s="9">
        <v>2.8934264512771417</v>
      </c>
    </row>
    <row r="18962" spans="40:42" x14ac:dyDescent="0.3">
      <c r="AN18962">
        <v>18958</v>
      </c>
      <c r="AO18962" s="11">
        <v>33006.269999999997</v>
      </c>
      <c r="AP18962" s="9">
        <v>4.1316819535543878</v>
      </c>
    </row>
    <row r="18963" spans="40:42" x14ac:dyDescent="0.3">
      <c r="AN18963">
        <v>18959</v>
      </c>
      <c r="AO18963" s="11">
        <v>24601.81</v>
      </c>
      <c r="AP18963" s="9">
        <v>3.204435570690892</v>
      </c>
    </row>
    <row r="18964" spans="40:42" x14ac:dyDescent="0.3">
      <c r="AN18964">
        <v>18960</v>
      </c>
      <c r="AO18964" s="11">
        <v>28528.59</v>
      </c>
      <c r="AP18964" s="9">
        <v>3.9670540551070328</v>
      </c>
    </row>
    <row r="18965" spans="40:42" x14ac:dyDescent="0.3">
      <c r="AN18965">
        <v>18961</v>
      </c>
      <c r="AO18965" s="11">
        <v>26856.15</v>
      </c>
      <c r="AP18965" s="9">
        <v>3.0312534587986932</v>
      </c>
    </row>
    <row r="18966" spans="40:42" x14ac:dyDescent="0.3">
      <c r="AN18966">
        <v>18962</v>
      </c>
      <c r="AO18966" s="11">
        <v>25964.38</v>
      </c>
      <c r="AP18966" s="9">
        <v>3.2681516703571196</v>
      </c>
    </row>
    <row r="18967" spans="40:42" x14ac:dyDescent="0.3">
      <c r="AN18967">
        <v>18963</v>
      </c>
      <c r="AO18967" s="11">
        <v>24508.17</v>
      </c>
      <c r="AP18967" s="9">
        <v>3.9131434799044054</v>
      </c>
    </row>
    <row r="18968" spans="40:42" x14ac:dyDescent="0.3">
      <c r="AN18968">
        <v>18964</v>
      </c>
      <c r="AO18968" s="11">
        <v>16861.509999999998</v>
      </c>
      <c r="AP18968" s="9">
        <v>2.9990109866326797</v>
      </c>
    </row>
    <row r="18969" spans="40:42" x14ac:dyDescent="0.3">
      <c r="AN18969">
        <v>18965</v>
      </c>
      <c r="AO18969" s="11">
        <v>27688.639999999999</v>
      </c>
      <c r="AP18969" s="9">
        <v>3.8130969961528884</v>
      </c>
    </row>
    <row r="18970" spans="40:42" x14ac:dyDescent="0.3">
      <c r="AN18970">
        <v>18966</v>
      </c>
      <c r="AO18970" s="11">
        <v>21892.55</v>
      </c>
      <c r="AP18970" s="9">
        <v>3.0882214502807206</v>
      </c>
    </row>
    <row r="18971" spans="40:42" x14ac:dyDescent="0.3">
      <c r="AN18971">
        <v>18967</v>
      </c>
      <c r="AO18971" s="11">
        <v>31213.3</v>
      </c>
      <c r="AP18971" s="9">
        <v>3.8751068707727088</v>
      </c>
    </row>
    <row r="18972" spans="40:42" x14ac:dyDescent="0.3">
      <c r="AN18972">
        <v>18968</v>
      </c>
      <c r="AO18972" s="11">
        <v>26732.09</v>
      </c>
      <c r="AP18972" s="9">
        <v>3.4597546746256795</v>
      </c>
    </row>
    <row r="18973" spans="40:42" x14ac:dyDescent="0.3">
      <c r="AN18973">
        <v>18969</v>
      </c>
      <c r="AO18973" s="11">
        <v>25766.57</v>
      </c>
      <c r="AP18973" s="9">
        <v>3.4166772470505773</v>
      </c>
    </row>
    <row r="18974" spans="40:42" x14ac:dyDescent="0.3">
      <c r="AN18974">
        <v>18970</v>
      </c>
      <c r="AO18974" s="11">
        <v>27843.18</v>
      </c>
      <c r="AP18974" s="9">
        <v>2.4290577551366974</v>
      </c>
    </row>
    <row r="18975" spans="40:42" x14ac:dyDescent="0.3">
      <c r="AN18975">
        <v>18971</v>
      </c>
      <c r="AO18975" s="11">
        <v>25508.880000000001</v>
      </c>
      <c r="AP18975" s="9">
        <v>3.5357245189104698</v>
      </c>
    </row>
    <row r="18976" spans="40:42" x14ac:dyDescent="0.3">
      <c r="AN18976">
        <v>18972</v>
      </c>
      <c r="AO18976" s="11">
        <v>22105.71</v>
      </c>
      <c r="AP18976" s="9">
        <v>3.2565552512140679</v>
      </c>
    </row>
    <row r="18977" spans="40:42" x14ac:dyDescent="0.3">
      <c r="AN18977">
        <v>18973</v>
      </c>
      <c r="AO18977" s="11">
        <v>31046.36</v>
      </c>
      <c r="AP18977" s="9">
        <v>3.1463827373309043</v>
      </c>
    </row>
    <row r="18978" spans="40:42" x14ac:dyDescent="0.3">
      <c r="AN18978">
        <v>18974</v>
      </c>
      <c r="AO18978" s="11">
        <v>31310.95</v>
      </c>
      <c r="AP18978" s="9">
        <v>3.760581963992689</v>
      </c>
    </row>
    <row r="18979" spans="40:42" x14ac:dyDescent="0.3">
      <c r="AN18979">
        <v>18975</v>
      </c>
      <c r="AO18979" s="11">
        <v>23236.66</v>
      </c>
      <c r="AP18979" s="9">
        <v>3.8507065414026576</v>
      </c>
    </row>
    <row r="18980" spans="40:42" x14ac:dyDescent="0.3">
      <c r="AN18980">
        <v>18976</v>
      </c>
      <c r="AO18980" s="11">
        <v>25927.22</v>
      </c>
      <c r="AP18980" s="9">
        <v>3.2037724044963265</v>
      </c>
    </row>
    <row r="18981" spans="40:42" x14ac:dyDescent="0.3">
      <c r="AN18981">
        <v>18977</v>
      </c>
      <c r="AO18981" s="11">
        <v>37433.06</v>
      </c>
      <c r="AP18981" s="9">
        <v>3.92868648687557</v>
      </c>
    </row>
    <row r="18982" spans="40:42" x14ac:dyDescent="0.3">
      <c r="AN18982">
        <v>18978</v>
      </c>
      <c r="AO18982" s="11">
        <v>25433.35</v>
      </c>
      <c r="AP18982" s="9">
        <v>3.5395476635827503</v>
      </c>
    </row>
    <row r="18983" spans="40:42" x14ac:dyDescent="0.3">
      <c r="AN18983">
        <v>18979</v>
      </c>
      <c r="AO18983" s="11">
        <v>22225.71</v>
      </c>
      <c r="AP18983" s="9">
        <v>2.9212817695436275</v>
      </c>
    </row>
    <row r="18984" spans="40:42" x14ac:dyDescent="0.3">
      <c r="AN18984">
        <v>18980</v>
      </c>
      <c r="AO18984" s="11">
        <v>29791.08</v>
      </c>
      <c r="AP18984" s="9">
        <v>3.4437572049158045</v>
      </c>
    </row>
    <row r="18985" spans="40:42" x14ac:dyDescent="0.3">
      <c r="AN18985">
        <v>18981</v>
      </c>
      <c r="AO18985" s="11">
        <v>24516.37</v>
      </c>
      <c r="AP18985" s="9">
        <v>3.3135365638110388</v>
      </c>
    </row>
    <row r="18986" spans="40:42" x14ac:dyDescent="0.3">
      <c r="AN18986">
        <v>18982</v>
      </c>
      <c r="AO18986" s="11">
        <v>14301.01</v>
      </c>
      <c r="AP18986" s="9">
        <v>3.4277535865172695</v>
      </c>
    </row>
    <row r="18987" spans="40:42" x14ac:dyDescent="0.3">
      <c r="AN18987">
        <v>18983</v>
      </c>
      <c r="AO18987" s="11">
        <v>21693.88</v>
      </c>
      <c r="AP18987" s="9">
        <v>3.6921824671074255</v>
      </c>
    </row>
    <row r="18988" spans="40:42" x14ac:dyDescent="0.3">
      <c r="AN18988">
        <v>18984</v>
      </c>
      <c r="AO18988" s="11">
        <v>32967.14</v>
      </c>
      <c r="AP18988" s="9">
        <v>3.130262936721647</v>
      </c>
    </row>
    <row r="18989" spans="40:42" x14ac:dyDescent="0.3">
      <c r="AN18989">
        <v>18985</v>
      </c>
      <c r="AO18989" s="11">
        <v>29123.8</v>
      </c>
      <c r="AP18989" s="9">
        <v>3.7398459916344735</v>
      </c>
    </row>
    <row r="18990" spans="40:42" x14ac:dyDescent="0.3">
      <c r="AN18990">
        <v>18986</v>
      </c>
      <c r="AO18990" s="11">
        <v>23162.77</v>
      </c>
      <c r="AP18990" s="9">
        <v>2.8726190446564339</v>
      </c>
    </row>
    <row r="18991" spans="40:42" x14ac:dyDescent="0.3">
      <c r="AN18991">
        <v>18987</v>
      </c>
      <c r="AO18991" s="11">
        <v>28523.7</v>
      </c>
      <c r="AP18991" s="9">
        <v>3.5333995998521663</v>
      </c>
    </row>
    <row r="18992" spans="40:42" x14ac:dyDescent="0.3">
      <c r="AN18992">
        <v>18988</v>
      </c>
      <c r="AO18992" s="11">
        <v>20243.34</v>
      </c>
      <c r="AP18992" s="9">
        <v>3.0921358204069316</v>
      </c>
    </row>
    <row r="18993" spans="40:42" x14ac:dyDescent="0.3">
      <c r="AN18993">
        <v>18989</v>
      </c>
      <c r="AO18993" s="11">
        <v>27077.75</v>
      </c>
      <c r="AP18993" s="9">
        <v>3.5625006391097984</v>
      </c>
    </row>
    <row r="18994" spans="40:42" x14ac:dyDescent="0.3">
      <c r="AN18994">
        <v>18990</v>
      </c>
      <c r="AO18994" s="11">
        <v>24132.22</v>
      </c>
      <c r="AP18994" s="9">
        <v>3.4874759052211028</v>
      </c>
    </row>
    <row r="18995" spans="40:42" x14ac:dyDescent="0.3">
      <c r="AN18995">
        <v>18991</v>
      </c>
      <c r="AO18995" s="11">
        <v>27518.71</v>
      </c>
      <c r="AP18995" s="9">
        <v>3.1672547809264757</v>
      </c>
    </row>
    <row r="18996" spans="40:42" x14ac:dyDescent="0.3">
      <c r="AN18996">
        <v>18992</v>
      </c>
      <c r="AO18996" s="11">
        <v>18260.849999999999</v>
      </c>
      <c r="AP18996" s="9">
        <v>3.3957578989168096</v>
      </c>
    </row>
    <row r="18997" spans="40:42" x14ac:dyDescent="0.3">
      <c r="AN18997">
        <v>18993</v>
      </c>
      <c r="AO18997" s="11">
        <v>19413.21</v>
      </c>
      <c r="AP18997" s="9">
        <v>2.9531558400934275</v>
      </c>
    </row>
    <row r="18998" spans="40:42" x14ac:dyDescent="0.3">
      <c r="AN18998">
        <v>18994</v>
      </c>
      <c r="AO18998" s="11">
        <v>28018.63</v>
      </c>
      <c r="AP18998" s="9">
        <v>2.9221939359955384</v>
      </c>
    </row>
    <row r="18999" spans="40:42" x14ac:dyDescent="0.3">
      <c r="AN18999">
        <v>18995</v>
      </c>
      <c r="AO18999" s="11">
        <v>19114.29</v>
      </c>
      <c r="AP18999" s="9">
        <v>3.489130987459192</v>
      </c>
    </row>
    <row r="19000" spans="40:42" x14ac:dyDescent="0.3">
      <c r="AN19000">
        <v>18996</v>
      </c>
      <c r="AO19000" s="11">
        <v>24277.96</v>
      </c>
      <c r="AP19000" s="9">
        <v>3.9366422019166096</v>
      </c>
    </row>
    <row r="19001" spans="40:42" x14ac:dyDescent="0.3">
      <c r="AN19001">
        <v>18997</v>
      </c>
      <c r="AO19001" s="11">
        <v>31085.279999999999</v>
      </c>
      <c r="AP19001" s="9">
        <v>3.9930420707311498</v>
      </c>
    </row>
    <row r="19002" spans="40:42" x14ac:dyDescent="0.3">
      <c r="AN19002">
        <v>18998</v>
      </c>
      <c r="AO19002" s="11">
        <v>26096.11</v>
      </c>
      <c r="AP19002" s="9">
        <v>4.3509393019652061</v>
      </c>
    </row>
    <row r="19003" spans="40:42" x14ac:dyDescent="0.3">
      <c r="AN19003">
        <v>18999</v>
      </c>
      <c r="AO19003" s="11">
        <v>30229.360000000001</v>
      </c>
      <c r="AP19003" s="9">
        <v>3.515748147998</v>
      </c>
    </row>
    <row r="19004" spans="40:42" x14ac:dyDescent="0.3">
      <c r="AN19004">
        <v>19000</v>
      </c>
      <c r="AO19004" s="11">
        <v>17405.84</v>
      </c>
      <c r="AP19004" s="9">
        <v>3.0603633925179441</v>
      </c>
    </row>
    <row r="19005" spans="40:42" x14ac:dyDescent="0.3">
      <c r="AN19005">
        <v>19001</v>
      </c>
      <c r="AO19005" s="11">
        <v>18810.47</v>
      </c>
      <c r="AP19005" s="9">
        <v>2.8649536011251731</v>
      </c>
    </row>
    <row r="19006" spans="40:42" x14ac:dyDescent="0.3">
      <c r="AN19006">
        <v>19002</v>
      </c>
      <c r="AO19006" s="11">
        <v>34805.839999999997</v>
      </c>
      <c r="AP19006" s="9">
        <v>3.5961883734702207</v>
      </c>
    </row>
    <row r="19007" spans="40:42" x14ac:dyDescent="0.3">
      <c r="AN19007">
        <v>19003</v>
      </c>
      <c r="AO19007" s="11">
        <v>37782.42</v>
      </c>
      <c r="AP19007" s="9">
        <v>4.084925589949747</v>
      </c>
    </row>
    <row r="19008" spans="40:42" x14ac:dyDescent="0.3">
      <c r="AN19008">
        <v>19004</v>
      </c>
      <c r="AO19008" s="11">
        <v>42482.47</v>
      </c>
      <c r="AP19008" s="9">
        <v>3.6934368613110302</v>
      </c>
    </row>
    <row r="19009" spans="40:42" x14ac:dyDescent="0.3">
      <c r="AN19009">
        <v>19005</v>
      </c>
      <c r="AO19009" s="11">
        <v>32541.31</v>
      </c>
      <c r="AP19009" s="9">
        <v>3.3475180222788774</v>
      </c>
    </row>
    <row r="19010" spans="40:42" x14ac:dyDescent="0.3">
      <c r="AN19010">
        <v>19006</v>
      </c>
      <c r="AO19010" s="11">
        <v>22104.84</v>
      </c>
      <c r="AP19010" s="9">
        <v>3.428651821021464</v>
      </c>
    </row>
    <row r="19011" spans="40:42" x14ac:dyDescent="0.3">
      <c r="AN19011">
        <v>19007</v>
      </c>
      <c r="AO19011" s="11">
        <v>31748.43</v>
      </c>
      <c r="AP19011" s="9">
        <v>3.4614962937415079</v>
      </c>
    </row>
    <row r="19012" spans="40:42" x14ac:dyDescent="0.3">
      <c r="AN19012">
        <v>19008</v>
      </c>
      <c r="AO19012" s="11">
        <v>42452.37</v>
      </c>
      <c r="AP19012" s="9">
        <v>3.8637626439729447</v>
      </c>
    </row>
    <row r="19013" spans="40:42" x14ac:dyDescent="0.3">
      <c r="AN19013">
        <v>19009</v>
      </c>
      <c r="AO19013" s="11">
        <v>27011.32</v>
      </c>
      <c r="AP19013" s="9">
        <v>3.2913203020552433</v>
      </c>
    </row>
    <row r="19014" spans="40:42" x14ac:dyDescent="0.3">
      <c r="AN19014">
        <v>19010</v>
      </c>
      <c r="AO19014" s="11">
        <v>32024.65</v>
      </c>
      <c r="AP19014" s="9">
        <v>3.7280409292417418</v>
      </c>
    </row>
    <row r="19015" spans="40:42" x14ac:dyDescent="0.3">
      <c r="AN19015">
        <v>19011</v>
      </c>
      <c r="AO19015" s="11">
        <v>20101.43</v>
      </c>
      <c r="AP19015" s="9">
        <v>3.5204218977837205</v>
      </c>
    </row>
    <row r="19016" spans="40:42" x14ac:dyDescent="0.3">
      <c r="AN19016">
        <v>19012</v>
      </c>
      <c r="AO19016" s="11">
        <v>27204.04</v>
      </c>
      <c r="AP19016" s="9">
        <v>3.6152226718595069</v>
      </c>
    </row>
    <row r="19017" spans="40:42" x14ac:dyDescent="0.3">
      <c r="AN19017">
        <v>19013</v>
      </c>
      <c r="AO19017" s="11">
        <v>22875.35</v>
      </c>
      <c r="AP19017" s="9">
        <v>3.402440940066092</v>
      </c>
    </row>
    <row r="19018" spans="40:42" x14ac:dyDescent="0.3">
      <c r="AN19018">
        <v>19014</v>
      </c>
      <c r="AO19018" s="11">
        <v>20743.080000000002</v>
      </c>
      <c r="AP19018" s="9">
        <v>3.1489336887520167</v>
      </c>
    </row>
    <row r="19019" spans="40:42" x14ac:dyDescent="0.3">
      <c r="AN19019">
        <v>19015</v>
      </c>
      <c r="AO19019" s="11">
        <v>49181.66</v>
      </c>
      <c r="AP19019" s="9">
        <v>3.477338378093267</v>
      </c>
    </row>
    <row r="19020" spans="40:42" x14ac:dyDescent="0.3">
      <c r="AN19020">
        <v>19016</v>
      </c>
      <c r="AO19020" s="11">
        <v>23313.66</v>
      </c>
      <c r="AP19020" s="9">
        <v>2.9497890014567232</v>
      </c>
    </row>
    <row r="19021" spans="40:42" x14ac:dyDescent="0.3">
      <c r="AN19021">
        <v>19017</v>
      </c>
      <c r="AO19021" s="11">
        <v>24777.64</v>
      </c>
      <c r="AP19021" s="9">
        <v>3.4859400876372333</v>
      </c>
    </row>
    <row r="19022" spans="40:42" x14ac:dyDescent="0.3">
      <c r="AN19022">
        <v>19018</v>
      </c>
      <c r="AO19022" s="11">
        <v>15447.87</v>
      </c>
      <c r="AP19022" s="9">
        <v>2.4132692211747808</v>
      </c>
    </row>
    <row r="19023" spans="40:42" x14ac:dyDescent="0.3">
      <c r="AN19023">
        <v>19019</v>
      </c>
      <c r="AO19023" s="11">
        <v>21173.74</v>
      </c>
      <c r="AP19023" s="9">
        <v>3.2415772828398572</v>
      </c>
    </row>
    <row r="19024" spans="40:42" x14ac:dyDescent="0.3">
      <c r="AN19024">
        <v>19020</v>
      </c>
      <c r="AO19024" s="11">
        <v>28879.49</v>
      </c>
      <c r="AP19024" s="9">
        <v>3.5844308030116085</v>
      </c>
    </row>
    <row r="19025" spans="40:42" x14ac:dyDescent="0.3">
      <c r="AN19025">
        <v>19021</v>
      </c>
      <c r="AO19025" s="11">
        <v>36244.300000000003</v>
      </c>
      <c r="AP19025" s="9">
        <v>3.6995503360358724</v>
      </c>
    </row>
    <row r="19026" spans="40:42" x14ac:dyDescent="0.3">
      <c r="AN19026">
        <v>19022</v>
      </c>
      <c r="AO19026" s="11">
        <v>28740.93</v>
      </c>
      <c r="AP19026" s="9">
        <v>3.7250623606202131</v>
      </c>
    </row>
    <row r="19027" spans="40:42" x14ac:dyDescent="0.3">
      <c r="AN19027">
        <v>19023</v>
      </c>
      <c r="AO19027" s="11">
        <v>24527.65</v>
      </c>
      <c r="AP19027" s="9">
        <v>3.1612571165878132</v>
      </c>
    </row>
    <row r="19028" spans="40:42" x14ac:dyDescent="0.3">
      <c r="AN19028">
        <v>19024</v>
      </c>
      <c r="AO19028" s="11">
        <v>45551.34</v>
      </c>
      <c r="AP19028" s="9">
        <v>3.7570493482324281</v>
      </c>
    </row>
    <row r="19029" spans="40:42" x14ac:dyDescent="0.3">
      <c r="AN19029">
        <v>19025</v>
      </c>
      <c r="AO19029" s="11">
        <v>47511.43</v>
      </c>
      <c r="AP19029" s="9">
        <v>3.7964635755198763</v>
      </c>
    </row>
    <row r="19030" spans="40:42" x14ac:dyDescent="0.3">
      <c r="AN19030">
        <v>19026</v>
      </c>
      <c r="AO19030" s="11">
        <v>18818.259999999998</v>
      </c>
      <c r="AP19030" s="9">
        <v>2.8347860501461781</v>
      </c>
    </row>
    <row r="19031" spans="40:42" x14ac:dyDescent="0.3">
      <c r="AN19031">
        <v>19027</v>
      </c>
      <c r="AO19031" s="11">
        <v>20620.439999999999</v>
      </c>
      <c r="AP19031" s="9">
        <v>3.3852265683495992</v>
      </c>
    </row>
    <row r="19032" spans="40:42" x14ac:dyDescent="0.3">
      <c r="AN19032">
        <v>19028</v>
      </c>
      <c r="AO19032" s="11">
        <v>21182.26</v>
      </c>
      <c r="AP19032" s="9">
        <v>2.7475951924806021</v>
      </c>
    </row>
    <row r="19033" spans="40:42" x14ac:dyDescent="0.3">
      <c r="AN19033">
        <v>19029</v>
      </c>
      <c r="AO19033" s="11">
        <v>20745.330000000002</v>
      </c>
      <c r="AP19033" s="9">
        <v>3.5503564369822076</v>
      </c>
    </row>
    <row r="19034" spans="40:42" x14ac:dyDescent="0.3">
      <c r="AN19034">
        <v>19030</v>
      </c>
      <c r="AO19034" s="11">
        <v>28934.28</v>
      </c>
      <c r="AP19034" s="9">
        <v>3.8381459836439107</v>
      </c>
    </row>
    <row r="19035" spans="40:42" x14ac:dyDescent="0.3">
      <c r="AN19035">
        <v>19031</v>
      </c>
      <c r="AO19035" s="11">
        <v>19851.47</v>
      </c>
      <c r="AP19035" s="9">
        <v>3.3743674532579568</v>
      </c>
    </row>
    <row r="19036" spans="40:42" x14ac:dyDescent="0.3">
      <c r="AN19036">
        <v>19032</v>
      </c>
      <c r="AO19036" s="11">
        <v>21901.85</v>
      </c>
      <c r="AP19036" s="9">
        <v>3.1174797529309406</v>
      </c>
    </row>
    <row r="19037" spans="40:42" x14ac:dyDescent="0.3">
      <c r="AN19037">
        <v>19033</v>
      </c>
      <c r="AO19037" s="11">
        <v>24596.37</v>
      </c>
      <c r="AP19037" s="9">
        <v>3.9806549484545619</v>
      </c>
    </row>
    <row r="19038" spans="40:42" x14ac:dyDescent="0.3">
      <c r="AN19038">
        <v>19034</v>
      </c>
      <c r="AO19038" s="11">
        <v>18625.150000000001</v>
      </c>
      <c r="AP19038" s="9">
        <v>3.3674843854340413</v>
      </c>
    </row>
    <row r="19039" spans="40:42" x14ac:dyDescent="0.3">
      <c r="AN19039">
        <v>19035</v>
      </c>
      <c r="AO19039" s="11">
        <v>24741.96</v>
      </c>
      <c r="AP19039" s="9">
        <v>3.4529194973495727</v>
      </c>
    </row>
    <row r="19040" spans="40:42" x14ac:dyDescent="0.3">
      <c r="AN19040">
        <v>19036</v>
      </c>
      <c r="AO19040" s="11">
        <v>20648.169999999998</v>
      </c>
      <c r="AP19040" s="9">
        <v>3.3593081015747086</v>
      </c>
    </row>
    <row r="19041" spans="40:42" x14ac:dyDescent="0.3">
      <c r="AN19041">
        <v>19037</v>
      </c>
      <c r="AO19041" s="11">
        <v>21620.2</v>
      </c>
      <c r="AP19041" s="9">
        <v>3.395094349469435</v>
      </c>
    </row>
    <row r="19042" spans="40:42" x14ac:dyDescent="0.3">
      <c r="AN19042">
        <v>19038</v>
      </c>
      <c r="AO19042" s="11">
        <v>28681.03</v>
      </c>
      <c r="AP19042" s="9">
        <v>3.5286433800507542</v>
      </c>
    </row>
    <row r="19043" spans="40:42" x14ac:dyDescent="0.3">
      <c r="AN19043">
        <v>19039</v>
      </c>
      <c r="AO19043" s="11">
        <v>28878.68</v>
      </c>
      <c r="AP19043" s="9">
        <v>3.5853324646733489</v>
      </c>
    </row>
    <row r="19044" spans="40:42" x14ac:dyDescent="0.3">
      <c r="AN19044">
        <v>19040</v>
      </c>
      <c r="AO19044" s="11">
        <v>17621.78</v>
      </c>
      <c r="AP19044" s="9">
        <v>3.2667665592553239</v>
      </c>
    </row>
    <row r="19045" spans="40:42" x14ac:dyDescent="0.3">
      <c r="AN19045">
        <v>19041</v>
      </c>
      <c r="AO19045" s="11">
        <v>25823.8</v>
      </c>
      <c r="AP19045" s="9">
        <v>2.6880545921668446</v>
      </c>
    </row>
    <row r="19046" spans="40:42" x14ac:dyDescent="0.3">
      <c r="AN19046">
        <v>19042</v>
      </c>
      <c r="AO19046" s="11">
        <v>20121.68</v>
      </c>
      <c r="AP19046" s="9">
        <v>3.3186637699745578</v>
      </c>
    </row>
    <row r="19047" spans="40:42" x14ac:dyDescent="0.3">
      <c r="AN19047">
        <v>19043</v>
      </c>
      <c r="AO19047" s="11">
        <v>15141.08</v>
      </c>
      <c r="AP19047" s="9">
        <v>2.8691131961879495</v>
      </c>
    </row>
    <row r="19048" spans="40:42" x14ac:dyDescent="0.3">
      <c r="AN19048">
        <v>19044</v>
      </c>
      <c r="AO19048" s="11">
        <v>23202.22</v>
      </c>
      <c r="AP19048" s="9">
        <v>3.1472415910574818</v>
      </c>
    </row>
    <row r="19049" spans="40:42" x14ac:dyDescent="0.3">
      <c r="AN19049">
        <v>19045</v>
      </c>
      <c r="AO19049" s="11">
        <v>21469.13</v>
      </c>
      <c r="AP19049" s="9">
        <v>3.1370874617609608</v>
      </c>
    </row>
    <row r="19050" spans="40:42" x14ac:dyDescent="0.3">
      <c r="AN19050">
        <v>19046</v>
      </c>
      <c r="AO19050" s="11">
        <v>30499.8</v>
      </c>
      <c r="AP19050" s="9">
        <v>4.1424320035789499</v>
      </c>
    </row>
    <row r="19051" spans="40:42" x14ac:dyDescent="0.3">
      <c r="AN19051">
        <v>19047</v>
      </c>
      <c r="AO19051" s="11">
        <v>28754.92</v>
      </c>
      <c r="AP19051" s="9">
        <v>3.7376861116069975</v>
      </c>
    </row>
    <row r="19052" spans="40:42" x14ac:dyDescent="0.3">
      <c r="AN19052">
        <v>19048</v>
      </c>
      <c r="AO19052" s="11">
        <v>35259.94</v>
      </c>
      <c r="AP19052" s="9">
        <v>3.265928390893746</v>
      </c>
    </row>
    <row r="19053" spans="40:42" x14ac:dyDescent="0.3">
      <c r="AN19053">
        <v>19049</v>
      </c>
      <c r="AO19053" s="11">
        <v>20362.96</v>
      </c>
      <c r="AP19053" s="9">
        <v>2.6625013097050134</v>
      </c>
    </row>
    <row r="19054" spans="40:42" x14ac:dyDescent="0.3">
      <c r="AN19054">
        <v>19050</v>
      </c>
      <c r="AO19054" s="11">
        <v>25363.31</v>
      </c>
      <c r="AP19054" s="9">
        <v>3.1709748825170965</v>
      </c>
    </row>
    <row r="19055" spans="40:42" x14ac:dyDescent="0.3">
      <c r="AN19055">
        <v>19051</v>
      </c>
      <c r="AO19055" s="11">
        <v>28188.32</v>
      </c>
      <c r="AP19055" s="9">
        <v>3.2169346623252717</v>
      </c>
    </row>
    <row r="19056" spans="40:42" x14ac:dyDescent="0.3">
      <c r="AN19056">
        <v>19052</v>
      </c>
      <c r="AO19056" s="11">
        <v>39798.03</v>
      </c>
      <c r="AP19056" s="9">
        <v>3.1594062222602726</v>
      </c>
    </row>
    <row r="19057" spans="40:42" x14ac:dyDescent="0.3">
      <c r="AN19057">
        <v>19053</v>
      </c>
      <c r="AO19057" s="11">
        <v>23467.41</v>
      </c>
      <c r="AP19057" s="9">
        <v>3.5130871430787978</v>
      </c>
    </row>
    <row r="19058" spans="40:42" x14ac:dyDescent="0.3">
      <c r="AN19058">
        <v>19054</v>
      </c>
      <c r="AO19058" s="11">
        <v>25515.599999999999</v>
      </c>
      <c r="AP19058" s="9">
        <v>3.2643322221096827</v>
      </c>
    </row>
    <row r="19059" spans="40:42" x14ac:dyDescent="0.3">
      <c r="AN19059">
        <v>19055</v>
      </c>
      <c r="AO19059" s="11">
        <v>31203.1</v>
      </c>
      <c r="AP19059" s="9">
        <v>3.8155068631814499</v>
      </c>
    </row>
    <row r="19060" spans="40:42" x14ac:dyDescent="0.3">
      <c r="AN19060">
        <v>19056</v>
      </c>
      <c r="AO19060" s="11">
        <v>27284.91</v>
      </c>
      <c r="AP19060" s="9">
        <v>2.9780844690468511</v>
      </c>
    </row>
    <row r="19061" spans="40:42" x14ac:dyDescent="0.3">
      <c r="AN19061">
        <v>19057</v>
      </c>
      <c r="AO19061" s="11">
        <v>18709.72</v>
      </c>
      <c r="AP19061" s="9">
        <v>2.5652653277171682</v>
      </c>
    </row>
    <row r="19062" spans="40:42" x14ac:dyDescent="0.3">
      <c r="AN19062">
        <v>19058</v>
      </c>
      <c r="AO19062" s="11">
        <v>20572.14</v>
      </c>
      <c r="AP19062" s="9">
        <v>2.8853450598643726</v>
      </c>
    </row>
    <row r="19063" spans="40:42" x14ac:dyDescent="0.3">
      <c r="AN19063">
        <v>19059</v>
      </c>
      <c r="AO19063" s="11">
        <v>20847.79</v>
      </c>
      <c r="AP19063" s="9">
        <v>3.988055522678124</v>
      </c>
    </row>
    <row r="19064" spans="40:42" x14ac:dyDescent="0.3">
      <c r="AN19064">
        <v>19060</v>
      </c>
      <c r="AO19064" s="11">
        <v>18369.55</v>
      </c>
      <c r="AP19064" s="9">
        <v>3.1290970517501631</v>
      </c>
    </row>
    <row r="19065" spans="40:42" x14ac:dyDescent="0.3">
      <c r="AN19065">
        <v>19061</v>
      </c>
      <c r="AO19065" s="11">
        <v>25117.78</v>
      </c>
      <c r="AP19065" s="9">
        <v>3.2937995636582502</v>
      </c>
    </row>
    <row r="19066" spans="40:42" x14ac:dyDescent="0.3">
      <c r="AN19066">
        <v>19062</v>
      </c>
      <c r="AO19066" s="11">
        <v>19843.259999999998</v>
      </c>
      <c r="AP19066" s="9">
        <v>2.8556592976344599</v>
      </c>
    </row>
    <row r="19067" spans="40:42" x14ac:dyDescent="0.3">
      <c r="AN19067">
        <v>19063</v>
      </c>
      <c r="AO19067" s="11">
        <v>43813.96</v>
      </c>
      <c r="AP19067" s="9">
        <v>3.6258897733895306</v>
      </c>
    </row>
    <row r="19068" spans="40:42" x14ac:dyDescent="0.3">
      <c r="AN19068">
        <v>19064</v>
      </c>
      <c r="AO19068" s="11">
        <v>30675.040000000001</v>
      </c>
      <c r="AP19068" s="9">
        <v>3.0377941401062385</v>
      </c>
    </row>
    <row r="19069" spans="40:42" x14ac:dyDescent="0.3">
      <c r="AN19069">
        <v>19065</v>
      </c>
      <c r="AO19069" s="11">
        <v>26625.67</v>
      </c>
      <c r="AP19069" s="9">
        <v>3.5500725742881407</v>
      </c>
    </row>
    <row r="19070" spans="40:42" x14ac:dyDescent="0.3">
      <c r="AN19070">
        <v>19066</v>
      </c>
      <c r="AO19070" s="11">
        <v>30909.79</v>
      </c>
      <c r="AP19070" s="9">
        <v>3.5318749456492715</v>
      </c>
    </row>
    <row r="19071" spans="40:42" x14ac:dyDescent="0.3">
      <c r="AN19071">
        <v>19067</v>
      </c>
      <c r="AO19071" s="11">
        <v>13714.89</v>
      </c>
      <c r="AP19071" s="9">
        <v>3.5581673676349572</v>
      </c>
    </row>
    <row r="19072" spans="40:42" x14ac:dyDescent="0.3">
      <c r="AN19072">
        <v>19068</v>
      </c>
      <c r="AO19072" s="11">
        <v>17748.77</v>
      </c>
      <c r="AP19072" s="9">
        <v>2.5699038406427168</v>
      </c>
    </row>
    <row r="19073" spans="40:42" x14ac:dyDescent="0.3">
      <c r="AN19073">
        <v>19069</v>
      </c>
      <c r="AO19073" s="11">
        <v>14933.92</v>
      </c>
      <c r="AP19073" s="9">
        <v>3.0482252217803527</v>
      </c>
    </row>
    <row r="19074" spans="40:42" x14ac:dyDescent="0.3">
      <c r="AN19074">
        <v>19070</v>
      </c>
      <c r="AO19074" s="11">
        <v>35003.06</v>
      </c>
      <c r="AP19074" s="9">
        <v>2.9862988636907661</v>
      </c>
    </row>
    <row r="19075" spans="40:42" x14ac:dyDescent="0.3">
      <c r="AN19075">
        <v>19071</v>
      </c>
      <c r="AO19075" s="11">
        <v>36138.07</v>
      </c>
      <c r="AP19075" s="9">
        <v>3.6185701715448331</v>
      </c>
    </row>
    <row r="19076" spans="40:42" x14ac:dyDescent="0.3">
      <c r="AN19076">
        <v>19072</v>
      </c>
      <c r="AO19076" s="11">
        <v>28905.67</v>
      </c>
      <c r="AP19076" s="9">
        <v>3.0851268063412118</v>
      </c>
    </row>
    <row r="19077" spans="40:42" x14ac:dyDescent="0.3">
      <c r="AN19077">
        <v>19073</v>
      </c>
      <c r="AO19077" s="11">
        <v>19376.810000000001</v>
      </c>
      <c r="AP19077" s="9">
        <v>3.1429994510798616</v>
      </c>
    </row>
    <row r="19078" spans="40:42" x14ac:dyDescent="0.3">
      <c r="AN19078">
        <v>19074</v>
      </c>
      <c r="AO19078" s="11">
        <v>26282.37</v>
      </c>
      <c r="AP19078" s="9">
        <v>3.2725355642385106</v>
      </c>
    </row>
    <row r="19079" spans="40:42" x14ac:dyDescent="0.3">
      <c r="AN19079">
        <v>19075</v>
      </c>
      <c r="AO19079" s="11">
        <v>27063.25</v>
      </c>
      <c r="AP19079" s="9">
        <v>2.9466557959111288</v>
      </c>
    </row>
    <row r="19080" spans="40:42" x14ac:dyDescent="0.3">
      <c r="AN19080">
        <v>19076</v>
      </c>
      <c r="AO19080" s="11">
        <v>28845.51</v>
      </c>
      <c r="AP19080" s="9">
        <v>3.5773171838426845</v>
      </c>
    </row>
    <row r="19081" spans="40:42" x14ac:dyDescent="0.3">
      <c r="AN19081">
        <v>19077</v>
      </c>
      <c r="AO19081" s="11">
        <v>20147.16</v>
      </c>
      <c r="AP19081" s="9">
        <v>2.8459013876270931</v>
      </c>
    </row>
    <row r="19082" spans="40:42" x14ac:dyDescent="0.3">
      <c r="AN19082">
        <v>19078</v>
      </c>
      <c r="AO19082" s="11">
        <v>28241.13</v>
      </c>
      <c r="AP19082" s="9">
        <v>3.0214477159954236</v>
      </c>
    </row>
    <row r="19083" spans="40:42" x14ac:dyDescent="0.3">
      <c r="AN19083">
        <v>19079</v>
      </c>
      <c r="AO19083" s="11">
        <v>30241.69</v>
      </c>
      <c r="AP19083" s="9">
        <v>4.243222650796687</v>
      </c>
    </row>
    <row r="19084" spans="40:42" x14ac:dyDescent="0.3">
      <c r="AN19084">
        <v>19080</v>
      </c>
      <c r="AO19084" s="11">
        <v>28688.400000000001</v>
      </c>
      <c r="AP19084" s="9">
        <v>3.2224252749043907</v>
      </c>
    </row>
    <row r="19085" spans="40:42" x14ac:dyDescent="0.3">
      <c r="AN19085">
        <v>19081</v>
      </c>
      <c r="AO19085" s="11">
        <v>32779.839999999997</v>
      </c>
      <c r="AP19085" s="9">
        <v>3.4037954730520728</v>
      </c>
    </row>
    <row r="19086" spans="40:42" x14ac:dyDescent="0.3">
      <c r="AN19086">
        <v>19082</v>
      </c>
      <c r="AO19086" s="11">
        <v>46334.58</v>
      </c>
      <c r="AP19086" s="9">
        <v>4.0705302285839773</v>
      </c>
    </row>
    <row r="19087" spans="40:42" x14ac:dyDescent="0.3">
      <c r="AN19087">
        <v>19083</v>
      </c>
      <c r="AO19087" s="11">
        <v>28775.34</v>
      </c>
      <c r="AP19087" s="9">
        <v>3.0249239459968549</v>
      </c>
    </row>
    <row r="19088" spans="40:42" x14ac:dyDescent="0.3">
      <c r="AN19088">
        <v>19084</v>
      </c>
      <c r="AO19088" s="11">
        <v>41459.5</v>
      </c>
      <c r="AP19088" s="9">
        <v>4.0328323242345245</v>
      </c>
    </row>
    <row r="19089" spans="40:42" x14ac:dyDescent="0.3">
      <c r="AN19089">
        <v>19085</v>
      </c>
      <c r="AO19089" s="11">
        <v>20349.72</v>
      </c>
      <c r="AP19089" s="9">
        <v>2.9400525748247452</v>
      </c>
    </row>
    <row r="19090" spans="40:42" x14ac:dyDescent="0.3">
      <c r="AN19090">
        <v>19086</v>
      </c>
      <c r="AO19090" s="11">
        <v>25444.69</v>
      </c>
      <c r="AP19090" s="9">
        <v>3.3792367730890551</v>
      </c>
    </row>
    <row r="19091" spans="40:42" x14ac:dyDescent="0.3">
      <c r="AN19091">
        <v>19087</v>
      </c>
      <c r="AO19091" s="11">
        <v>22025.45</v>
      </c>
      <c r="AP19091" s="9">
        <v>3.4292648036413347</v>
      </c>
    </row>
    <row r="19092" spans="40:42" x14ac:dyDescent="0.3">
      <c r="AN19092">
        <v>19088</v>
      </c>
      <c r="AO19092" s="11">
        <v>24078.93</v>
      </c>
      <c r="AP19092" s="9">
        <v>2.8533485660188349</v>
      </c>
    </row>
    <row r="19093" spans="40:42" x14ac:dyDescent="0.3">
      <c r="AN19093">
        <v>19089</v>
      </c>
      <c r="AO19093" s="11">
        <v>23549.46</v>
      </c>
      <c r="AP19093" s="9">
        <v>3.1085573521085599</v>
      </c>
    </row>
    <row r="19094" spans="40:42" x14ac:dyDescent="0.3">
      <c r="AN19094">
        <v>19090</v>
      </c>
      <c r="AO19094" s="11">
        <v>31596.240000000002</v>
      </c>
      <c r="AP19094" s="9">
        <v>3.5862267246802846</v>
      </c>
    </row>
    <row r="19095" spans="40:42" x14ac:dyDescent="0.3">
      <c r="AN19095">
        <v>19091</v>
      </c>
      <c r="AO19095" s="11">
        <v>17860.88</v>
      </c>
      <c r="AP19095" s="9">
        <v>3.1125590406928914</v>
      </c>
    </row>
    <row r="19096" spans="40:42" x14ac:dyDescent="0.3">
      <c r="AN19096">
        <v>19092</v>
      </c>
      <c r="AO19096" s="11">
        <v>20167.189999999999</v>
      </c>
      <c r="AP19096" s="9">
        <v>2.761828032813991</v>
      </c>
    </row>
    <row r="19097" spans="40:42" x14ac:dyDescent="0.3">
      <c r="AN19097">
        <v>19093</v>
      </c>
      <c r="AO19097" s="11">
        <v>36728.879999999997</v>
      </c>
      <c r="AP19097" s="9">
        <v>3.856014260304959</v>
      </c>
    </row>
    <row r="19098" spans="40:42" x14ac:dyDescent="0.3">
      <c r="AN19098">
        <v>19094</v>
      </c>
      <c r="AO19098" s="11">
        <v>20186.509999999998</v>
      </c>
      <c r="AP19098" s="9">
        <v>2.6939042996463067</v>
      </c>
    </row>
    <row r="19099" spans="40:42" x14ac:dyDescent="0.3">
      <c r="AN19099">
        <v>19095</v>
      </c>
      <c r="AO19099" s="11">
        <v>32355.91</v>
      </c>
      <c r="AP19099" s="9">
        <v>3.3121885116334804</v>
      </c>
    </row>
    <row r="19100" spans="40:42" x14ac:dyDescent="0.3">
      <c r="AN19100">
        <v>19096</v>
      </c>
      <c r="AO19100" s="11">
        <v>24821.67</v>
      </c>
      <c r="AP19100" s="9">
        <v>3.2308080906352932</v>
      </c>
    </row>
    <row r="19101" spans="40:42" x14ac:dyDescent="0.3">
      <c r="AN19101">
        <v>19097</v>
      </c>
      <c r="AO19101" s="11">
        <v>22006.9</v>
      </c>
      <c r="AP19101" s="9">
        <v>3.4204051505894313</v>
      </c>
    </row>
    <row r="19102" spans="40:42" x14ac:dyDescent="0.3">
      <c r="AN19102">
        <v>19098</v>
      </c>
      <c r="AO19102" s="11">
        <v>49039.03</v>
      </c>
      <c r="AP19102" s="9">
        <v>3.4209412107277695</v>
      </c>
    </row>
    <row r="19103" spans="40:42" x14ac:dyDescent="0.3">
      <c r="AN19103">
        <v>19099</v>
      </c>
      <c r="AO19103" s="11">
        <v>18106.71</v>
      </c>
      <c r="AP19103" s="9">
        <v>3.1329335692890528</v>
      </c>
    </row>
    <row r="19104" spans="40:42" x14ac:dyDescent="0.3">
      <c r="AN19104">
        <v>19100</v>
      </c>
      <c r="AO19104" s="11">
        <v>23422.52</v>
      </c>
      <c r="AP19104" s="9">
        <v>3.7396142283299683</v>
      </c>
    </row>
    <row r="19105" spans="40:42" x14ac:dyDescent="0.3">
      <c r="AN19105">
        <v>19101</v>
      </c>
      <c r="AO19105" s="11">
        <v>35730.22</v>
      </c>
      <c r="AP19105" s="9">
        <v>3.1483859675423256</v>
      </c>
    </row>
    <row r="19106" spans="40:42" x14ac:dyDescent="0.3">
      <c r="AN19106">
        <v>19102</v>
      </c>
      <c r="AO19106" s="11">
        <v>41392.239999999998</v>
      </c>
      <c r="AP19106" s="9">
        <v>4.0092521912147143</v>
      </c>
    </row>
    <row r="19107" spans="40:42" x14ac:dyDescent="0.3">
      <c r="AN19107">
        <v>19103</v>
      </c>
      <c r="AO19107" s="11">
        <v>20421.18</v>
      </c>
      <c r="AP19107" s="9">
        <v>2.8362247876202402</v>
      </c>
    </row>
    <row r="19108" spans="40:42" x14ac:dyDescent="0.3">
      <c r="AN19108">
        <v>19104</v>
      </c>
      <c r="AO19108" s="11">
        <v>16040.58</v>
      </c>
      <c r="AP19108" s="9">
        <v>2.600026269877445</v>
      </c>
    </row>
    <row r="19109" spans="40:42" x14ac:dyDescent="0.3">
      <c r="AN19109">
        <v>19105</v>
      </c>
      <c r="AO19109" s="11">
        <v>18014.189999999999</v>
      </c>
      <c r="AP19109" s="9">
        <v>2.5837319331886737</v>
      </c>
    </row>
    <row r="19110" spans="40:42" x14ac:dyDescent="0.3">
      <c r="AN19110">
        <v>19106</v>
      </c>
      <c r="AO19110" s="11">
        <v>26177.71</v>
      </c>
      <c r="AP19110" s="9">
        <v>3.1907592680476027</v>
      </c>
    </row>
    <row r="19111" spans="40:42" x14ac:dyDescent="0.3">
      <c r="AN19111">
        <v>19107</v>
      </c>
      <c r="AO19111" s="11">
        <v>27040.49</v>
      </c>
      <c r="AP19111" s="9">
        <v>3.6415314746245682</v>
      </c>
    </row>
    <row r="19112" spans="40:42" x14ac:dyDescent="0.3">
      <c r="AN19112">
        <v>19108</v>
      </c>
      <c r="AO19112" s="11">
        <v>31231.82</v>
      </c>
      <c r="AP19112" s="9">
        <v>3.3736491171863867</v>
      </c>
    </row>
    <row r="19113" spans="40:42" x14ac:dyDescent="0.3">
      <c r="AN19113">
        <v>19109</v>
      </c>
      <c r="AO19113" s="11">
        <v>24320.27</v>
      </c>
      <c r="AP19113" s="9">
        <v>3.1484488945925997</v>
      </c>
    </row>
    <row r="19114" spans="40:42" x14ac:dyDescent="0.3">
      <c r="AN19114">
        <v>19110</v>
      </c>
      <c r="AO19114" s="11">
        <v>22529.56</v>
      </c>
      <c r="AP19114" s="9">
        <v>2.7000108556192206</v>
      </c>
    </row>
    <row r="19115" spans="40:42" x14ac:dyDescent="0.3">
      <c r="AN19115">
        <v>19111</v>
      </c>
      <c r="AO19115" s="11">
        <v>12957.76</v>
      </c>
      <c r="AP19115" s="9">
        <v>3.1051927757216378</v>
      </c>
    </row>
    <row r="19116" spans="40:42" x14ac:dyDescent="0.3">
      <c r="AN19116">
        <v>19112</v>
      </c>
      <c r="AO19116" s="11">
        <v>28636.83</v>
      </c>
      <c r="AP19116" s="9">
        <v>3.3282306781294824</v>
      </c>
    </row>
    <row r="19117" spans="40:42" x14ac:dyDescent="0.3">
      <c r="AN19117">
        <v>19113</v>
      </c>
      <c r="AO19117" s="11">
        <v>27823.85</v>
      </c>
      <c r="AP19117" s="9">
        <v>4.5543797313641905</v>
      </c>
    </row>
    <row r="19118" spans="40:42" x14ac:dyDescent="0.3">
      <c r="AN19118">
        <v>19114</v>
      </c>
      <c r="AO19118" s="11">
        <v>20723.41</v>
      </c>
      <c r="AP19118" s="9">
        <v>3.2092954959006166</v>
      </c>
    </row>
    <row r="19119" spans="40:42" x14ac:dyDescent="0.3">
      <c r="AN19119">
        <v>19115</v>
      </c>
      <c r="AO19119" s="11">
        <v>38717.78</v>
      </c>
      <c r="AP19119" s="9">
        <v>3.8418791525951876</v>
      </c>
    </row>
    <row r="19120" spans="40:42" x14ac:dyDescent="0.3">
      <c r="AN19120">
        <v>19116</v>
      </c>
      <c r="AO19120" s="11">
        <v>34010.519999999997</v>
      </c>
      <c r="AP19120" s="9">
        <v>3.7349068154760996</v>
      </c>
    </row>
    <row r="19121" spans="40:42" x14ac:dyDescent="0.3">
      <c r="AN19121">
        <v>19117</v>
      </c>
      <c r="AO19121" s="11">
        <v>19625.62</v>
      </c>
      <c r="AP19121" s="9">
        <v>3.6671867485500003</v>
      </c>
    </row>
    <row r="19122" spans="40:42" x14ac:dyDescent="0.3">
      <c r="AN19122">
        <v>19118</v>
      </c>
      <c r="AO19122" s="11">
        <v>20299.099999999999</v>
      </c>
      <c r="AP19122" s="9">
        <v>2.5789927903792789</v>
      </c>
    </row>
    <row r="19123" spans="40:42" x14ac:dyDescent="0.3">
      <c r="AN19123">
        <v>19119</v>
      </c>
      <c r="AO19123" s="11">
        <v>23334.07</v>
      </c>
      <c r="AP19123" s="9">
        <v>4.0527964399345091</v>
      </c>
    </row>
    <row r="19124" spans="40:42" x14ac:dyDescent="0.3">
      <c r="AN19124">
        <v>19120</v>
      </c>
      <c r="AO19124" s="11">
        <v>13662.56</v>
      </c>
      <c r="AP19124" s="9">
        <v>2.9880621176127442</v>
      </c>
    </row>
    <row r="19125" spans="40:42" x14ac:dyDescent="0.3">
      <c r="AN19125">
        <v>19121</v>
      </c>
      <c r="AO19125" s="11">
        <v>26427.93</v>
      </c>
      <c r="AP19125" s="9">
        <v>3.2401459896472602</v>
      </c>
    </row>
    <row r="19126" spans="40:42" x14ac:dyDescent="0.3">
      <c r="AN19126">
        <v>19122</v>
      </c>
      <c r="AO19126" s="11">
        <v>33901.96</v>
      </c>
      <c r="AP19126" s="9">
        <v>4.1836483648296703</v>
      </c>
    </row>
    <row r="19127" spans="40:42" x14ac:dyDescent="0.3">
      <c r="AN19127">
        <v>19123</v>
      </c>
      <c r="AO19127" s="11">
        <v>25753.58</v>
      </c>
      <c r="AP19127" s="9">
        <v>3.27365442585889</v>
      </c>
    </row>
    <row r="19128" spans="40:42" x14ac:dyDescent="0.3">
      <c r="AN19128">
        <v>19124</v>
      </c>
      <c r="AO19128" s="11">
        <v>24812.21</v>
      </c>
      <c r="AP19128" s="9">
        <v>3.7278618418890073</v>
      </c>
    </row>
    <row r="19129" spans="40:42" x14ac:dyDescent="0.3">
      <c r="AN19129">
        <v>19125</v>
      </c>
      <c r="AO19129" s="11">
        <v>46050.09</v>
      </c>
      <c r="AP19129" s="9">
        <v>3.4547933188141515</v>
      </c>
    </row>
    <row r="19130" spans="40:42" x14ac:dyDescent="0.3">
      <c r="AN19130">
        <v>19126</v>
      </c>
      <c r="AO19130" s="11">
        <v>21167.79</v>
      </c>
      <c r="AP19130" s="9">
        <v>3.164031740140723</v>
      </c>
    </row>
    <row r="19131" spans="40:42" x14ac:dyDescent="0.3">
      <c r="AN19131">
        <v>19127</v>
      </c>
      <c r="AO19131" s="11">
        <v>34165.519999999997</v>
      </c>
      <c r="AP19131" s="9">
        <v>3.5293640303024274</v>
      </c>
    </row>
    <row r="19132" spans="40:42" x14ac:dyDescent="0.3">
      <c r="AN19132">
        <v>19128</v>
      </c>
      <c r="AO19132" s="11">
        <v>42073.23</v>
      </c>
      <c r="AP19132" s="9">
        <v>3.3967447291967199</v>
      </c>
    </row>
    <row r="19133" spans="40:42" x14ac:dyDescent="0.3">
      <c r="AN19133">
        <v>19129</v>
      </c>
      <c r="AO19133" s="11">
        <v>33572.43</v>
      </c>
      <c r="AP19133" s="9">
        <v>2.7246478792938551</v>
      </c>
    </row>
    <row r="19134" spans="40:42" x14ac:dyDescent="0.3">
      <c r="AN19134">
        <v>19130</v>
      </c>
      <c r="AO19134" s="11">
        <v>23765.279999999999</v>
      </c>
      <c r="AP19134" s="9">
        <v>3.173142948476789</v>
      </c>
    </row>
    <row r="19135" spans="40:42" x14ac:dyDescent="0.3">
      <c r="AN19135">
        <v>19131</v>
      </c>
      <c r="AO19135" s="11">
        <v>18372.759999999998</v>
      </c>
      <c r="AP19135" s="9">
        <v>3.0509316283864729</v>
      </c>
    </row>
    <row r="19136" spans="40:42" x14ac:dyDescent="0.3">
      <c r="AN19136">
        <v>19132</v>
      </c>
      <c r="AO19136" s="11">
        <v>33050.660000000003</v>
      </c>
      <c r="AP19136" s="9">
        <v>3.7214170647423979</v>
      </c>
    </row>
    <row r="19137" spans="40:42" x14ac:dyDescent="0.3">
      <c r="AN19137">
        <v>19133</v>
      </c>
      <c r="AO19137" s="11">
        <v>22750.74</v>
      </c>
      <c r="AP19137" s="9">
        <v>3.9235572693376848</v>
      </c>
    </row>
    <row r="19138" spans="40:42" x14ac:dyDescent="0.3">
      <c r="AN19138">
        <v>19134</v>
      </c>
      <c r="AO19138" s="11">
        <v>31830.43</v>
      </c>
      <c r="AP19138" s="9">
        <v>3.0744788762438677</v>
      </c>
    </row>
    <row r="19139" spans="40:42" x14ac:dyDescent="0.3">
      <c r="AN19139">
        <v>19135</v>
      </c>
      <c r="AO19139" s="11">
        <v>37274.47</v>
      </c>
      <c r="AP19139" s="9">
        <v>3.261290786317331</v>
      </c>
    </row>
    <row r="19140" spans="40:42" x14ac:dyDescent="0.3">
      <c r="AN19140">
        <v>19136</v>
      </c>
      <c r="AO19140" s="11">
        <v>17498.04</v>
      </c>
      <c r="AP19140" s="9">
        <v>2.9078780845139049</v>
      </c>
    </row>
    <row r="19141" spans="40:42" x14ac:dyDescent="0.3">
      <c r="AN19141">
        <v>19137</v>
      </c>
      <c r="AO19141" s="11">
        <v>41561.25</v>
      </c>
      <c r="AP19141" s="9">
        <v>3.9072807822715383</v>
      </c>
    </row>
    <row r="19142" spans="40:42" x14ac:dyDescent="0.3">
      <c r="AN19142">
        <v>19138</v>
      </c>
      <c r="AO19142" s="11">
        <v>33818.06</v>
      </c>
      <c r="AP19142" s="9">
        <v>3.7555413352855993</v>
      </c>
    </row>
    <row r="19143" spans="40:42" x14ac:dyDescent="0.3">
      <c r="AN19143">
        <v>19139</v>
      </c>
      <c r="AO19143" s="11">
        <v>27002.33</v>
      </c>
      <c r="AP19143" s="9">
        <v>3.2481676396765127</v>
      </c>
    </row>
    <row r="19144" spans="40:42" x14ac:dyDescent="0.3">
      <c r="AN19144">
        <v>19140</v>
      </c>
      <c r="AO19144" s="11">
        <v>22701.69</v>
      </c>
      <c r="AP19144" s="9">
        <v>3.0818588347444478</v>
      </c>
    </row>
    <row r="19145" spans="40:42" x14ac:dyDescent="0.3">
      <c r="AN19145">
        <v>19141</v>
      </c>
      <c r="AO19145" s="11">
        <v>27015.46</v>
      </c>
      <c r="AP19145" s="9">
        <v>3.8175548015644716</v>
      </c>
    </row>
    <row r="19146" spans="40:42" x14ac:dyDescent="0.3">
      <c r="AN19146">
        <v>19142</v>
      </c>
      <c r="AO19146" s="11">
        <v>26234.41</v>
      </c>
      <c r="AP19146" s="9">
        <v>3.1793032203476694</v>
      </c>
    </row>
    <row r="19147" spans="40:42" x14ac:dyDescent="0.3">
      <c r="AN19147">
        <v>19143</v>
      </c>
      <c r="AO19147" s="11">
        <v>18367.86</v>
      </c>
      <c r="AP19147" s="9">
        <v>3.5707562891277749</v>
      </c>
    </row>
    <row r="19148" spans="40:42" x14ac:dyDescent="0.3">
      <c r="AN19148">
        <v>19144</v>
      </c>
      <c r="AO19148" s="11">
        <v>23017.34</v>
      </c>
      <c r="AP19148" s="9">
        <v>3.4939484091472863</v>
      </c>
    </row>
    <row r="19149" spans="40:42" x14ac:dyDescent="0.3">
      <c r="AN19149">
        <v>19145</v>
      </c>
      <c r="AO19149" s="11">
        <v>18227.37</v>
      </c>
      <c r="AP19149" s="9">
        <v>3.1165364201070127</v>
      </c>
    </row>
    <row r="19150" spans="40:42" x14ac:dyDescent="0.3">
      <c r="AN19150">
        <v>19146</v>
      </c>
      <c r="AO19150" s="11">
        <v>28323.71</v>
      </c>
      <c r="AP19150" s="9">
        <v>3.2541630005877815</v>
      </c>
    </row>
    <row r="19151" spans="40:42" x14ac:dyDescent="0.3">
      <c r="AN19151">
        <v>19147</v>
      </c>
      <c r="AO19151" s="11">
        <v>34780.21</v>
      </c>
      <c r="AP19151" s="9">
        <v>3.8489943066889953</v>
      </c>
    </row>
    <row r="19152" spans="40:42" x14ac:dyDescent="0.3">
      <c r="AN19152">
        <v>19148</v>
      </c>
      <c r="AO19152" s="11">
        <v>40624.9</v>
      </c>
      <c r="AP19152" s="9">
        <v>3.7989404236034341</v>
      </c>
    </row>
    <row r="19153" spans="40:42" x14ac:dyDescent="0.3">
      <c r="AN19153">
        <v>19149</v>
      </c>
      <c r="AO19153" s="11">
        <v>22208.09</v>
      </c>
      <c r="AP19153" s="9">
        <v>3.0803380909424813</v>
      </c>
    </row>
    <row r="19154" spans="40:42" x14ac:dyDescent="0.3">
      <c r="AN19154">
        <v>19150</v>
      </c>
      <c r="AO19154" s="11">
        <v>31443.03</v>
      </c>
      <c r="AP19154" s="9">
        <v>3.395686512054831</v>
      </c>
    </row>
    <row r="19155" spans="40:42" x14ac:dyDescent="0.3">
      <c r="AN19155">
        <v>19151</v>
      </c>
      <c r="AO19155" s="11">
        <v>33354.94</v>
      </c>
      <c r="AP19155" s="9">
        <v>3.1991289500588076</v>
      </c>
    </row>
    <row r="19156" spans="40:42" x14ac:dyDescent="0.3">
      <c r="AN19156">
        <v>19152</v>
      </c>
      <c r="AO19156" s="11">
        <v>39207.35</v>
      </c>
      <c r="AP19156" s="9">
        <v>3.9523250789028053</v>
      </c>
    </row>
    <row r="19157" spans="40:42" x14ac:dyDescent="0.3">
      <c r="AN19157">
        <v>19153</v>
      </c>
      <c r="AO19157" s="11">
        <v>32669.02</v>
      </c>
      <c r="AP19157" s="9">
        <v>3.5247300013449965</v>
      </c>
    </row>
    <row r="19158" spans="40:42" x14ac:dyDescent="0.3">
      <c r="AN19158">
        <v>19154</v>
      </c>
      <c r="AO19158" s="11">
        <v>33766.120000000003</v>
      </c>
      <c r="AP19158" s="9">
        <v>3.7049871829891106</v>
      </c>
    </row>
    <row r="19159" spans="40:42" x14ac:dyDescent="0.3">
      <c r="AN19159">
        <v>19155</v>
      </c>
      <c r="AO19159" s="11">
        <v>29191.759999999998</v>
      </c>
      <c r="AP19159" s="9">
        <v>3.8571784693053761</v>
      </c>
    </row>
    <row r="19160" spans="40:42" x14ac:dyDescent="0.3">
      <c r="AN19160">
        <v>19156</v>
      </c>
      <c r="AO19160" s="11">
        <v>30548.46</v>
      </c>
      <c r="AP19160" s="9">
        <v>3.7459138370723033</v>
      </c>
    </row>
    <row r="19161" spans="40:42" x14ac:dyDescent="0.3">
      <c r="AN19161">
        <v>19157</v>
      </c>
      <c r="AO19161" s="11">
        <v>44088.73</v>
      </c>
      <c r="AP19161" s="9">
        <v>3.499297696308961</v>
      </c>
    </row>
    <row r="19162" spans="40:42" x14ac:dyDescent="0.3">
      <c r="AN19162">
        <v>19158</v>
      </c>
      <c r="AO19162" s="11">
        <v>25409.85</v>
      </c>
      <c r="AP19162" s="9">
        <v>3.1227941417183396</v>
      </c>
    </row>
    <row r="19163" spans="40:42" x14ac:dyDescent="0.3">
      <c r="AN19163">
        <v>19159</v>
      </c>
      <c r="AO19163" s="11">
        <v>23163.68</v>
      </c>
      <c r="AP19163" s="9">
        <v>2.8557073934148298</v>
      </c>
    </row>
    <row r="19164" spans="40:42" x14ac:dyDescent="0.3">
      <c r="AN19164">
        <v>19160</v>
      </c>
      <c r="AO19164" s="11">
        <v>38635.89</v>
      </c>
      <c r="AP19164" s="9">
        <v>3.7392402623889947</v>
      </c>
    </row>
    <row r="19165" spans="40:42" x14ac:dyDescent="0.3">
      <c r="AN19165">
        <v>19161</v>
      </c>
      <c r="AO19165" s="11">
        <v>22628.06</v>
      </c>
      <c r="AP19165" s="9">
        <v>3.4506313031775249</v>
      </c>
    </row>
    <row r="19166" spans="40:42" x14ac:dyDescent="0.3">
      <c r="AN19166">
        <v>19162</v>
      </c>
      <c r="AO19166" s="11">
        <v>28288.07</v>
      </c>
      <c r="AP19166" s="9">
        <v>3.3684415821225202</v>
      </c>
    </row>
    <row r="19167" spans="40:42" x14ac:dyDescent="0.3">
      <c r="AN19167">
        <v>19163</v>
      </c>
      <c r="AO19167" s="11">
        <v>21103.79</v>
      </c>
      <c r="AP19167" s="9">
        <v>3.5919510353966433</v>
      </c>
    </row>
    <row r="19168" spans="40:42" x14ac:dyDescent="0.3">
      <c r="AN19168">
        <v>19164</v>
      </c>
      <c r="AO19168" s="11">
        <v>12755.77</v>
      </c>
      <c r="AP19168" s="9">
        <v>2.6453420761908548</v>
      </c>
    </row>
    <row r="19169" spans="40:42" x14ac:dyDescent="0.3">
      <c r="AN19169">
        <v>19165</v>
      </c>
      <c r="AO19169" s="11">
        <v>30846.13</v>
      </c>
      <c r="AP19169" s="9">
        <v>3.7646000687403514</v>
      </c>
    </row>
    <row r="19170" spans="40:42" x14ac:dyDescent="0.3">
      <c r="AN19170">
        <v>19166</v>
      </c>
      <c r="AO19170" s="11">
        <v>34558.97</v>
      </c>
      <c r="AP19170" s="9">
        <v>3.8300154705243621</v>
      </c>
    </row>
    <row r="19171" spans="40:42" x14ac:dyDescent="0.3">
      <c r="AN19171">
        <v>19167</v>
      </c>
      <c r="AO19171" s="11">
        <v>24790.53</v>
      </c>
      <c r="AP19171" s="9">
        <v>3.5387525856750366</v>
      </c>
    </row>
    <row r="19172" spans="40:42" x14ac:dyDescent="0.3">
      <c r="AN19172">
        <v>19168</v>
      </c>
      <c r="AO19172" s="11">
        <v>32406.3</v>
      </c>
      <c r="AP19172" s="9">
        <v>3.1182884860263576</v>
      </c>
    </row>
    <row r="19173" spans="40:42" x14ac:dyDescent="0.3">
      <c r="AN19173">
        <v>19169</v>
      </c>
      <c r="AO19173" s="11">
        <v>13837.84</v>
      </c>
      <c r="AP19173" s="9">
        <v>3.1022736576998327</v>
      </c>
    </row>
    <row r="19174" spans="40:42" x14ac:dyDescent="0.3">
      <c r="AN19174">
        <v>19170</v>
      </c>
      <c r="AO19174" s="11">
        <v>31383.03</v>
      </c>
      <c r="AP19174" s="9">
        <v>3.0457813111577585</v>
      </c>
    </row>
    <row r="19175" spans="40:42" x14ac:dyDescent="0.3">
      <c r="AN19175">
        <v>19171</v>
      </c>
      <c r="AO19175" s="11">
        <v>33487.230000000003</v>
      </c>
      <c r="AP19175" s="9">
        <v>4.1081474074332673</v>
      </c>
    </row>
    <row r="19176" spans="40:42" x14ac:dyDescent="0.3">
      <c r="AN19176">
        <v>19172</v>
      </c>
      <c r="AO19176" s="11">
        <v>20418.62</v>
      </c>
      <c r="AP19176" s="9">
        <v>3.588601036577189</v>
      </c>
    </row>
    <row r="19177" spans="40:42" x14ac:dyDescent="0.3">
      <c r="AN19177">
        <v>19173</v>
      </c>
      <c r="AO19177" s="11">
        <v>22026.61</v>
      </c>
      <c r="AP19177" s="9">
        <v>3.5547020562322222</v>
      </c>
    </row>
    <row r="19178" spans="40:42" x14ac:dyDescent="0.3">
      <c r="AN19178">
        <v>19174</v>
      </c>
      <c r="AO19178" s="11">
        <v>20550.240000000002</v>
      </c>
      <c r="AP19178" s="9">
        <v>3.3624642669567306</v>
      </c>
    </row>
    <row r="19179" spans="40:42" x14ac:dyDescent="0.3">
      <c r="AN19179">
        <v>19175</v>
      </c>
      <c r="AO19179" s="11">
        <v>30066.03</v>
      </c>
      <c r="AP19179" s="9">
        <v>3.3587664294310069</v>
      </c>
    </row>
    <row r="19180" spans="40:42" x14ac:dyDescent="0.3">
      <c r="AN19180">
        <v>19176</v>
      </c>
      <c r="AO19180" s="11">
        <v>39246.82</v>
      </c>
      <c r="AP19180" s="9">
        <v>3.198975050309115</v>
      </c>
    </row>
    <row r="19181" spans="40:42" x14ac:dyDescent="0.3">
      <c r="AN19181">
        <v>19177</v>
      </c>
      <c r="AO19181" s="11">
        <v>23908.79</v>
      </c>
      <c r="AP19181" s="9">
        <v>3.0350631972375308</v>
      </c>
    </row>
    <row r="19182" spans="40:42" x14ac:dyDescent="0.3">
      <c r="AN19182">
        <v>19178</v>
      </c>
      <c r="AO19182" s="11">
        <v>23498.52</v>
      </c>
      <c r="AP19182" s="9">
        <v>2.8753326950131535</v>
      </c>
    </row>
    <row r="19183" spans="40:42" x14ac:dyDescent="0.3">
      <c r="AN19183">
        <v>19179</v>
      </c>
      <c r="AO19183" s="11">
        <v>29098.3</v>
      </c>
      <c r="AP19183" s="9">
        <v>3.6487622005098994</v>
      </c>
    </row>
    <row r="19184" spans="40:42" x14ac:dyDescent="0.3">
      <c r="AN19184">
        <v>19180</v>
      </c>
      <c r="AO19184" s="11">
        <v>56181.86</v>
      </c>
      <c r="AP19184" s="9">
        <v>4.1667938999307834</v>
      </c>
    </row>
    <row r="19185" spans="40:42" x14ac:dyDescent="0.3">
      <c r="AN19185">
        <v>19181</v>
      </c>
      <c r="AO19185" s="11">
        <v>26123.21</v>
      </c>
      <c r="AP19185" s="9">
        <v>2.9827718293228243</v>
      </c>
    </row>
    <row r="19186" spans="40:42" x14ac:dyDescent="0.3">
      <c r="AN19186">
        <v>19182</v>
      </c>
      <c r="AO19186" s="11">
        <v>20142.689999999999</v>
      </c>
      <c r="AP19186" s="9">
        <v>3.5040437845940247</v>
      </c>
    </row>
    <row r="19187" spans="40:42" x14ac:dyDescent="0.3">
      <c r="AN19187">
        <v>19183</v>
      </c>
      <c r="AO19187" s="11">
        <v>15556.41</v>
      </c>
      <c r="AP19187" s="9">
        <v>3.7200738311497892</v>
      </c>
    </row>
    <row r="19188" spans="40:42" x14ac:dyDescent="0.3">
      <c r="AN19188">
        <v>19184</v>
      </c>
      <c r="AO19188" s="11">
        <v>22506.68</v>
      </c>
      <c r="AP19188" s="9">
        <v>3.2831412407495675</v>
      </c>
    </row>
    <row r="19189" spans="40:42" x14ac:dyDescent="0.3">
      <c r="AN19189">
        <v>19185</v>
      </c>
      <c r="AO19189" s="11">
        <v>19565.03</v>
      </c>
      <c r="AP19189" s="9">
        <v>3.1570954037957977</v>
      </c>
    </row>
    <row r="19190" spans="40:42" x14ac:dyDescent="0.3">
      <c r="AN19190">
        <v>19186</v>
      </c>
      <c r="AO19190" s="11">
        <v>21244.080000000002</v>
      </c>
      <c r="AP19190" s="9">
        <v>3.0820020107132819</v>
      </c>
    </row>
    <row r="19191" spans="40:42" x14ac:dyDescent="0.3">
      <c r="AN19191">
        <v>19187</v>
      </c>
      <c r="AO19191" s="11">
        <v>30802.44</v>
      </c>
      <c r="AP19191" s="9">
        <v>3.3505721611584747</v>
      </c>
    </row>
    <row r="19192" spans="40:42" x14ac:dyDescent="0.3">
      <c r="AN19192">
        <v>19188</v>
      </c>
      <c r="AO19192" s="11">
        <v>22554.81</v>
      </c>
      <c r="AP19192" s="9">
        <v>3.3333448814692588</v>
      </c>
    </row>
    <row r="19193" spans="40:42" x14ac:dyDescent="0.3">
      <c r="AN19193">
        <v>19189</v>
      </c>
      <c r="AO19193" s="11">
        <v>19277.900000000001</v>
      </c>
      <c r="AP19193" s="9">
        <v>2.7673886622451054</v>
      </c>
    </row>
    <row r="19194" spans="40:42" x14ac:dyDescent="0.3">
      <c r="AN19194">
        <v>19190</v>
      </c>
      <c r="AO19194" s="11">
        <v>25003.95</v>
      </c>
      <c r="AP19194" s="9">
        <v>2.7963548781137493</v>
      </c>
    </row>
    <row r="19195" spans="40:42" x14ac:dyDescent="0.3">
      <c r="AN19195">
        <v>19191</v>
      </c>
      <c r="AO19195" s="11">
        <v>21919.23</v>
      </c>
      <c r="AP19195" s="9">
        <v>3.2342225569150895</v>
      </c>
    </row>
    <row r="19196" spans="40:42" x14ac:dyDescent="0.3">
      <c r="AN19196">
        <v>19192</v>
      </c>
      <c r="AO19196" s="11">
        <v>19751.400000000001</v>
      </c>
      <c r="AP19196" s="9">
        <v>3.1715749455564102</v>
      </c>
    </row>
    <row r="19197" spans="40:42" x14ac:dyDescent="0.3">
      <c r="AN19197">
        <v>19193</v>
      </c>
      <c r="AO19197" s="11">
        <v>18731.419999999998</v>
      </c>
      <c r="AP19197" s="9">
        <v>3.2383652091797659</v>
      </c>
    </row>
    <row r="19198" spans="40:42" x14ac:dyDescent="0.3">
      <c r="AN19198">
        <v>19194</v>
      </c>
      <c r="AO19198" s="11">
        <v>35053.730000000003</v>
      </c>
      <c r="AP19198" s="9">
        <v>2.9295782168337934</v>
      </c>
    </row>
    <row r="19199" spans="40:42" x14ac:dyDescent="0.3">
      <c r="AN19199">
        <v>19195</v>
      </c>
      <c r="AO19199" s="11">
        <v>35989.379999999997</v>
      </c>
      <c r="AP19199" s="9">
        <v>3.4048407856117828</v>
      </c>
    </row>
    <row r="19200" spans="40:42" x14ac:dyDescent="0.3">
      <c r="AN19200">
        <v>19196</v>
      </c>
      <c r="AO19200" s="11">
        <v>34165.160000000003</v>
      </c>
      <c r="AP19200" s="9">
        <v>4.2100791574020375</v>
      </c>
    </row>
    <row r="19201" spans="40:42" x14ac:dyDescent="0.3">
      <c r="AN19201">
        <v>19197</v>
      </c>
      <c r="AO19201" s="11">
        <v>19286.54</v>
      </c>
      <c r="AP19201" s="9">
        <v>3.2997831456712037</v>
      </c>
    </row>
    <row r="19202" spans="40:42" x14ac:dyDescent="0.3">
      <c r="AN19202">
        <v>19198</v>
      </c>
      <c r="AO19202" s="11">
        <v>41598.699999999997</v>
      </c>
      <c r="AP19202" s="9">
        <v>3.490052791427841</v>
      </c>
    </row>
    <row r="19203" spans="40:42" x14ac:dyDescent="0.3">
      <c r="AN19203">
        <v>19199</v>
      </c>
      <c r="AO19203" s="11">
        <v>25197.39</v>
      </c>
      <c r="AP19203" s="9">
        <v>2.931220987891662</v>
      </c>
    </row>
    <row r="19204" spans="40:42" x14ac:dyDescent="0.3">
      <c r="AN19204">
        <v>19200</v>
      </c>
      <c r="AO19204" s="11">
        <v>34995.620000000003</v>
      </c>
      <c r="AP19204" s="9">
        <v>2.9485699842049304</v>
      </c>
    </row>
    <row r="19205" spans="40:42" x14ac:dyDescent="0.3">
      <c r="AN19205">
        <v>19201</v>
      </c>
      <c r="AO19205" s="11">
        <v>21218.65</v>
      </c>
      <c r="AP19205" s="9">
        <v>4.05140374787086</v>
      </c>
    </row>
    <row r="19206" spans="40:42" x14ac:dyDescent="0.3">
      <c r="AN19206">
        <v>19202</v>
      </c>
      <c r="AO19206" s="11">
        <v>31200.42</v>
      </c>
      <c r="AP19206" s="9">
        <v>3.9766141575662459</v>
      </c>
    </row>
    <row r="19207" spans="40:42" x14ac:dyDescent="0.3">
      <c r="AN19207">
        <v>19203</v>
      </c>
      <c r="AO19207" s="11">
        <v>42384.71</v>
      </c>
      <c r="AP19207" s="9">
        <v>3.5580341175072689</v>
      </c>
    </row>
    <row r="19208" spans="40:42" x14ac:dyDescent="0.3">
      <c r="AN19208">
        <v>19204</v>
      </c>
      <c r="AO19208" s="11">
        <v>31597.42</v>
      </c>
      <c r="AP19208" s="9">
        <v>3.4874634653324557</v>
      </c>
    </row>
    <row r="19209" spans="40:42" x14ac:dyDescent="0.3">
      <c r="AN19209">
        <v>19205</v>
      </c>
      <c r="AO19209" s="11">
        <v>18320.45</v>
      </c>
      <c r="AP19209" s="9">
        <v>3.4612748008526943</v>
      </c>
    </row>
    <row r="19210" spans="40:42" x14ac:dyDescent="0.3">
      <c r="AN19210">
        <v>19206</v>
      </c>
      <c r="AO19210" s="11">
        <v>40708.32</v>
      </c>
      <c r="AP19210" s="9">
        <v>3.4437999704142293</v>
      </c>
    </row>
    <row r="19211" spans="40:42" x14ac:dyDescent="0.3">
      <c r="AN19211">
        <v>19207</v>
      </c>
      <c r="AO19211" s="11">
        <v>21277.81</v>
      </c>
      <c r="AP19211" s="9">
        <v>3.4610828807018041</v>
      </c>
    </row>
    <row r="19212" spans="40:42" x14ac:dyDescent="0.3">
      <c r="AN19212">
        <v>19208</v>
      </c>
      <c r="AO19212" s="11">
        <v>20018.060000000001</v>
      </c>
      <c r="AP19212" s="9">
        <v>3.0086217485030797</v>
      </c>
    </row>
    <row r="19213" spans="40:42" x14ac:dyDescent="0.3">
      <c r="AN19213">
        <v>19209</v>
      </c>
      <c r="AO19213" s="11">
        <v>32937.74</v>
      </c>
      <c r="AP19213" s="9">
        <v>3.4764471047347651</v>
      </c>
    </row>
    <row r="19214" spans="40:42" x14ac:dyDescent="0.3">
      <c r="AN19214">
        <v>19210</v>
      </c>
      <c r="AO19214" s="11">
        <v>16369.72</v>
      </c>
      <c r="AP19214" s="9">
        <v>2.8955230858049386</v>
      </c>
    </row>
    <row r="19215" spans="40:42" x14ac:dyDescent="0.3">
      <c r="AN19215">
        <v>19211</v>
      </c>
      <c r="AO19215" s="11">
        <v>28750.94</v>
      </c>
      <c r="AP19215" s="9">
        <v>4.6676741804026003</v>
      </c>
    </row>
    <row r="19216" spans="40:42" x14ac:dyDescent="0.3">
      <c r="AN19216">
        <v>19212</v>
      </c>
      <c r="AO19216" s="11">
        <v>30216.01</v>
      </c>
      <c r="AP19216" s="9">
        <v>3.9475067633267029</v>
      </c>
    </row>
    <row r="19217" spans="40:42" x14ac:dyDescent="0.3">
      <c r="AN19217">
        <v>19213</v>
      </c>
      <c r="AO19217" s="11">
        <v>27470.2</v>
      </c>
      <c r="AP19217" s="9">
        <v>3.6200977934991387</v>
      </c>
    </row>
    <row r="19218" spans="40:42" x14ac:dyDescent="0.3">
      <c r="AN19218">
        <v>19214</v>
      </c>
      <c r="AO19218" s="11">
        <v>22630.27</v>
      </c>
      <c r="AP19218" s="9">
        <v>3.3312191999805094</v>
      </c>
    </row>
    <row r="19219" spans="40:42" x14ac:dyDescent="0.3">
      <c r="AN19219">
        <v>19215</v>
      </c>
      <c r="AO19219" s="11">
        <v>36082.58</v>
      </c>
      <c r="AP19219" s="9">
        <v>3.9129701680970874</v>
      </c>
    </row>
    <row r="19220" spans="40:42" x14ac:dyDescent="0.3">
      <c r="AN19220">
        <v>19216</v>
      </c>
      <c r="AO19220" s="11">
        <v>31247.59</v>
      </c>
      <c r="AP19220" s="9">
        <v>3.2473958339606166</v>
      </c>
    </row>
    <row r="19221" spans="40:42" x14ac:dyDescent="0.3">
      <c r="AN19221">
        <v>19217</v>
      </c>
      <c r="AO19221" s="11">
        <v>31884.240000000002</v>
      </c>
      <c r="AP19221" s="9">
        <v>3.3317157860964173</v>
      </c>
    </row>
    <row r="19222" spans="40:42" x14ac:dyDescent="0.3">
      <c r="AN19222">
        <v>19218</v>
      </c>
      <c r="AO19222" s="11">
        <v>20962.89</v>
      </c>
      <c r="AP19222" s="9">
        <v>2.9363568136465306</v>
      </c>
    </row>
    <row r="19223" spans="40:42" x14ac:dyDescent="0.3">
      <c r="AN19223">
        <v>19219</v>
      </c>
      <c r="AO19223" s="11">
        <v>29100.3</v>
      </c>
      <c r="AP19223" s="9">
        <v>3.5278637809299509</v>
      </c>
    </row>
    <row r="19224" spans="40:42" x14ac:dyDescent="0.3">
      <c r="AN19224">
        <v>19220</v>
      </c>
      <c r="AO19224" s="11">
        <v>44779.9</v>
      </c>
      <c r="AP19224" s="9">
        <v>3.0984626990506561</v>
      </c>
    </row>
    <row r="19225" spans="40:42" x14ac:dyDescent="0.3">
      <c r="AN19225">
        <v>19221</v>
      </c>
      <c r="AO19225" s="11">
        <v>27159.27</v>
      </c>
      <c r="AP19225" s="9">
        <v>3.243122469247933</v>
      </c>
    </row>
    <row r="19226" spans="40:42" x14ac:dyDescent="0.3">
      <c r="AN19226">
        <v>19222</v>
      </c>
      <c r="AO19226" s="11">
        <v>36329.019999999997</v>
      </c>
      <c r="AP19226" s="9">
        <v>3.3582489541554366</v>
      </c>
    </row>
    <row r="19227" spans="40:42" x14ac:dyDescent="0.3">
      <c r="AN19227">
        <v>19223</v>
      </c>
      <c r="AO19227" s="11">
        <v>27526.97</v>
      </c>
      <c r="AP19227" s="9">
        <v>2.9489367272742109</v>
      </c>
    </row>
    <row r="19228" spans="40:42" x14ac:dyDescent="0.3">
      <c r="AN19228">
        <v>19224</v>
      </c>
      <c r="AO19228" s="11">
        <v>23366.23</v>
      </c>
      <c r="AP19228" s="9">
        <v>3.4698764128721065</v>
      </c>
    </row>
    <row r="19229" spans="40:42" x14ac:dyDescent="0.3">
      <c r="AN19229">
        <v>19225</v>
      </c>
      <c r="AO19229" s="11">
        <v>33763.85</v>
      </c>
      <c r="AP19229" s="9">
        <v>2.9629326401704588</v>
      </c>
    </row>
    <row r="19230" spans="40:42" x14ac:dyDescent="0.3">
      <c r="AN19230">
        <v>19226</v>
      </c>
      <c r="AO19230" s="11">
        <v>17585.54</v>
      </c>
      <c r="AP19230" s="9">
        <v>3.6553941067197293</v>
      </c>
    </row>
    <row r="19231" spans="40:42" x14ac:dyDescent="0.3">
      <c r="AN19231">
        <v>19227</v>
      </c>
      <c r="AO19231" s="11">
        <v>25534.68</v>
      </c>
      <c r="AP19231" s="9">
        <v>2.6544164173667535</v>
      </c>
    </row>
    <row r="19232" spans="40:42" x14ac:dyDescent="0.3">
      <c r="AN19232">
        <v>19228</v>
      </c>
      <c r="AO19232" s="11">
        <v>18716.22</v>
      </c>
      <c r="AP19232" s="9">
        <v>2.9195485037174529</v>
      </c>
    </row>
    <row r="19233" spans="40:42" x14ac:dyDescent="0.3">
      <c r="AN19233">
        <v>19229</v>
      </c>
      <c r="AO19233" s="11">
        <v>22947.95</v>
      </c>
      <c r="AP19233" s="9">
        <v>3.3230780596452014</v>
      </c>
    </row>
    <row r="19234" spans="40:42" x14ac:dyDescent="0.3">
      <c r="AN19234">
        <v>19230</v>
      </c>
      <c r="AO19234" s="11">
        <v>50277.83</v>
      </c>
      <c r="AP19234" s="9">
        <v>4.0914570254299489</v>
      </c>
    </row>
    <row r="19235" spans="40:42" x14ac:dyDescent="0.3">
      <c r="AN19235">
        <v>19231</v>
      </c>
      <c r="AO19235" s="11">
        <v>21318.18</v>
      </c>
      <c r="AP19235" s="9">
        <v>3.0665309666364919</v>
      </c>
    </row>
    <row r="19236" spans="40:42" x14ac:dyDescent="0.3">
      <c r="AN19236">
        <v>19232</v>
      </c>
      <c r="AO19236" s="11">
        <v>20684.419999999998</v>
      </c>
      <c r="AP19236" s="9">
        <v>3.3711455697600563</v>
      </c>
    </row>
    <row r="19237" spans="40:42" x14ac:dyDescent="0.3">
      <c r="AN19237">
        <v>19233</v>
      </c>
      <c r="AO19237" s="11">
        <v>26417.4</v>
      </c>
      <c r="AP19237" s="9">
        <v>3.0948952433563641</v>
      </c>
    </row>
    <row r="19238" spans="40:42" x14ac:dyDescent="0.3">
      <c r="AN19238">
        <v>19234</v>
      </c>
      <c r="AO19238" s="11">
        <v>30909.69</v>
      </c>
      <c r="AP19238" s="9">
        <v>3.6893670191226073</v>
      </c>
    </row>
    <row r="19239" spans="40:42" x14ac:dyDescent="0.3">
      <c r="AN19239">
        <v>19235</v>
      </c>
      <c r="AO19239" s="11">
        <v>19229.509999999998</v>
      </c>
      <c r="AP19239" s="9">
        <v>3.2027079140368313</v>
      </c>
    </row>
    <row r="19240" spans="40:42" x14ac:dyDescent="0.3">
      <c r="AN19240">
        <v>19236</v>
      </c>
      <c r="AO19240" s="11">
        <v>26180.84</v>
      </c>
      <c r="AP19240" s="9">
        <v>3.690859850444832</v>
      </c>
    </row>
    <row r="19241" spans="40:42" x14ac:dyDescent="0.3">
      <c r="AN19241">
        <v>19237</v>
      </c>
      <c r="AO19241" s="11">
        <v>28927.26</v>
      </c>
      <c r="AP19241" s="9">
        <v>3.4186162908614022</v>
      </c>
    </row>
    <row r="19242" spans="40:42" x14ac:dyDescent="0.3">
      <c r="AN19242">
        <v>19238</v>
      </c>
      <c r="AO19242" s="11">
        <v>39647.64</v>
      </c>
      <c r="AP19242" s="9">
        <v>3.500815776470608</v>
      </c>
    </row>
    <row r="19243" spans="40:42" x14ac:dyDescent="0.3">
      <c r="AN19243">
        <v>19239</v>
      </c>
      <c r="AO19243" s="11">
        <v>27111.55</v>
      </c>
      <c r="AP19243" s="9">
        <v>3.1009242680296918</v>
      </c>
    </row>
    <row r="19244" spans="40:42" x14ac:dyDescent="0.3">
      <c r="AN19244">
        <v>19240</v>
      </c>
      <c r="AO19244" s="11">
        <v>31624.720000000001</v>
      </c>
      <c r="AP19244" s="9">
        <v>3.2119409190138422</v>
      </c>
    </row>
    <row r="19245" spans="40:42" x14ac:dyDescent="0.3">
      <c r="AN19245">
        <v>19241</v>
      </c>
      <c r="AO19245" s="11">
        <v>24155.279999999999</v>
      </c>
      <c r="AP19245" s="9">
        <v>3.9515290057921764</v>
      </c>
    </row>
    <row r="19246" spans="40:42" x14ac:dyDescent="0.3">
      <c r="AN19246">
        <v>19242</v>
      </c>
      <c r="AO19246" s="11">
        <v>31214.29</v>
      </c>
      <c r="AP19246" s="9">
        <v>3.8760933675609808</v>
      </c>
    </row>
    <row r="19247" spans="40:42" x14ac:dyDescent="0.3">
      <c r="AN19247">
        <v>19243</v>
      </c>
      <c r="AO19247" s="11">
        <v>34630.9</v>
      </c>
      <c r="AP19247" s="9">
        <v>3.543586397703232</v>
      </c>
    </row>
    <row r="19248" spans="40:42" x14ac:dyDescent="0.3">
      <c r="AN19248">
        <v>19244</v>
      </c>
      <c r="AO19248" s="11">
        <v>29122.58</v>
      </c>
      <c r="AP19248" s="9">
        <v>3.0680919595012943</v>
      </c>
    </row>
    <row r="19249" spans="40:42" x14ac:dyDescent="0.3">
      <c r="AN19249">
        <v>19245</v>
      </c>
      <c r="AO19249" s="11">
        <v>27545.56</v>
      </c>
      <c r="AP19249" s="9">
        <v>3.4492078472840491</v>
      </c>
    </row>
    <row r="19250" spans="40:42" x14ac:dyDescent="0.3">
      <c r="AN19250">
        <v>19246</v>
      </c>
      <c r="AO19250" s="11">
        <v>33509.14</v>
      </c>
      <c r="AP19250" s="9">
        <v>3.2111795503908214</v>
      </c>
    </row>
    <row r="19251" spans="40:42" x14ac:dyDescent="0.3">
      <c r="AN19251">
        <v>19247</v>
      </c>
      <c r="AO19251" s="11">
        <v>23840.14</v>
      </c>
      <c r="AP19251" s="9">
        <v>3.7029561918508547</v>
      </c>
    </row>
    <row r="19252" spans="40:42" x14ac:dyDescent="0.3">
      <c r="AN19252">
        <v>19248</v>
      </c>
      <c r="AO19252" s="11">
        <v>33112.1</v>
      </c>
      <c r="AP19252" s="9">
        <v>3.7402951890819884</v>
      </c>
    </row>
    <row r="19253" spans="40:42" x14ac:dyDescent="0.3">
      <c r="AN19253">
        <v>19249</v>
      </c>
      <c r="AO19253" s="11">
        <v>32999.26</v>
      </c>
      <c r="AP19253" s="9">
        <v>3.2873233010839686</v>
      </c>
    </row>
    <row r="19254" spans="40:42" x14ac:dyDescent="0.3">
      <c r="AN19254">
        <v>19250</v>
      </c>
      <c r="AO19254" s="11">
        <v>27729</v>
      </c>
      <c r="AP19254" s="9">
        <v>3.1188309460007311</v>
      </c>
    </row>
    <row r="19255" spans="40:42" x14ac:dyDescent="0.3">
      <c r="AN19255">
        <v>19251</v>
      </c>
      <c r="AO19255" s="11">
        <v>28432.07</v>
      </c>
      <c r="AP19255" s="9">
        <v>3.6191518820508723</v>
      </c>
    </row>
    <row r="19256" spans="40:42" x14ac:dyDescent="0.3">
      <c r="AN19256">
        <v>19252</v>
      </c>
      <c r="AO19256" s="11">
        <v>28509.42</v>
      </c>
      <c r="AP19256" s="9">
        <v>3.1965595525255739</v>
      </c>
    </row>
    <row r="19257" spans="40:42" x14ac:dyDescent="0.3">
      <c r="AN19257">
        <v>19253</v>
      </c>
      <c r="AO19257" s="11">
        <v>20947.900000000001</v>
      </c>
      <c r="AP19257" s="9">
        <v>2.9776728274036257</v>
      </c>
    </row>
    <row r="19258" spans="40:42" x14ac:dyDescent="0.3">
      <c r="AN19258">
        <v>19254</v>
      </c>
      <c r="AO19258" s="11">
        <v>26610.18</v>
      </c>
      <c r="AP19258" s="9">
        <v>3.6996954000214686</v>
      </c>
    </row>
    <row r="19259" spans="40:42" x14ac:dyDescent="0.3">
      <c r="AN19259">
        <v>19255</v>
      </c>
      <c r="AO19259" s="11">
        <v>23528.35</v>
      </c>
      <c r="AP19259" s="9">
        <v>3.311127492852568</v>
      </c>
    </row>
    <row r="19260" spans="40:42" x14ac:dyDescent="0.3">
      <c r="AN19260">
        <v>19256</v>
      </c>
      <c r="AO19260" s="11">
        <v>31914.36</v>
      </c>
      <c r="AP19260" s="9">
        <v>3.5868487394260304</v>
      </c>
    </row>
    <row r="19261" spans="40:42" x14ac:dyDescent="0.3">
      <c r="AN19261">
        <v>19257</v>
      </c>
      <c r="AO19261" s="11">
        <v>24041.56</v>
      </c>
      <c r="AP19261" s="9">
        <v>2.956675584522356</v>
      </c>
    </row>
    <row r="19262" spans="40:42" x14ac:dyDescent="0.3">
      <c r="AN19262">
        <v>19258</v>
      </c>
      <c r="AO19262" s="11">
        <v>29382.959999999999</v>
      </c>
      <c r="AP19262" s="9">
        <v>3.7782488245207713</v>
      </c>
    </row>
    <row r="19263" spans="40:42" x14ac:dyDescent="0.3">
      <c r="AN19263">
        <v>19259</v>
      </c>
      <c r="AO19263" s="11">
        <v>22559.3</v>
      </c>
      <c r="AP19263" s="9">
        <v>2.6386268362869472</v>
      </c>
    </row>
    <row r="19264" spans="40:42" x14ac:dyDescent="0.3">
      <c r="AN19264">
        <v>19260</v>
      </c>
      <c r="AO19264" s="11">
        <v>17205.490000000002</v>
      </c>
      <c r="AP19264" s="9">
        <v>3.2101193245493724</v>
      </c>
    </row>
    <row r="19265" spans="40:42" x14ac:dyDescent="0.3">
      <c r="AN19265">
        <v>19261</v>
      </c>
      <c r="AO19265" s="11">
        <v>23093.93</v>
      </c>
      <c r="AP19265" s="9">
        <v>3.1156337739026938</v>
      </c>
    </row>
    <row r="19266" spans="40:42" x14ac:dyDescent="0.3">
      <c r="AN19266">
        <v>19262</v>
      </c>
      <c r="AO19266" s="11">
        <v>23830.99</v>
      </c>
      <c r="AP19266" s="9">
        <v>3.1658932961729325</v>
      </c>
    </row>
    <row r="19267" spans="40:42" x14ac:dyDescent="0.3">
      <c r="AN19267">
        <v>19263</v>
      </c>
      <c r="AO19267" s="11">
        <v>24437.33</v>
      </c>
      <c r="AP19267" s="9">
        <v>3.2370039766044569</v>
      </c>
    </row>
    <row r="19268" spans="40:42" x14ac:dyDescent="0.3">
      <c r="AN19268">
        <v>19264</v>
      </c>
      <c r="AO19268" s="11">
        <v>24101.01</v>
      </c>
      <c r="AP19268" s="9">
        <v>3.971051880962051</v>
      </c>
    </row>
    <row r="19269" spans="40:42" x14ac:dyDescent="0.3">
      <c r="AN19269">
        <v>19265</v>
      </c>
      <c r="AO19269" s="11">
        <v>26083.5</v>
      </c>
      <c r="AP19269" s="9">
        <v>3.7658119740641895</v>
      </c>
    </row>
    <row r="19270" spans="40:42" x14ac:dyDescent="0.3">
      <c r="AN19270">
        <v>19266</v>
      </c>
      <c r="AO19270" s="11">
        <v>28256.74</v>
      </c>
      <c r="AP19270" s="9">
        <v>3.755873109040861</v>
      </c>
    </row>
    <row r="19271" spans="40:42" x14ac:dyDescent="0.3">
      <c r="AN19271">
        <v>19267</v>
      </c>
      <c r="AO19271" s="11">
        <v>33672.519999999997</v>
      </c>
      <c r="AP19271" s="9">
        <v>4.2789801562010119</v>
      </c>
    </row>
    <row r="19272" spans="40:42" x14ac:dyDescent="0.3">
      <c r="AN19272">
        <v>19268</v>
      </c>
      <c r="AO19272" s="11">
        <v>16218.3</v>
      </c>
      <c r="AP19272" s="9">
        <v>2.8440940872695508</v>
      </c>
    </row>
    <row r="19273" spans="40:42" x14ac:dyDescent="0.3">
      <c r="AN19273">
        <v>19269</v>
      </c>
      <c r="AO19273" s="11">
        <v>26453.4</v>
      </c>
      <c r="AP19273" s="9">
        <v>4.2048631756100123</v>
      </c>
    </row>
    <row r="19274" spans="40:42" x14ac:dyDescent="0.3">
      <c r="AN19274">
        <v>19270</v>
      </c>
      <c r="AO19274" s="11">
        <v>27622.33</v>
      </c>
      <c r="AP19274" s="9">
        <v>3.5869542559724468</v>
      </c>
    </row>
    <row r="19275" spans="40:42" x14ac:dyDescent="0.3">
      <c r="AN19275">
        <v>19271</v>
      </c>
      <c r="AO19275" s="11">
        <v>35613.15</v>
      </c>
      <c r="AP19275" s="9">
        <v>3.8374818873195577</v>
      </c>
    </row>
    <row r="19276" spans="40:42" x14ac:dyDescent="0.3">
      <c r="AN19276">
        <v>19272</v>
      </c>
      <c r="AO19276" s="11">
        <v>37484.92</v>
      </c>
      <c r="AP19276" s="9">
        <v>4.1464883833295794</v>
      </c>
    </row>
    <row r="19277" spans="40:42" x14ac:dyDescent="0.3">
      <c r="AN19277">
        <v>19273</v>
      </c>
      <c r="AO19277" s="11">
        <v>31071.88</v>
      </c>
      <c r="AP19277" s="9">
        <v>3.8529318232770899</v>
      </c>
    </row>
    <row r="19278" spans="40:42" x14ac:dyDescent="0.3">
      <c r="AN19278">
        <v>19274</v>
      </c>
      <c r="AO19278" s="11">
        <v>23093.57</v>
      </c>
      <c r="AP19278" s="9">
        <v>3.358839386697595</v>
      </c>
    </row>
    <row r="19279" spans="40:42" x14ac:dyDescent="0.3">
      <c r="AN19279">
        <v>19275</v>
      </c>
      <c r="AO19279" s="11">
        <v>23745.45</v>
      </c>
      <c r="AP19279" s="9">
        <v>3.0521205349678433</v>
      </c>
    </row>
    <row r="19280" spans="40:42" x14ac:dyDescent="0.3">
      <c r="AN19280">
        <v>19276</v>
      </c>
      <c r="AO19280" s="11">
        <v>14533.61</v>
      </c>
      <c r="AP19280" s="9">
        <v>2.7692901385946342</v>
      </c>
    </row>
    <row r="19281" spans="40:42" x14ac:dyDescent="0.3">
      <c r="AN19281">
        <v>19277</v>
      </c>
      <c r="AO19281" s="11">
        <v>20805.3</v>
      </c>
      <c r="AP19281" s="9">
        <v>3.5659482412478236</v>
      </c>
    </row>
    <row r="19282" spans="40:42" x14ac:dyDescent="0.3">
      <c r="AN19282">
        <v>19278</v>
      </c>
      <c r="AO19282" s="11">
        <v>27465.17</v>
      </c>
      <c r="AP19282" s="9">
        <v>3.2914809548573385</v>
      </c>
    </row>
    <row r="19283" spans="40:42" x14ac:dyDescent="0.3">
      <c r="AN19283">
        <v>19279</v>
      </c>
      <c r="AO19283" s="11">
        <v>18517.7</v>
      </c>
      <c r="AP19283" s="9">
        <v>3.2921481589718127</v>
      </c>
    </row>
    <row r="19284" spans="40:42" x14ac:dyDescent="0.3">
      <c r="AN19284">
        <v>19280</v>
      </c>
      <c r="AO19284" s="11">
        <v>22178.720000000001</v>
      </c>
      <c r="AP19284" s="9">
        <v>2.9250050773897565</v>
      </c>
    </row>
    <row r="19285" spans="40:42" x14ac:dyDescent="0.3">
      <c r="AN19285">
        <v>19281</v>
      </c>
      <c r="AO19285" s="11">
        <v>32625.98</v>
      </c>
      <c r="AP19285" s="9">
        <v>3.7889639460950781</v>
      </c>
    </row>
    <row r="19286" spans="40:42" x14ac:dyDescent="0.3">
      <c r="AN19286">
        <v>19282</v>
      </c>
      <c r="AO19286" s="11">
        <v>25295.25</v>
      </c>
      <c r="AP19286" s="9">
        <v>3.5082583207183324</v>
      </c>
    </row>
    <row r="19287" spans="40:42" x14ac:dyDescent="0.3">
      <c r="AN19287">
        <v>19283</v>
      </c>
      <c r="AO19287" s="11">
        <v>23053.040000000001</v>
      </c>
      <c r="AP19287" s="9">
        <v>2.964481989658148</v>
      </c>
    </row>
    <row r="19288" spans="40:42" x14ac:dyDescent="0.3">
      <c r="AN19288">
        <v>19284</v>
      </c>
      <c r="AO19288" s="11">
        <v>25626.5</v>
      </c>
      <c r="AP19288" s="9">
        <v>3.9281140872073261</v>
      </c>
    </row>
    <row r="19289" spans="40:42" x14ac:dyDescent="0.3">
      <c r="AN19289">
        <v>19285</v>
      </c>
      <c r="AO19289" s="11">
        <v>22050.39</v>
      </c>
      <c r="AP19289" s="9">
        <v>3.2612391764960686</v>
      </c>
    </row>
    <row r="19290" spans="40:42" x14ac:dyDescent="0.3">
      <c r="AN19290">
        <v>19286</v>
      </c>
      <c r="AO19290" s="11">
        <v>25025.37</v>
      </c>
      <c r="AP19290" s="9">
        <v>3.0890892199011288</v>
      </c>
    </row>
    <row r="19291" spans="40:42" x14ac:dyDescent="0.3">
      <c r="AN19291">
        <v>19287</v>
      </c>
      <c r="AO19291" s="11">
        <v>32485.05</v>
      </c>
      <c r="AP19291" s="9">
        <v>3.6328858648227942</v>
      </c>
    </row>
    <row r="19292" spans="40:42" x14ac:dyDescent="0.3">
      <c r="AN19292">
        <v>19288</v>
      </c>
      <c r="AO19292" s="11">
        <v>36089.15</v>
      </c>
      <c r="AP19292" s="9">
        <v>4.1955395623077711</v>
      </c>
    </row>
    <row r="19293" spans="40:42" x14ac:dyDescent="0.3">
      <c r="AN19293">
        <v>19289</v>
      </c>
      <c r="AO19293" s="11">
        <v>13898.63</v>
      </c>
      <c r="AP19293" s="9">
        <v>3.3056320284835876</v>
      </c>
    </row>
    <row r="19294" spans="40:42" x14ac:dyDescent="0.3">
      <c r="AN19294">
        <v>19290</v>
      </c>
      <c r="AO19294" s="11">
        <v>28737.08</v>
      </c>
      <c r="AP19294" s="9">
        <v>3.6863140357107698</v>
      </c>
    </row>
    <row r="19295" spans="40:42" x14ac:dyDescent="0.3">
      <c r="AN19295">
        <v>19291</v>
      </c>
      <c r="AO19295" s="11">
        <v>17505.169999999998</v>
      </c>
      <c r="AP19295" s="9">
        <v>2.9055242662041176</v>
      </c>
    </row>
    <row r="19296" spans="40:42" x14ac:dyDescent="0.3">
      <c r="AN19296">
        <v>19292</v>
      </c>
      <c r="AO19296" s="11">
        <v>33109.040000000001</v>
      </c>
      <c r="AP19296" s="9">
        <v>2.7992133716249668</v>
      </c>
    </row>
    <row r="19297" spans="40:42" x14ac:dyDescent="0.3">
      <c r="AN19297">
        <v>19293</v>
      </c>
      <c r="AO19297" s="11">
        <v>19533.11</v>
      </c>
      <c r="AP19297" s="9">
        <v>3.3989381347841356</v>
      </c>
    </row>
    <row r="19298" spans="40:42" x14ac:dyDescent="0.3">
      <c r="AN19298">
        <v>19294</v>
      </c>
      <c r="AO19298" s="11">
        <v>28675.08</v>
      </c>
      <c r="AP19298" s="9">
        <v>4.2448523161195704</v>
      </c>
    </row>
    <row r="19299" spans="40:42" x14ac:dyDescent="0.3">
      <c r="AN19299">
        <v>19295</v>
      </c>
      <c r="AO19299" s="11">
        <v>18613.810000000001</v>
      </c>
      <c r="AP19299" s="9">
        <v>2.892368596163621</v>
      </c>
    </row>
    <row r="19300" spans="40:42" x14ac:dyDescent="0.3">
      <c r="AN19300">
        <v>19296</v>
      </c>
      <c r="AO19300" s="11">
        <v>38429.42</v>
      </c>
      <c r="AP19300" s="9">
        <v>3.7532770148371872</v>
      </c>
    </row>
    <row r="19301" spans="40:42" x14ac:dyDescent="0.3">
      <c r="AN19301">
        <v>19297</v>
      </c>
      <c r="AO19301" s="11">
        <v>26754.76</v>
      </c>
      <c r="AP19301" s="9">
        <v>2.8278455017035933</v>
      </c>
    </row>
    <row r="19302" spans="40:42" x14ac:dyDescent="0.3">
      <c r="AN19302">
        <v>19298</v>
      </c>
      <c r="AO19302" s="11">
        <v>29077.49</v>
      </c>
      <c r="AP19302" s="9">
        <v>3.9853070614293586</v>
      </c>
    </row>
    <row r="19303" spans="40:42" x14ac:dyDescent="0.3">
      <c r="AN19303">
        <v>19299</v>
      </c>
      <c r="AO19303" s="11">
        <v>18037.84</v>
      </c>
      <c r="AP19303" s="9">
        <v>3.0750945651519777</v>
      </c>
    </row>
    <row r="19304" spans="40:42" x14ac:dyDescent="0.3">
      <c r="AN19304">
        <v>19300</v>
      </c>
      <c r="AO19304" s="11">
        <v>21205.33</v>
      </c>
      <c r="AP19304" s="9">
        <v>3.2049056143166719</v>
      </c>
    </row>
    <row r="19305" spans="40:42" x14ac:dyDescent="0.3">
      <c r="AN19305">
        <v>19301</v>
      </c>
      <c r="AO19305" s="11">
        <v>17631.419999999998</v>
      </c>
      <c r="AP19305" s="9">
        <v>3.232886114372036</v>
      </c>
    </row>
    <row r="19306" spans="40:42" x14ac:dyDescent="0.3">
      <c r="AN19306">
        <v>19302</v>
      </c>
      <c r="AO19306" s="11">
        <v>19483.41</v>
      </c>
      <c r="AP19306" s="9">
        <v>4.0366003877642012</v>
      </c>
    </row>
    <row r="19307" spans="40:42" x14ac:dyDescent="0.3">
      <c r="AN19307">
        <v>19303</v>
      </c>
      <c r="AO19307" s="11">
        <v>32522.22</v>
      </c>
      <c r="AP19307" s="9">
        <v>3.5059973338608952</v>
      </c>
    </row>
    <row r="19308" spans="40:42" x14ac:dyDescent="0.3">
      <c r="AN19308">
        <v>19304</v>
      </c>
      <c r="AO19308" s="11">
        <v>25240</v>
      </c>
      <c r="AP19308" s="9">
        <v>4.1006970047354212</v>
      </c>
    </row>
    <row r="19309" spans="40:42" x14ac:dyDescent="0.3">
      <c r="AN19309">
        <v>19305</v>
      </c>
      <c r="AO19309" s="11">
        <v>28628.41</v>
      </c>
      <c r="AP19309" s="9">
        <v>3.4589129200192446</v>
      </c>
    </row>
    <row r="19310" spans="40:42" x14ac:dyDescent="0.3">
      <c r="AN19310">
        <v>19306</v>
      </c>
      <c r="AO19310" s="11">
        <v>22680.87</v>
      </c>
      <c r="AP19310" s="9">
        <v>3.6027030509484708</v>
      </c>
    </row>
    <row r="19311" spans="40:42" x14ac:dyDescent="0.3">
      <c r="AN19311">
        <v>19307</v>
      </c>
      <c r="AO19311" s="11">
        <v>26912.5</v>
      </c>
      <c r="AP19311" s="9">
        <v>2.6520618853852103</v>
      </c>
    </row>
    <row r="19312" spans="40:42" x14ac:dyDescent="0.3">
      <c r="AN19312">
        <v>19308</v>
      </c>
      <c r="AO19312" s="11">
        <v>34388.120000000003</v>
      </c>
      <c r="AP19312" s="9">
        <v>3.8112462368760021</v>
      </c>
    </row>
    <row r="19313" spans="40:42" x14ac:dyDescent="0.3">
      <c r="AN19313">
        <v>19309</v>
      </c>
      <c r="AO19313" s="11">
        <v>30575.759999999998</v>
      </c>
      <c r="AP19313" s="9">
        <v>4.3114330928783078</v>
      </c>
    </row>
    <row r="19314" spans="40:42" x14ac:dyDescent="0.3">
      <c r="AN19314">
        <v>19310</v>
      </c>
      <c r="AO19314" s="11">
        <v>31093.86</v>
      </c>
      <c r="AP19314" s="9">
        <v>3.6016046270786206</v>
      </c>
    </row>
    <row r="19315" spans="40:42" x14ac:dyDescent="0.3">
      <c r="AN19315">
        <v>19311</v>
      </c>
      <c r="AO19315" s="11">
        <v>23611.49</v>
      </c>
      <c r="AP19315" s="9">
        <v>3.1503406757689616</v>
      </c>
    </row>
    <row r="19316" spans="40:42" x14ac:dyDescent="0.3">
      <c r="AN19316">
        <v>19312</v>
      </c>
      <c r="AO19316" s="11">
        <v>20749.53</v>
      </c>
      <c r="AP19316" s="9">
        <v>3.3817280612066272</v>
      </c>
    </row>
    <row r="19317" spans="40:42" x14ac:dyDescent="0.3">
      <c r="AN19317">
        <v>19313</v>
      </c>
      <c r="AO19317" s="11">
        <v>31748.87</v>
      </c>
      <c r="AP19317" s="9">
        <v>3.1123136627442984</v>
      </c>
    </row>
    <row r="19318" spans="40:42" x14ac:dyDescent="0.3">
      <c r="AN19318">
        <v>19314</v>
      </c>
      <c r="AO19318" s="11">
        <v>28343.37</v>
      </c>
      <c r="AP19318" s="9">
        <v>3.1500422875387608</v>
      </c>
    </row>
    <row r="19319" spans="40:42" x14ac:dyDescent="0.3">
      <c r="AN19319">
        <v>19315</v>
      </c>
      <c r="AO19319" s="11">
        <v>30737.25</v>
      </c>
      <c r="AP19319" s="9">
        <v>3.4871327583253175</v>
      </c>
    </row>
    <row r="19320" spans="40:42" x14ac:dyDescent="0.3">
      <c r="AN19320">
        <v>19316</v>
      </c>
      <c r="AO19320" s="11">
        <v>18313.400000000001</v>
      </c>
      <c r="AP19320" s="9">
        <v>3.2323965897255373</v>
      </c>
    </row>
    <row r="19321" spans="40:42" x14ac:dyDescent="0.3">
      <c r="AN19321">
        <v>19317</v>
      </c>
      <c r="AO19321" s="11">
        <v>30942.47</v>
      </c>
      <c r="AP19321" s="9">
        <v>3.9030747604058718</v>
      </c>
    </row>
    <row r="19322" spans="40:42" x14ac:dyDescent="0.3">
      <c r="AN19322">
        <v>19318</v>
      </c>
      <c r="AO19322" s="11">
        <v>29739.29</v>
      </c>
      <c r="AP19322" s="9">
        <v>3.273315581310436</v>
      </c>
    </row>
    <row r="19323" spans="40:42" x14ac:dyDescent="0.3">
      <c r="AN19323">
        <v>19319</v>
      </c>
      <c r="AO19323" s="11">
        <v>18952.349999999999</v>
      </c>
      <c r="AP19323" s="9">
        <v>2.6775669453622029</v>
      </c>
    </row>
    <row r="19324" spans="40:42" x14ac:dyDescent="0.3">
      <c r="AN19324">
        <v>19320</v>
      </c>
      <c r="AO19324" s="11">
        <v>42899.08</v>
      </c>
      <c r="AP19324" s="9">
        <v>4.1329173924263349</v>
      </c>
    </row>
    <row r="19325" spans="40:42" x14ac:dyDescent="0.3">
      <c r="AN19325">
        <v>19321</v>
      </c>
      <c r="AO19325" s="11">
        <v>22050.7</v>
      </c>
      <c r="AP19325" s="9">
        <v>3.5495879670757917</v>
      </c>
    </row>
    <row r="19326" spans="40:42" x14ac:dyDescent="0.3">
      <c r="AN19326">
        <v>19322</v>
      </c>
      <c r="AO19326" s="11">
        <v>37945.08</v>
      </c>
      <c r="AP19326" s="9">
        <v>3.8212904966232952</v>
      </c>
    </row>
    <row r="19327" spans="40:42" x14ac:dyDescent="0.3">
      <c r="AN19327">
        <v>19323</v>
      </c>
      <c r="AO19327" s="11">
        <v>23810.71</v>
      </c>
      <c r="AP19327" s="9">
        <v>3.5169986430567719</v>
      </c>
    </row>
    <row r="19328" spans="40:42" x14ac:dyDescent="0.3">
      <c r="AN19328">
        <v>19324</v>
      </c>
      <c r="AO19328" s="11">
        <v>28631.01</v>
      </c>
      <c r="AP19328" s="9">
        <v>3.7779841882563678</v>
      </c>
    </row>
    <row r="19329" spans="40:42" x14ac:dyDescent="0.3">
      <c r="AN19329">
        <v>19325</v>
      </c>
      <c r="AO19329" s="11">
        <v>28332.15</v>
      </c>
      <c r="AP19329" s="9">
        <v>2.9481448503153862</v>
      </c>
    </row>
    <row r="19330" spans="40:42" x14ac:dyDescent="0.3">
      <c r="AN19330">
        <v>19326</v>
      </c>
      <c r="AO19330" s="11">
        <v>25237.599999999999</v>
      </c>
      <c r="AP19330" s="9">
        <v>3.4099437740594638</v>
      </c>
    </row>
    <row r="19331" spans="40:42" x14ac:dyDescent="0.3">
      <c r="AN19331">
        <v>19327</v>
      </c>
      <c r="AO19331" s="11">
        <v>20841.13</v>
      </c>
      <c r="AP19331" s="9">
        <v>3.3212232624802622</v>
      </c>
    </row>
    <row r="19332" spans="40:42" x14ac:dyDescent="0.3">
      <c r="AN19332">
        <v>19328</v>
      </c>
      <c r="AO19332" s="11">
        <v>26413.55</v>
      </c>
      <c r="AP19332" s="9">
        <v>3.5083044811487332</v>
      </c>
    </row>
    <row r="19333" spans="40:42" x14ac:dyDescent="0.3">
      <c r="AN19333">
        <v>19329</v>
      </c>
      <c r="AO19333" s="11">
        <v>19832.55</v>
      </c>
      <c r="AP19333" s="9">
        <v>2.9923519528992193</v>
      </c>
    </row>
    <row r="19334" spans="40:42" x14ac:dyDescent="0.3">
      <c r="AN19334">
        <v>19330</v>
      </c>
      <c r="AO19334" s="11">
        <v>13344.16</v>
      </c>
      <c r="AP19334" s="9">
        <v>2.8325949069844194</v>
      </c>
    </row>
    <row r="19335" spans="40:42" x14ac:dyDescent="0.3">
      <c r="AN19335">
        <v>19331</v>
      </c>
      <c r="AO19335" s="11">
        <v>19709.810000000001</v>
      </c>
      <c r="AP19335" s="9">
        <v>3.7407650597825306</v>
      </c>
    </row>
    <row r="19336" spans="40:42" x14ac:dyDescent="0.3">
      <c r="AN19336">
        <v>19332</v>
      </c>
      <c r="AO19336" s="11">
        <v>17636.330000000002</v>
      </c>
      <c r="AP19336" s="9">
        <v>3.5728399283685781</v>
      </c>
    </row>
    <row r="19337" spans="40:42" x14ac:dyDescent="0.3">
      <c r="AN19337">
        <v>19333</v>
      </c>
      <c r="AO19337" s="11">
        <v>25947.18</v>
      </c>
      <c r="AP19337" s="9">
        <v>2.9229060317758804</v>
      </c>
    </row>
    <row r="19338" spans="40:42" x14ac:dyDescent="0.3">
      <c r="AN19338">
        <v>19334</v>
      </c>
      <c r="AO19338" s="11">
        <v>26085.66</v>
      </c>
      <c r="AP19338" s="9">
        <v>3.6376379388716602</v>
      </c>
    </row>
    <row r="19339" spans="40:42" x14ac:dyDescent="0.3">
      <c r="AN19339">
        <v>19335</v>
      </c>
      <c r="AO19339" s="11">
        <v>24559.75</v>
      </c>
      <c r="AP19339" s="9">
        <v>3.0578652899705863</v>
      </c>
    </row>
    <row r="19340" spans="40:42" x14ac:dyDescent="0.3">
      <c r="AN19340">
        <v>19336</v>
      </c>
      <c r="AO19340" s="11">
        <v>22883.16</v>
      </c>
      <c r="AP19340" s="9">
        <v>3.3151296909545191</v>
      </c>
    </row>
    <row r="19341" spans="40:42" x14ac:dyDescent="0.3">
      <c r="AN19341">
        <v>19337</v>
      </c>
      <c r="AO19341" s="11">
        <v>35257.760000000002</v>
      </c>
      <c r="AP19341" s="9">
        <v>3.762017536293063</v>
      </c>
    </row>
    <row r="19342" spans="40:42" x14ac:dyDescent="0.3">
      <c r="AN19342">
        <v>19338</v>
      </c>
      <c r="AO19342" s="11">
        <v>35385.339999999997</v>
      </c>
      <c r="AP19342" s="9">
        <v>3.8160478977146792</v>
      </c>
    </row>
    <row r="19343" spans="40:42" x14ac:dyDescent="0.3">
      <c r="AN19343">
        <v>19339</v>
      </c>
      <c r="AO19343" s="11">
        <v>25374.560000000001</v>
      </c>
      <c r="AP19343" s="9">
        <v>2.9862562819256211</v>
      </c>
    </row>
    <row r="19344" spans="40:42" x14ac:dyDescent="0.3">
      <c r="AN19344">
        <v>19340</v>
      </c>
      <c r="AO19344" s="11">
        <v>25984.15</v>
      </c>
      <c r="AP19344" s="9">
        <v>3.2983242386708231</v>
      </c>
    </row>
    <row r="19345" spans="40:42" x14ac:dyDescent="0.3">
      <c r="AN19345">
        <v>19341</v>
      </c>
      <c r="AO19345" s="11">
        <v>15432.48</v>
      </c>
      <c r="AP19345" s="9">
        <v>2.780283579221551</v>
      </c>
    </row>
    <row r="19346" spans="40:42" x14ac:dyDescent="0.3">
      <c r="AN19346">
        <v>19342</v>
      </c>
      <c r="AO19346" s="11">
        <v>30638.400000000001</v>
      </c>
      <c r="AP19346" s="9">
        <v>2.8912869660181797</v>
      </c>
    </row>
    <row r="19347" spans="40:42" x14ac:dyDescent="0.3">
      <c r="AN19347">
        <v>19343</v>
      </c>
      <c r="AO19347" s="11">
        <v>33450.26</v>
      </c>
      <c r="AP19347" s="9">
        <v>3.1173410419280634</v>
      </c>
    </row>
    <row r="19348" spans="40:42" x14ac:dyDescent="0.3">
      <c r="AN19348">
        <v>19344</v>
      </c>
      <c r="AO19348" s="11">
        <v>41378.49</v>
      </c>
      <c r="AP19348" s="9">
        <v>3.8426428310053384</v>
      </c>
    </row>
    <row r="19349" spans="40:42" x14ac:dyDescent="0.3">
      <c r="AN19349">
        <v>19345</v>
      </c>
      <c r="AO19349" s="11">
        <v>13139.01</v>
      </c>
      <c r="AP19349" s="9">
        <v>3.0376482439770549</v>
      </c>
    </row>
    <row r="19350" spans="40:42" x14ac:dyDescent="0.3">
      <c r="AN19350">
        <v>19346</v>
      </c>
      <c r="AO19350" s="11">
        <v>20584.86</v>
      </c>
      <c r="AP19350" s="9">
        <v>3.3138454254243119</v>
      </c>
    </row>
    <row r="19351" spans="40:42" x14ac:dyDescent="0.3">
      <c r="AN19351">
        <v>19347</v>
      </c>
      <c r="AO19351" s="11">
        <v>32051.39</v>
      </c>
      <c r="AP19351" s="9">
        <v>3.4828068399312953</v>
      </c>
    </row>
    <row r="19352" spans="40:42" x14ac:dyDescent="0.3">
      <c r="AN19352">
        <v>19348</v>
      </c>
      <c r="AO19352" s="11">
        <v>30736.37</v>
      </c>
      <c r="AP19352" s="9">
        <v>3.0799815703657867</v>
      </c>
    </row>
    <row r="19353" spans="40:42" x14ac:dyDescent="0.3">
      <c r="AN19353">
        <v>19349</v>
      </c>
      <c r="AO19353" s="11">
        <v>18050.439999999999</v>
      </c>
      <c r="AP19353" s="9">
        <v>3.4777309234260532</v>
      </c>
    </row>
    <row r="19354" spans="40:42" x14ac:dyDescent="0.3">
      <c r="AN19354">
        <v>19350</v>
      </c>
      <c r="AO19354" s="11">
        <v>35345.67</v>
      </c>
      <c r="AP19354" s="9">
        <v>3.5487834763879773</v>
      </c>
    </row>
    <row r="19355" spans="40:42" x14ac:dyDescent="0.3">
      <c r="AN19355">
        <v>19351</v>
      </c>
      <c r="AO19355" s="11">
        <v>27077.89</v>
      </c>
      <c r="AP19355" s="9">
        <v>3.2911328400879065</v>
      </c>
    </row>
    <row r="19356" spans="40:42" x14ac:dyDescent="0.3">
      <c r="AN19356">
        <v>19352</v>
      </c>
      <c r="AO19356" s="11">
        <v>19287.64</v>
      </c>
      <c r="AP19356" s="9">
        <v>3.1939856104427209</v>
      </c>
    </row>
    <row r="19357" spans="40:42" x14ac:dyDescent="0.3">
      <c r="AN19357">
        <v>19353</v>
      </c>
      <c r="AO19357" s="11">
        <v>28446.5</v>
      </c>
      <c r="AP19357" s="9">
        <v>3.3783943872043096</v>
      </c>
    </row>
    <row r="19358" spans="40:42" x14ac:dyDescent="0.3">
      <c r="AN19358">
        <v>19354</v>
      </c>
      <c r="AO19358" s="11">
        <v>19856.16</v>
      </c>
      <c r="AP19358" s="9">
        <v>3.4915275328331283</v>
      </c>
    </row>
    <row r="19359" spans="40:42" x14ac:dyDescent="0.3">
      <c r="AN19359">
        <v>19355</v>
      </c>
      <c r="AO19359" s="11">
        <v>20212.37</v>
      </c>
      <c r="AP19359" s="9">
        <v>3.5805301833523857</v>
      </c>
    </row>
    <row r="19360" spans="40:42" x14ac:dyDescent="0.3">
      <c r="AN19360">
        <v>19356</v>
      </c>
      <c r="AO19360" s="11">
        <v>19592.87</v>
      </c>
      <c r="AP19360" s="9">
        <v>3.1251647869574239</v>
      </c>
    </row>
    <row r="19361" spans="40:42" x14ac:dyDescent="0.3">
      <c r="AN19361">
        <v>19357</v>
      </c>
      <c r="AO19361" s="11">
        <v>15326.12</v>
      </c>
      <c r="AP19361" s="9">
        <v>2.5508100138816672</v>
      </c>
    </row>
    <row r="19362" spans="40:42" x14ac:dyDescent="0.3">
      <c r="AN19362">
        <v>19358</v>
      </c>
      <c r="AO19362" s="11">
        <v>28025.22</v>
      </c>
      <c r="AP19362" s="9">
        <v>2.8135426419841409</v>
      </c>
    </row>
    <row r="19363" spans="40:42" x14ac:dyDescent="0.3">
      <c r="AN19363">
        <v>19359</v>
      </c>
      <c r="AO19363" s="11">
        <v>17944.14</v>
      </c>
      <c r="AP19363" s="9">
        <v>2.7446867067265179</v>
      </c>
    </row>
    <row r="19364" spans="40:42" x14ac:dyDescent="0.3">
      <c r="AN19364">
        <v>19360</v>
      </c>
      <c r="AO19364" s="11">
        <v>26583.16</v>
      </c>
      <c r="AP19364" s="9">
        <v>3.0462713530016075</v>
      </c>
    </row>
    <row r="19365" spans="40:42" x14ac:dyDescent="0.3">
      <c r="AN19365">
        <v>19361</v>
      </c>
      <c r="AO19365" s="11">
        <v>34088.83</v>
      </c>
      <c r="AP19365" s="9">
        <v>3.3700277463195207</v>
      </c>
    </row>
    <row r="19366" spans="40:42" x14ac:dyDescent="0.3">
      <c r="AN19366">
        <v>19362</v>
      </c>
      <c r="AO19366" s="11">
        <v>19995.66</v>
      </c>
      <c r="AP19366" s="9">
        <v>2.7301917023787015</v>
      </c>
    </row>
    <row r="19367" spans="40:42" x14ac:dyDescent="0.3">
      <c r="AN19367">
        <v>19363</v>
      </c>
      <c r="AO19367" s="11">
        <v>29989.65</v>
      </c>
      <c r="AP19367" s="9">
        <v>3.3088225167809151</v>
      </c>
    </row>
    <row r="19368" spans="40:42" x14ac:dyDescent="0.3">
      <c r="AN19368">
        <v>19364</v>
      </c>
      <c r="AO19368" s="11">
        <v>27351.79</v>
      </c>
      <c r="AP19368" s="9">
        <v>3.2182531865062578</v>
      </c>
    </row>
    <row r="19369" spans="40:42" x14ac:dyDescent="0.3">
      <c r="AN19369">
        <v>19365</v>
      </c>
      <c r="AO19369" s="11">
        <v>20798.689999999999</v>
      </c>
      <c r="AP19369" s="9">
        <v>3.1666418135436776</v>
      </c>
    </row>
    <row r="19370" spans="40:42" x14ac:dyDescent="0.3">
      <c r="AN19370">
        <v>19366</v>
      </c>
      <c r="AO19370" s="11">
        <v>16779.03</v>
      </c>
      <c r="AP19370" s="9">
        <v>3.0259539577825518</v>
      </c>
    </row>
    <row r="19371" spans="40:42" x14ac:dyDescent="0.3">
      <c r="AN19371">
        <v>19367</v>
      </c>
      <c r="AO19371" s="11">
        <v>21253.66</v>
      </c>
      <c r="AP19371" s="9">
        <v>3.5040725685097227</v>
      </c>
    </row>
    <row r="19372" spans="40:42" x14ac:dyDescent="0.3">
      <c r="AN19372">
        <v>19368</v>
      </c>
      <c r="AO19372" s="11">
        <v>26496.51</v>
      </c>
      <c r="AP19372" s="9">
        <v>3.4498123058541994</v>
      </c>
    </row>
    <row r="19373" spans="40:42" x14ac:dyDescent="0.3">
      <c r="AN19373">
        <v>19369</v>
      </c>
      <c r="AO19373" s="11">
        <v>33597.47</v>
      </c>
      <c r="AP19373" s="9">
        <v>3.8492910551386128</v>
      </c>
    </row>
    <row r="19374" spans="40:42" x14ac:dyDescent="0.3">
      <c r="AN19374">
        <v>19370</v>
      </c>
      <c r="AO19374" s="11">
        <v>25391.39</v>
      </c>
      <c r="AP19374" s="9">
        <v>3.1509188755441833</v>
      </c>
    </row>
    <row r="19375" spans="40:42" x14ac:dyDescent="0.3">
      <c r="AN19375">
        <v>19371</v>
      </c>
      <c r="AO19375" s="11">
        <v>33232.67</v>
      </c>
      <c r="AP19375" s="9">
        <v>3.7845437802785771</v>
      </c>
    </row>
    <row r="19376" spans="40:42" x14ac:dyDescent="0.3">
      <c r="AN19376">
        <v>19372</v>
      </c>
      <c r="AO19376" s="11">
        <v>25185.51</v>
      </c>
      <c r="AP19376" s="9">
        <v>3.0740742206919762</v>
      </c>
    </row>
    <row r="19377" spans="40:42" x14ac:dyDescent="0.3">
      <c r="AN19377">
        <v>19373</v>
      </c>
      <c r="AO19377" s="11">
        <v>28082.22</v>
      </c>
      <c r="AP19377" s="9">
        <v>3.0065919552211193</v>
      </c>
    </row>
    <row r="19378" spans="40:42" x14ac:dyDescent="0.3">
      <c r="AN19378">
        <v>19374</v>
      </c>
      <c r="AO19378" s="11">
        <v>25287.89</v>
      </c>
      <c r="AP19378" s="9">
        <v>2.9239066528076267</v>
      </c>
    </row>
    <row r="19379" spans="40:42" x14ac:dyDescent="0.3">
      <c r="AN19379">
        <v>19375</v>
      </c>
      <c r="AO19379" s="11">
        <v>31547.66</v>
      </c>
      <c r="AP19379" s="9">
        <v>3.5275962945061679</v>
      </c>
    </row>
    <row r="19380" spans="40:42" x14ac:dyDescent="0.3">
      <c r="AN19380">
        <v>19376</v>
      </c>
      <c r="AO19380" s="11">
        <v>30116.71</v>
      </c>
      <c r="AP19380" s="9">
        <v>3.1303644280184124</v>
      </c>
    </row>
    <row r="19381" spans="40:42" x14ac:dyDescent="0.3">
      <c r="AN19381">
        <v>19377</v>
      </c>
      <c r="AO19381" s="11">
        <v>31890.93</v>
      </c>
      <c r="AP19381" s="9">
        <v>3.6331434945482797</v>
      </c>
    </row>
    <row r="19382" spans="40:42" x14ac:dyDescent="0.3">
      <c r="AN19382">
        <v>19378</v>
      </c>
      <c r="AO19382" s="11">
        <v>22634.65</v>
      </c>
      <c r="AP19382" s="9">
        <v>3.2973547998389323</v>
      </c>
    </row>
    <row r="19383" spans="40:42" x14ac:dyDescent="0.3">
      <c r="AN19383">
        <v>19379</v>
      </c>
      <c r="AO19383" s="11">
        <v>45563.41</v>
      </c>
      <c r="AP19383" s="9">
        <v>4.1045248644328316</v>
      </c>
    </row>
    <row r="19384" spans="40:42" x14ac:dyDescent="0.3">
      <c r="AN19384">
        <v>19380</v>
      </c>
      <c r="AO19384" s="11">
        <v>30937.24</v>
      </c>
      <c r="AP19384" s="9">
        <v>3.6230744030883852</v>
      </c>
    </row>
    <row r="19385" spans="40:42" x14ac:dyDescent="0.3">
      <c r="AN19385">
        <v>19381</v>
      </c>
      <c r="AO19385" s="11">
        <v>24398.66</v>
      </c>
      <c r="AP19385" s="9">
        <v>2.8772898649812992</v>
      </c>
    </row>
    <row r="19386" spans="40:42" x14ac:dyDescent="0.3">
      <c r="AN19386">
        <v>19382</v>
      </c>
      <c r="AO19386" s="11">
        <v>22905.56</v>
      </c>
      <c r="AP19386" s="9">
        <v>3.1102018373188347</v>
      </c>
    </row>
    <row r="19387" spans="40:42" x14ac:dyDescent="0.3">
      <c r="AN19387">
        <v>19383</v>
      </c>
      <c r="AO19387" s="11">
        <v>29740.14</v>
      </c>
      <c r="AP19387" s="9">
        <v>3.4907638780361721</v>
      </c>
    </row>
    <row r="19388" spans="40:42" x14ac:dyDescent="0.3">
      <c r="AN19388">
        <v>19384</v>
      </c>
      <c r="AO19388" s="11">
        <v>35457</v>
      </c>
      <c r="AP19388" s="9">
        <v>2.9741700478539381</v>
      </c>
    </row>
    <row r="19389" spans="40:42" x14ac:dyDescent="0.3">
      <c r="AN19389">
        <v>19385</v>
      </c>
      <c r="AO19389" s="11">
        <v>23144.05</v>
      </c>
      <c r="AP19389" s="9">
        <v>3.1417627088460556</v>
      </c>
    </row>
    <row r="19390" spans="40:42" x14ac:dyDescent="0.3">
      <c r="AN19390">
        <v>19386</v>
      </c>
      <c r="AO19390" s="11">
        <v>25194.57</v>
      </c>
      <c r="AP19390" s="9">
        <v>3.901613793403774</v>
      </c>
    </row>
    <row r="19391" spans="40:42" x14ac:dyDescent="0.3">
      <c r="AN19391">
        <v>19387</v>
      </c>
      <c r="AO19391" s="11">
        <v>25165.62</v>
      </c>
      <c r="AP19391" s="9">
        <v>3.9586108781710521</v>
      </c>
    </row>
    <row r="19392" spans="40:42" x14ac:dyDescent="0.3">
      <c r="AN19392">
        <v>19388</v>
      </c>
      <c r="AO19392" s="11">
        <v>25078.84</v>
      </c>
      <c r="AP19392" s="9">
        <v>3.1082930989559805</v>
      </c>
    </row>
    <row r="19393" spans="40:42" x14ac:dyDescent="0.3">
      <c r="AN19393">
        <v>19389</v>
      </c>
      <c r="AO19393" s="11">
        <v>31907.83</v>
      </c>
      <c r="AP19393" s="9">
        <v>3.2037264803147472</v>
      </c>
    </row>
    <row r="19394" spans="40:42" x14ac:dyDescent="0.3">
      <c r="AN19394">
        <v>19390</v>
      </c>
      <c r="AO19394" s="11">
        <v>32608.22</v>
      </c>
      <c r="AP19394" s="9">
        <v>3.2245318563374403</v>
      </c>
    </row>
    <row r="19395" spans="40:42" x14ac:dyDescent="0.3">
      <c r="AN19395">
        <v>19391</v>
      </c>
      <c r="AO19395" s="11">
        <v>29411.16</v>
      </c>
      <c r="AP19395" s="9">
        <v>3.3086605735490329</v>
      </c>
    </row>
    <row r="19396" spans="40:42" x14ac:dyDescent="0.3">
      <c r="AN19396">
        <v>19392</v>
      </c>
      <c r="AO19396" s="11">
        <v>41208.949999999997</v>
      </c>
      <c r="AP19396" s="9">
        <v>3.9498373041560146</v>
      </c>
    </row>
    <row r="19397" spans="40:42" x14ac:dyDescent="0.3">
      <c r="AN19397">
        <v>19393</v>
      </c>
      <c r="AO19397" s="11">
        <v>21633.67</v>
      </c>
      <c r="AP19397" s="9">
        <v>3.8852777040218229</v>
      </c>
    </row>
    <row r="19398" spans="40:42" x14ac:dyDescent="0.3">
      <c r="AN19398">
        <v>19394</v>
      </c>
      <c r="AO19398" s="11">
        <v>41853.769999999997</v>
      </c>
      <c r="AP19398" s="9">
        <v>3.4439656271358103</v>
      </c>
    </row>
    <row r="19399" spans="40:42" x14ac:dyDescent="0.3">
      <c r="AN19399">
        <v>19395</v>
      </c>
      <c r="AO19399" s="11">
        <v>31298.78</v>
      </c>
      <c r="AP19399" s="9">
        <v>3.3715632462174741</v>
      </c>
    </row>
    <row r="19400" spans="40:42" x14ac:dyDescent="0.3">
      <c r="AN19400">
        <v>19396</v>
      </c>
      <c r="AO19400" s="11">
        <v>25874.34</v>
      </c>
      <c r="AP19400" s="9">
        <v>3.8006766807511396</v>
      </c>
    </row>
    <row r="19401" spans="40:42" x14ac:dyDescent="0.3">
      <c r="AN19401">
        <v>19397</v>
      </c>
      <c r="AO19401" s="11">
        <v>27470.04</v>
      </c>
      <c r="AP19401" s="9">
        <v>3.2677319591438758</v>
      </c>
    </row>
    <row r="19402" spans="40:42" x14ac:dyDescent="0.3">
      <c r="AN19402">
        <v>19398</v>
      </c>
      <c r="AO19402" s="11">
        <v>25592.01</v>
      </c>
      <c r="AP19402" s="9">
        <v>3.5927175632713562</v>
      </c>
    </row>
    <row r="19403" spans="40:42" x14ac:dyDescent="0.3">
      <c r="AN19403">
        <v>19399</v>
      </c>
      <c r="AO19403" s="11">
        <v>31180.62</v>
      </c>
      <c r="AP19403" s="9">
        <v>3.0954937704127832</v>
      </c>
    </row>
    <row r="19404" spans="40:42" x14ac:dyDescent="0.3">
      <c r="AN19404">
        <v>19400</v>
      </c>
      <c r="AO19404" s="11">
        <v>24040.83</v>
      </c>
      <c r="AP19404" s="9">
        <v>3.4513946833992031</v>
      </c>
    </row>
    <row r="19405" spans="40:42" x14ac:dyDescent="0.3">
      <c r="AN19405">
        <v>19401</v>
      </c>
      <c r="AO19405" s="11">
        <v>27229.23</v>
      </c>
      <c r="AP19405" s="9">
        <v>4.2098504374122117</v>
      </c>
    </row>
    <row r="19406" spans="40:42" x14ac:dyDescent="0.3">
      <c r="AN19406">
        <v>19402</v>
      </c>
      <c r="AO19406" s="11">
        <v>26625.69</v>
      </c>
      <c r="AP19406" s="9">
        <v>3.6928380081893852</v>
      </c>
    </row>
    <row r="19407" spans="40:42" x14ac:dyDescent="0.3">
      <c r="AN19407">
        <v>19403</v>
      </c>
      <c r="AO19407" s="11">
        <v>32771.49</v>
      </c>
      <c r="AP19407" s="9">
        <v>3.4181471674795212</v>
      </c>
    </row>
    <row r="19408" spans="40:42" x14ac:dyDescent="0.3">
      <c r="AN19408">
        <v>19404</v>
      </c>
      <c r="AO19408" s="11">
        <v>17977.45</v>
      </c>
      <c r="AP19408" s="9">
        <v>3.0433617844382237</v>
      </c>
    </row>
    <row r="19409" spans="40:42" x14ac:dyDescent="0.3">
      <c r="AN19409">
        <v>19405</v>
      </c>
      <c r="AO19409" s="11">
        <v>12642.73</v>
      </c>
      <c r="AP19409" s="9">
        <v>3.0429580795733995</v>
      </c>
    </row>
    <row r="19410" spans="40:42" x14ac:dyDescent="0.3">
      <c r="AN19410">
        <v>19406</v>
      </c>
      <c r="AO19410" s="11">
        <v>16251.29</v>
      </c>
      <c r="AP19410" s="9">
        <v>2.6685027504574808</v>
      </c>
    </row>
    <row r="19411" spans="40:42" x14ac:dyDescent="0.3">
      <c r="AN19411">
        <v>19407</v>
      </c>
      <c r="AO19411" s="11">
        <v>35835.69</v>
      </c>
      <c r="AP19411" s="9">
        <v>3.0776590991272839</v>
      </c>
    </row>
    <row r="19412" spans="40:42" x14ac:dyDescent="0.3">
      <c r="AN19412">
        <v>19408</v>
      </c>
      <c r="AO19412" s="11">
        <v>27383.71</v>
      </c>
      <c r="AP19412" s="9">
        <v>3.8054666216887529</v>
      </c>
    </row>
    <row r="19413" spans="40:42" x14ac:dyDescent="0.3">
      <c r="AN19413">
        <v>19409</v>
      </c>
      <c r="AO19413" s="11">
        <v>36466.730000000003</v>
      </c>
      <c r="AP19413" s="9">
        <v>3.5949359344688898</v>
      </c>
    </row>
    <row r="19414" spans="40:42" x14ac:dyDescent="0.3">
      <c r="AN19414">
        <v>19410</v>
      </c>
      <c r="AO19414" s="11">
        <v>34603.14</v>
      </c>
      <c r="AP19414" s="9">
        <v>3.6614246885833701</v>
      </c>
    </row>
    <row r="19415" spans="40:42" x14ac:dyDescent="0.3">
      <c r="AN19415">
        <v>19411</v>
      </c>
      <c r="AO19415" s="11">
        <v>30545.53</v>
      </c>
      <c r="AP19415" s="9">
        <v>3.7348308003629351</v>
      </c>
    </row>
    <row r="19416" spans="40:42" x14ac:dyDescent="0.3">
      <c r="AN19416">
        <v>19412</v>
      </c>
      <c r="AO19416" s="11">
        <v>29641.040000000001</v>
      </c>
      <c r="AP19416" s="9">
        <v>4.1491659520750108</v>
      </c>
    </row>
    <row r="19417" spans="40:42" x14ac:dyDescent="0.3">
      <c r="AN19417">
        <v>19413</v>
      </c>
      <c r="AO19417" s="11">
        <v>21795.1</v>
      </c>
      <c r="AP19417" s="9">
        <v>3.0156639999395738</v>
      </c>
    </row>
    <row r="19418" spans="40:42" x14ac:dyDescent="0.3">
      <c r="AN19418">
        <v>19414</v>
      </c>
      <c r="AO19418" s="11">
        <v>23369.31</v>
      </c>
      <c r="AP19418" s="9">
        <v>2.8230748780484514</v>
      </c>
    </row>
    <row r="19419" spans="40:42" x14ac:dyDescent="0.3">
      <c r="AN19419">
        <v>19415</v>
      </c>
      <c r="AO19419" s="11">
        <v>23738.35</v>
      </c>
      <c r="AP19419" s="9">
        <v>3.5872720978332273</v>
      </c>
    </row>
    <row r="19420" spans="40:42" x14ac:dyDescent="0.3">
      <c r="AN19420">
        <v>19416</v>
      </c>
      <c r="AO19420" s="11">
        <v>24732.55</v>
      </c>
      <c r="AP19420" s="9">
        <v>3.0060775225741265</v>
      </c>
    </row>
    <row r="19421" spans="40:42" x14ac:dyDescent="0.3">
      <c r="AN19421">
        <v>19417</v>
      </c>
      <c r="AO19421" s="11">
        <v>20315.34</v>
      </c>
      <c r="AP19421" s="9">
        <v>2.932465529090496</v>
      </c>
    </row>
    <row r="19422" spans="40:42" x14ac:dyDescent="0.3">
      <c r="AN19422">
        <v>19418</v>
      </c>
      <c r="AO19422" s="11">
        <v>18880.05</v>
      </c>
      <c r="AP19422" s="9">
        <v>3.6556885562885619</v>
      </c>
    </row>
    <row r="19423" spans="40:42" x14ac:dyDescent="0.3">
      <c r="AN19423">
        <v>19419</v>
      </c>
      <c r="AO19423" s="11">
        <v>22622.14</v>
      </c>
      <c r="AP19423" s="9">
        <v>3.3029809864724906</v>
      </c>
    </row>
    <row r="19424" spans="40:42" x14ac:dyDescent="0.3">
      <c r="AN19424">
        <v>19420</v>
      </c>
      <c r="AO19424" s="11">
        <v>29466.74</v>
      </c>
      <c r="AP19424" s="9">
        <v>3.308240167887921</v>
      </c>
    </row>
    <row r="19425" spans="40:42" x14ac:dyDescent="0.3">
      <c r="AN19425">
        <v>19421</v>
      </c>
      <c r="AO19425" s="11">
        <v>26453.69</v>
      </c>
      <c r="AP19425" s="9">
        <v>3.8776446798882609</v>
      </c>
    </row>
    <row r="19426" spans="40:42" x14ac:dyDescent="0.3">
      <c r="AN19426">
        <v>19422</v>
      </c>
      <c r="AO19426" s="11">
        <v>27178.34</v>
      </c>
      <c r="AP19426" s="9">
        <v>3.2692979217407978</v>
      </c>
    </row>
    <row r="19427" spans="40:42" x14ac:dyDescent="0.3">
      <c r="AN19427">
        <v>19423</v>
      </c>
      <c r="AO19427" s="11">
        <v>20465.7</v>
      </c>
      <c r="AP19427" s="9">
        <v>3.0743188726536683</v>
      </c>
    </row>
    <row r="19428" spans="40:42" x14ac:dyDescent="0.3">
      <c r="AN19428">
        <v>19424</v>
      </c>
      <c r="AO19428" s="11">
        <v>25237.41</v>
      </c>
      <c r="AP19428" s="9">
        <v>3.1428108390152296</v>
      </c>
    </row>
    <row r="19429" spans="40:42" x14ac:dyDescent="0.3">
      <c r="AN19429">
        <v>19425</v>
      </c>
      <c r="AO19429" s="11">
        <v>35782.120000000003</v>
      </c>
      <c r="AP19429" s="9">
        <v>3.0974160245501663</v>
      </c>
    </row>
    <row r="19430" spans="40:42" x14ac:dyDescent="0.3">
      <c r="AN19430">
        <v>19426</v>
      </c>
      <c r="AO19430" s="11">
        <v>23824.22</v>
      </c>
      <c r="AP19430" s="9">
        <v>3.1230190985261737</v>
      </c>
    </row>
    <row r="19431" spans="40:42" x14ac:dyDescent="0.3">
      <c r="AN19431">
        <v>19427</v>
      </c>
      <c r="AO19431" s="11">
        <v>33231</v>
      </c>
      <c r="AP19431" s="9">
        <v>3.6893257637741903</v>
      </c>
    </row>
    <row r="19432" spans="40:42" x14ac:dyDescent="0.3">
      <c r="AN19432">
        <v>19428</v>
      </c>
      <c r="AO19432" s="11">
        <v>24984.47</v>
      </c>
      <c r="AP19432" s="9">
        <v>3.3319125589592899</v>
      </c>
    </row>
    <row r="19433" spans="40:42" x14ac:dyDescent="0.3">
      <c r="AN19433">
        <v>19429</v>
      </c>
      <c r="AO19433" s="11">
        <v>18626.75</v>
      </c>
      <c r="AP19433" s="9">
        <v>3.1972549500448522</v>
      </c>
    </row>
    <row r="19434" spans="40:42" x14ac:dyDescent="0.3">
      <c r="AN19434">
        <v>19430</v>
      </c>
      <c r="AO19434" s="11">
        <v>29197.31</v>
      </c>
      <c r="AP19434" s="9">
        <v>3.3575585341911842</v>
      </c>
    </row>
    <row r="19435" spans="40:42" x14ac:dyDescent="0.3">
      <c r="AN19435">
        <v>19431</v>
      </c>
      <c r="AO19435" s="11">
        <v>17842.11</v>
      </c>
      <c r="AP19435" s="9">
        <v>3.0048868731196205</v>
      </c>
    </row>
    <row r="19436" spans="40:42" x14ac:dyDescent="0.3">
      <c r="AN19436">
        <v>19432</v>
      </c>
      <c r="AO19436" s="11">
        <v>30419.35</v>
      </c>
      <c r="AP19436" s="9">
        <v>3.3528367803685057</v>
      </c>
    </row>
    <row r="19437" spans="40:42" x14ac:dyDescent="0.3">
      <c r="AN19437">
        <v>19433</v>
      </c>
      <c r="AO19437" s="11">
        <v>21171.48</v>
      </c>
      <c r="AP19437" s="9">
        <v>3.053168453890073</v>
      </c>
    </row>
    <row r="19438" spans="40:42" x14ac:dyDescent="0.3">
      <c r="AN19438">
        <v>19434</v>
      </c>
      <c r="AO19438" s="11">
        <v>57484.34</v>
      </c>
      <c r="AP19438" s="9">
        <v>3.6958003961169612</v>
      </c>
    </row>
    <row r="19439" spans="40:42" x14ac:dyDescent="0.3">
      <c r="AN19439">
        <v>19435</v>
      </c>
      <c r="AO19439" s="11">
        <v>19874.25</v>
      </c>
      <c r="AP19439" s="9">
        <v>3.2617601072150033</v>
      </c>
    </row>
    <row r="19440" spans="40:42" x14ac:dyDescent="0.3">
      <c r="AN19440">
        <v>19436</v>
      </c>
      <c r="AO19440" s="11">
        <v>16673.400000000001</v>
      </c>
      <c r="AP19440" s="9">
        <v>3.8845435765419798</v>
      </c>
    </row>
    <row r="19441" spans="40:42" x14ac:dyDescent="0.3">
      <c r="AN19441">
        <v>19437</v>
      </c>
      <c r="AO19441" s="11">
        <v>22832.81</v>
      </c>
      <c r="AP19441" s="9">
        <v>3.2653048612538798</v>
      </c>
    </row>
    <row r="19442" spans="40:42" x14ac:dyDescent="0.3">
      <c r="AN19442">
        <v>19438</v>
      </c>
      <c r="AO19442" s="11">
        <v>31141.34</v>
      </c>
      <c r="AP19442" s="9">
        <v>4.155318615115803</v>
      </c>
    </row>
    <row r="19443" spans="40:42" x14ac:dyDescent="0.3">
      <c r="AN19443">
        <v>19439</v>
      </c>
      <c r="AO19443" s="11">
        <v>19907.52</v>
      </c>
      <c r="AP19443" s="9">
        <v>3.1732710657677474</v>
      </c>
    </row>
    <row r="19444" spans="40:42" x14ac:dyDescent="0.3">
      <c r="AN19444">
        <v>19440</v>
      </c>
      <c r="AO19444" s="11">
        <v>20297.18</v>
      </c>
      <c r="AP19444" s="9">
        <v>3.1731353185696292</v>
      </c>
    </row>
    <row r="19445" spans="40:42" x14ac:dyDescent="0.3">
      <c r="AN19445">
        <v>19441</v>
      </c>
      <c r="AO19445" s="11">
        <v>37765.629999999997</v>
      </c>
      <c r="AP19445" s="9">
        <v>3.2306313069953054</v>
      </c>
    </row>
    <row r="19446" spans="40:42" x14ac:dyDescent="0.3">
      <c r="AN19446">
        <v>19442</v>
      </c>
      <c r="AO19446" s="11">
        <v>21045.55</v>
      </c>
      <c r="AP19446" s="9">
        <v>3.3671573915624005</v>
      </c>
    </row>
    <row r="19447" spans="40:42" x14ac:dyDescent="0.3">
      <c r="AN19447">
        <v>19443</v>
      </c>
      <c r="AO19447" s="11">
        <v>25358.34</v>
      </c>
      <c r="AP19447" s="9">
        <v>3.6210015161607814</v>
      </c>
    </row>
    <row r="19448" spans="40:42" x14ac:dyDescent="0.3">
      <c r="AN19448">
        <v>19444</v>
      </c>
      <c r="AO19448" s="11">
        <v>27170.77</v>
      </c>
      <c r="AP19448" s="9">
        <v>3.2292633257554111</v>
      </c>
    </row>
    <row r="19449" spans="40:42" x14ac:dyDescent="0.3">
      <c r="AN19449">
        <v>19445</v>
      </c>
      <c r="AO19449" s="11">
        <v>23907.69</v>
      </c>
      <c r="AP19449" s="9">
        <v>3.4870619905751736</v>
      </c>
    </row>
    <row r="19450" spans="40:42" x14ac:dyDescent="0.3">
      <c r="AN19450">
        <v>19446</v>
      </c>
      <c r="AO19450" s="11">
        <v>17107.95</v>
      </c>
      <c r="AP19450" s="9">
        <v>3.6247026786507948</v>
      </c>
    </row>
    <row r="19451" spans="40:42" x14ac:dyDescent="0.3">
      <c r="AN19451">
        <v>19447</v>
      </c>
      <c r="AO19451" s="11">
        <v>36470.519999999997</v>
      </c>
      <c r="AP19451" s="9">
        <v>3.3544171614472571</v>
      </c>
    </row>
    <row r="19452" spans="40:42" x14ac:dyDescent="0.3">
      <c r="AN19452">
        <v>19448</v>
      </c>
      <c r="AO19452" s="11">
        <v>39929.839999999997</v>
      </c>
      <c r="AP19452" s="9">
        <v>4.2831470295697534</v>
      </c>
    </row>
    <row r="19453" spans="40:42" x14ac:dyDescent="0.3">
      <c r="AN19453">
        <v>19449</v>
      </c>
      <c r="AO19453" s="11">
        <v>25457.79</v>
      </c>
      <c r="AP19453" s="9">
        <v>2.93756185080117</v>
      </c>
    </row>
    <row r="19454" spans="40:42" x14ac:dyDescent="0.3">
      <c r="AN19454">
        <v>19450</v>
      </c>
      <c r="AO19454" s="11">
        <v>15174.98</v>
      </c>
      <c r="AP19454" s="9">
        <v>2.9213914317201479</v>
      </c>
    </row>
    <row r="19455" spans="40:42" x14ac:dyDescent="0.3">
      <c r="AN19455">
        <v>19451</v>
      </c>
      <c r="AO19455" s="11">
        <v>28381.47</v>
      </c>
      <c r="AP19455" s="9">
        <v>4.102580116435826</v>
      </c>
    </row>
    <row r="19456" spans="40:42" x14ac:dyDescent="0.3">
      <c r="AN19456">
        <v>19452</v>
      </c>
      <c r="AO19456" s="11">
        <v>25764.03</v>
      </c>
      <c r="AP19456" s="9">
        <v>2.8600763431472664</v>
      </c>
    </row>
    <row r="19457" spans="40:42" x14ac:dyDescent="0.3">
      <c r="AN19457">
        <v>19453</v>
      </c>
      <c r="AO19457" s="11">
        <v>22982.95</v>
      </c>
      <c r="AP19457" s="9">
        <v>3.1003178793353876</v>
      </c>
    </row>
    <row r="19458" spans="40:42" x14ac:dyDescent="0.3">
      <c r="AN19458">
        <v>19454</v>
      </c>
      <c r="AO19458" s="11">
        <v>37156.800000000003</v>
      </c>
      <c r="AP19458" s="9">
        <v>3.5756259729758177</v>
      </c>
    </row>
    <row r="19459" spans="40:42" x14ac:dyDescent="0.3">
      <c r="AN19459">
        <v>19455</v>
      </c>
      <c r="AO19459" s="11">
        <v>15468.68</v>
      </c>
      <c r="AP19459" s="9">
        <v>3.9091964807133541</v>
      </c>
    </row>
    <row r="19460" spans="40:42" x14ac:dyDescent="0.3">
      <c r="AN19460">
        <v>19456</v>
      </c>
      <c r="AO19460" s="11">
        <v>19159.599999999999</v>
      </c>
      <c r="AP19460" s="9">
        <v>3.1585592995933696</v>
      </c>
    </row>
    <row r="19461" spans="40:42" x14ac:dyDescent="0.3">
      <c r="AN19461">
        <v>19457</v>
      </c>
      <c r="AO19461" s="11">
        <v>17185.509999999998</v>
      </c>
      <c r="AP19461" s="9">
        <v>3.8724223337933097</v>
      </c>
    </row>
    <row r="19462" spans="40:42" x14ac:dyDescent="0.3">
      <c r="AN19462">
        <v>19458</v>
      </c>
      <c r="AO19462" s="11">
        <v>17600.41</v>
      </c>
      <c r="AP19462" s="9">
        <v>3.1952327931920883</v>
      </c>
    </row>
    <row r="19463" spans="40:42" x14ac:dyDescent="0.3">
      <c r="AN19463">
        <v>19459</v>
      </c>
      <c r="AO19463" s="11">
        <v>18571.400000000001</v>
      </c>
      <c r="AP19463" s="9">
        <v>3.1674074143721898</v>
      </c>
    </row>
    <row r="19464" spans="40:42" x14ac:dyDescent="0.3">
      <c r="AN19464">
        <v>19460</v>
      </c>
      <c r="AO19464" s="11">
        <v>29838.59</v>
      </c>
      <c r="AP19464" s="9">
        <v>3.1746647658993492</v>
      </c>
    </row>
    <row r="19465" spans="40:42" x14ac:dyDescent="0.3">
      <c r="AN19465">
        <v>19461</v>
      </c>
      <c r="AO19465" s="11">
        <v>31317.25</v>
      </c>
      <c r="AP19465" s="9">
        <v>3.5684744015547158</v>
      </c>
    </row>
    <row r="19466" spans="40:42" x14ac:dyDescent="0.3">
      <c r="AN19466">
        <v>19462</v>
      </c>
      <c r="AO19466" s="11">
        <v>22649.52</v>
      </c>
      <c r="AP19466" s="9">
        <v>3.2873823680541072</v>
      </c>
    </row>
    <row r="19467" spans="40:42" x14ac:dyDescent="0.3">
      <c r="AN19467">
        <v>19463</v>
      </c>
      <c r="AO19467" s="11">
        <v>18059.509999999998</v>
      </c>
      <c r="AP19467" s="9">
        <v>3.5473049012054578</v>
      </c>
    </row>
    <row r="19468" spans="40:42" x14ac:dyDescent="0.3">
      <c r="AN19468">
        <v>19464</v>
      </c>
      <c r="AO19468" s="11">
        <v>23912.92</v>
      </c>
      <c r="AP19468" s="9">
        <v>2.8488126405640934</v>
      </c>
    </row>
    <row r="19469" spans="40:42" x14ac:dyDescent="0.3">
      <c r="AN19469">
        <v>19465</v>
      </c>
      <c r="AO19469" s="11">
        <v>31875.48</v>
      </c>
      <c r="AP19469" s="9">
        <v>3.2560286671629766</v>
      </c>
    </row>
    <row r="19470" spans="40:42" x14ac:dyDescent="0.3">
      <c r="AN19470">
        <v>19466</v>
      </c>
      <c r="AO19470" s="11">
        <v>43200</v>
      </c>
      <c r="AP19470" s="9">
        <v>3.8413006230318434</v>
      </c>
    </row>
    <row r="19471" spans="40:42" x14ac:dyDescent="0.3">
      <c r="AN19471">
        <v>19467</v>
      </c>
      <c r="AO19471" s="11">
        <v>23190.31</v>
      </c>
      <c r="AP19471" s="9">
        <v>3.133225412925694</v>
      </c>
    </row>
    <row r="19472" spans="40:42" x14ac:dyDescent="0.3">
      <c r="AN19472">
        <v>19468</v>
      </c>
      <c r="AO19472" s="11">
        <v>19175.46</v>
      </c>
      <c r="AP19472" s="9">
        <v>4.0791975099149616</v>
      </c>
    </row>
    <row r="19473" spans="40:42" x14ac:dyDescent="0.3">
      <c r="AN19473">
        <v>19469</v>
      </c>
      <c r="AO19473" s="11">
        <v>42580.2</v>
      </c>
      <c r="AP19473" s="9">
        <v>3.6559792659227317</v>
      </c>
    </row>
    <row r="19474" spans="40:42" x14ac:dyDescent="0.3">
      <c r="AN19474">
        <v>19470</v>
      </c>
      <c r="AO19474" s="11">
        <v>32266.36</v>
      </c>
      <c r="AP19474" s="9">
        <v>3.2071343654256106</v>
      </c>
    </row>
    <row r="19475" spans="40:42" x14ac:dyDescent="0.3">
      <c r="AN19475">
        <v>19471</v>
      </c>
      <c r="AO19475" s="11">
        <v>25492.02</v>
      </c>
      <c r="AP19475" s="9">
        <v>3.5829632782550678</v>
      </c>
    </row>
    <row r="19476" spans="40:42" x14ac:dyDescent="0.3">
      <c r="AN19476">
        <v>19472</v>
      </c>
      <c r="AO19476" s="11">
        <v>32855.370000000003</v>
      </c>
      <c r="AP19476" s="9">
        <v>3.8134988651763524</v>
      </c>
    </row>
    <row r="19477" spans="40:42" x14ac:dyDescent="0.3">
      <c r="AN19477">
        <v>19473</v>
      </c>
      <c r="AO19477" s="11">
        <v>22059.3</v>
      </c>
      <c r="AP19477" s="9">
        <v>3.8096127498025072</v>
      </c>
    </row>
    <row r="19478" spans="40:42" x14ac:dyDescent="0.3">
      <c r="AN19478">
        <v>19474</v>
      </c>
      <c r="AO19478" s="11">
        <v>26144.89</v>
      </c>
      <c r="AP19478" s="9">
        <v>2.7578870483831004</v>
      </c>
    </row>
    <row r="19479" spans="40:42" x14ac:dyDescent="0.3">
      <c r="AN19479">
        <v>19475</v>
      </c>
      <c r="AO19479" s="11">
        <v>25654.78</v>
      </c>
      <c r="AP19479" s="9">
        <v>3.7788917064660912</v>
      </c>
    </row>
    <row r="19480" spans="40:42" x14ac:dyDescent="0.3">
      <c r="AN19480">
        <v>19476</v>
      </c>
      <c r="AO19480" s="11">
        <v>19727.09</v>
      </c>
      <c r="AP19480" s="9">
        <v>2.7698446577433962</v>
      </c>
    </row>
    <row r="19481" spans="40:42" x14ac:dyDescent="0.3">
      <c r="AN19481">
        <v>19477</v>
      </c>
      <c r="AO19481" s="11">
        <v>24168.94</v>
      </c>
      <c r="AP19481" s="9">
        <v>3.3082339960356268</v>
      </c>
    </row>
    <row r="19482" spans="40:42" x14ac:dyDescent="0.3">
      <c r="AN19482">
        <v>19478</v>
      </c>
      <c r="AO19482" s="11">
        <v>16764.849999999999</v>
      </c>
      <c r="AP19482" s="9">
        <v>3.1458053647346889</v>
      </c>
    </row>
    <row r="19483" spans="40:42" x14ac:dyDescent="0.3">
      <c r="AN19483">
        <v>19479</v>
      </c>
      <c r="AO19483" s="11">
        <v>24727.13</v>
      </c>
      <c r="AP19483" s="9">
        <v>2.918033739243286</v>
      </c>
    </row>
    <row r="19484" spans="40:42" x14ac:dyDescent="0.3">
      <c r="AN19484">
        <v>19480</v>
      </c>
      <c r="AO19484" s="11">
        <v>29126.97</v>
      </c>
      <c r="AP19484" s="9">
        <v>3.9945615506956664</v>
      </c>
    </row>
    <row r="19485" spans="40:42" x14ac:dyDescent="0.3">
      <c r="AN19485">
        <v>19481</v>
      </c>
      <c r="AO19485" s="11">
        <v>36503.480000000003</v>
      </c>
      <c r="AP19485" s="9">
        <v>3.3891972336409713</v>
      </c>
    </row>
    <row r="19486" spans="40:42" x14ac:dyDescent="0.3">
      <c r="AN19486">
        <v>19482</v>
      </c>
      <c r="AO19486" s="11">
        <v>32236.86</v>
      </c>
      <c r="AP19486" s="9">
        <v>3.421888704014965</v>
      </c>
    </row>
    <row r="19487" spans="40:42" x14ac:dyDescent="0.3">
      <c r="AN19487">
        <v>19483</v>
      </c>
      <c r="AO19487" s="11">
        <v>25447.43</v>
      </c>
      <c r="AP19487" s="9">
        <v>2.9429239654676125</v>
      </c>
    </row>
    <row r="19488" spans="40:42" x14ac:dyDescent="0.3">
      <c r="AN19488">
        <v>19484</v>
      </c>
      <c r="AO19488" s="11">
        <v>32019.83</v>
      </c>
      <c r="AP19488" s="9">
        <v>3.5280549928046736</v>
      </c>
    </row>
    <row r="19489" spans="40:42" x14ac:dyDescent="0.3">
      <c r="AN19489">
        <v>19485</v>
      </c>
      <c r="AO19489" s="11">
        <v>29466.14</v>
      </c>
      <c r="AP19489" s="9">
        <v>3.4675952416872988</v>
      </c>
    </row>
    <row r="19490" spans="40:42" x14ac:dyDescent="0.3">
      <c r="AN19490">
        <v>19486</v>
      </c>
      <c r="AO19490" s="11">
        <v>21088.46</v>
      </c>
      <c r="AP19490" s="9">
        <v>2.8178470760195533</v>
      </c>
    </row>
    <row r="19491" spans="40:42" x14ac:dyDescent="0.3">
      <c r="AN19491">
        <v>19487</v>
      </c>
      <c r="AO19491" s="11">
        <v>19782.29</v>
      </c>
      <c r="AP19491" s="9">
        <v>2.9596270813381218</v>
      </c>
    </row>
    <row r="19492" spans="40:42" x14ac:dyDescent="0.3">
      <c r="AN19492">
        <v>19488</v>
      </c>
      <c r="AO19492" s="11">
        <v>44429.52</v>
      </c>
      <c r="AP19492" s="9">
        <v>4.5285357276872791</v>
      </c>
    </row>
    <row r="19493" spans="40:42" x14ac:dyDescent="0.3">
      <c r="AN19493">
        <v>19489</v>
      </c>
      <c r="AO19493" s="11">
        <v>26168.65</v>
      </c>
      <c r="AP19493" s="9">
        <v>3.463522865689201</v>
      </c>
    </row>
    <row r="19494" spans="40:42" x14ac:dyDescent="0.3">
      <c r="AN19494">
        <v>19490</v>
      </c>
      <c r="AO19494" s="11">
        <v>31899.69</v>
      </c>
      <c r="AP19494" s="9">
        <v>3.5196246669742033</v>
      </c>
    </row>
    <row r="19495" spans="40:42" x14ac:dyDescent="0.3">
      <c r="AN19495">
        <v>19491</v>
      </c>
      <c r="AO19495" s="11">
        <v>29748.29</v>
      </c>
      <c r="AP19495" s="9">
        <v>3.3653800317661289</v>
      </c>
    </row>
    <row r="19496" spans="40:42" x14ac:dyDescent="0.3">
      <c r="AN19496">
        <v>19492</v>
      </c>
      <c r="AO19496" s="11">
        <v>50762.16</v>
      </c>
      <c r="AP19496" s="9">
        <v>4.0138084460994525</v>
      </c>
    </row>
    <row r="19497" spans="40:42" x14ac:dyDescent="0.3">
      <c r="AN19497">
        <v>19493</v>
      </c>
      <c r="AO19497" s="11">
        <v>34525.11</v>
      </c>
      <c r="AP19497" s="9">
        <v>3.5482275290828782</v>
      </c>
    </row>
    <row r="19498" spans="40:42" x14ac:dyDescent="0.3">
      <c r="AN19498">
        <v>19494</v>
      </c>
      <c r="AO19498" s="11">
        <v>20759.55</v>
      </c>
      <c r="AP19498" s="9">
        <v>3.4649707931625322</v>
      </c>
    </row>
    <row r="19499" spans="40:42" x14ac:dyDescent="0.3">
      <c r="AN19499">
        <v>19495</v>
      </c>
      <c r="AO19499" s="11">
        <v>28429</v>
      </c>
      <c r="AP19499" s="9">
        <v>2.9513315618196061</v>
      </c>
    </row>
    <row r="19500" spans="40:42" x14ac:dyDescent="0.3">
      <c r="AN19500">
        <v>19496</v>
      </c>
      <c r="AO19500" s="11">
        <v>30335.56</v>
      </c>
      <c r="AP19500" s="9">
        <v>3.5988201232164436</v>
      </c>
    </row>
    <row r="19501" spans="40:42" x14ac:dyDescent="0.3">
      <c r="AN19501">
        <v>19497</v>
      </c>
      <c r="AO19501" s="11">
        <v>24925.11</v>
      </c>
      <c r="AP19501" s="9">
        <v>3.5384962924923946</v>
      </c>
    </row>
    <row r="19502" spans="40:42" x14ac:dyDescent="0.3">
      <c r="AN19502">
        <v>19498</v>
      </c>
      <c r="AO19502" s="11">
        <v>26597.84</v>
      </c>
      <c r="AP19502" s="9">
        <v>3.995215306170846</v>
      </c>
    </row>
    <row r="19503" spans="40:42" x14ac:dyDescent="0.3">
      <c r="AN19503">
        <v>19499</v>
      </c>
      <c r="AO19503" s="11">
        <v>28428.31</v>
      </c>
      <c r="AP19503" s="9">
        <v>3.6952416885020063</v>
      </c>
    </row>
    <row r="19504" spans="40:42" x14ac:dyDescent="0.3">
      <c r="AN19504">
        <v>19500</v>
      </c>
      <c r="AO19504" s="11">
        <v>20024.8</v>
      </c>
      <c r="AP19504" s="9">
        <v>3.4327295724793365</v>
      </c>
    </row>
    <row r="19505" spans="40:42" x14ac:dyDescent="0.3">
      <c r="AN19505">
        <v>19501</v>
      </c>
      <c r="AO19505" s="11">
        <v>22300.97</v>
      </c>
      <c r="AP19505" s="9">
        <v>3.9742680749375374</v>
      </c>
    </row>
    <row r="19506" spans="40:42" x14ac:dyDescent="0.3">
      <c r="AN19506">
        <v>19502</v>
      </c>
      <c r="AO19506" s="11">
        <v>17336.53</v>
      </c>
      <c r="AP19506" s="9">
        <v>3.5566921887858651</v>
      </c>
    </row>
    <row r="19507" spans="40:42" x14ac:dyDescent="0.3">
      <c r="AN19507">
        <v>19503</v>
      </c>
      <c r="AO19507" s="11">
        <v>15211.3</v>
      </c>
      <c r="AP19507" s="9">
        <v>2.9698469481851228</v>
      </c>
    </row>
    <row r="19508" spans="40:42" x14ac:dyDescent="0.3">
      <c r="AN19508">
        <v>19504</v>
      </c>
      <c r="AO19508" s="11">
        <v>25097.07</v>
      </c>
      <c r="AP19508" s="9">
        <v>3.6966725666676599</v>
      </c>
    </row>
    <row r="19509" spans="40:42" x14ac:dyDescent="0.3">
      <c r="AN19509">
        <v>19505</v>
      </c>
      <c r="AO19509" s="11">
        <v>24725.42</v>
      </c>
      <c r="AP19509" s="9">
        <v>3.1814120618922113</v>
      </c>
    </row>
    <row r="19510" spans="40:42" x14ac:dyDescent="0.3">
      <c r="AN19510">
        <v>19506</v>
      </c>
      <c r="AO19510" s="11">
        <v>23673.53</v>
      </c>
      <c r="AP19510" s="9">
        <v>3.1323955422317966</v>
      </c>
    </row>
    <row r="19511" spans="40:42" x14ac:dyDescent="0.3">
      <c r="AN19511">
        <v>19507</v>
      </c>
      <c r="AO19511" s="11">
        <v>24674.67</v>
      </c>
      <c r="AP19511" s="9">
        <v>3.2350658487289929</v>
      </c>
    </row>
    <row r="19512" spans="40:42" x14ac:dyDescent="0.3">
      <c r="AN19512">
        <v>19508</v>
      </c>
      <c r="AO19512" s="11">
        <v>23869.08</v>
      </c>
      <c r="AP19512" s="9">
        <v>2.9472176332858155</v>
      </c>
    </row>
    <row r="19513" spans="40:42" x14ac:dyDescent="0.3">
      <c r="AN19513">
        <v>19509</v>
      </c>
      <c r="AO19513" s="11">
        <v>27948.84</v>
      </c>
      <c r="AP19513" s="9">
        <v>3.4539388488062661</v>
      </c>
    </row>
    <row r="19514" spans="40:42" x14ac:dyDescent="0.3">
      <c r="AN19514">
        <v>19510</v>
      </c>
      <c r="AO19514" s="11">
        <v>23896.04</v>
      </c>
      <c r="AP19514" s="9">
        <v>3.320521529287745</v>
      </c>
    </row>
    <row r="19515" spans="40:42" x14ac:dyDescent="0.3">
      <c r="AN19515">
        <v>19511</v>
      </c>
      <c r="AO19515" s="11">
        <v>30070.43</v>
      </c>
      <c r="AP19515" s="9">
        <v>2.6893010828779969</v>
      </c>
    </row>
    <row r="19516" spans="40:42" x14ac:dyDescent="0.3">
      <c r="AN19516">
        <v>19512</v>
      </c>
      <c r="AO19516" s="11">
        <v>19772.05</v>
      </c>
      <c r="AP19516" s="9">
        <v>2.9900059638682421</v>
      </c>
    </row>
    <row r="19517" spans="40:42" x14ac:dyDescent="0.3">
      <c r="AN19517">
        <v>19513</v>
      </c>
      <c r="AO19517" s="11">
        <v>21235.61</v>
      </c>
      <c r="AP19517" s="9">
        <v>3.0702573506773128</v>
      </c>
    </row>
    <row r="19518" spans="40:42" x14ac:dyDescent="0.3">
      <c r="AN19518">
        <v>19514</v>
      </c>
      <c r="AO19518" s="11">
        <v>32318.99</v>
      </c>
      <c r="AP19518" s="9">
        <v>4.0081635334156172</v>
      </c>
    </row>
    <row r="19519" spans="40:42" x14ac:dyDescent="0.3">
      <c r="AN19519">
        <v>19515</v>
      </c>
      <c r="AO19519" s="11">
        <v>27249.69</v>
      </c>
      <c r="AP19519" s="9">
        <v>3.3634022152367011</v>
      </c>
    </row>
    <row r="19520" spans="40:42" x14ac:dyDescent="0.3">
      <c r="AN19520">
        <v>19516</v>
      </c>
      <c r="AO19520" s="11">
        <v>31604.46</v>
      </c>
      <c r="AP19520" s="9">
        <v>4.0011576707416987</v>
      </c>
    </row>
    <row r="19521" spans="40:42" x14ac:dyDescent="0.3">
      <c r="AN19521">
        <v>19517</v>
      </c>
      <c r="AO19521" s="11">
        <v>15971.31</v>
      </c>
      <c r="AP19521" s="9">
        <v>3.0522625693789167</v>
      </c>
    </row>
    <row r="19522" spans="40:42" x14ac:dyDescent="0.3">
      <c r="AN19522">
        <v>19518</v>
      </c>
      <c r="AO19522" s="11">
        <v>20796.22</v>
      </c>
      <c r="AP19522" s="9">
        <v>3.3381390723740139</v>
      </c>
    </row>
    <row r="19523" spans="40:42" x14ac:dyDescent="0.3">
      <c r="AN19523">
        <v>19519</v>
      </c>
      <c r="AO19523" s="11">
        <v>20238.7</v>
      </c>
      <c r="AP19523" s="9">
        <v>3.0720331060392834</v>
      </c>
    </row>
    <row r="19524" spans="40:42" x14ac:dyDescent="0.3">
      <c r="AN19524">
        <v>19520</v>
      </c>
      <c r="AO19524" s="11">
        <v>30376.25</v>
      </c>
      <c r="AP19524" s="9">
        <v>3.054502100099751</v>
      </c>
    </row>
    <row r="19525" spans="40:42" x14ac:dyDescent="0.3">
      <c r="AN19525">
        <v>19521</v>
      </c>
      <c r="AO19525" s="11">
        <v>25073.24</v>
      </c>
      <c r="AP19525" s="9">
        <v>3.5344521627100871</v>
      </c>
    </row>
    <row r="19526" spans="40:42" x14ac:dyDescent="0.3">
      <c r="AN19526">
        <v>19522</v>
      </c>
      <c r="AO19526" s="11">
        <v>29901.11</v>
      </c>
      <c r="AP19526" s="9">
        <v>3.5499676121786514</v>
      </c>
    </row>
    <row r="19527" spans="40:42" x14ac:dyDescent="0.3">
      <c r="AN19527">
        <v>19523</v>
      </c>
      <c r="AO19527" s="11">
        <v>27856.14</v>
      </c>
      <c r="AP19527" s="9">
        <v>4.2242684124113552</v>
      </c>
    </row>
    <row r="19528" spans="40:42" x14ac:dyDescent="0.3">
      <c r="AN19528">
        <v>19524</v>
      </c>
      <c r="AO19528" s="11">
        <v>25023.279999999999</v>
      </c>
      <c r="AP19528" s="9">
        <v>3.1557149027862197</v>
      </c>
    </row>
    <row r="19529" spans="40:42" x14ac:dyDescent="0.3">
      <c r="AN19529">
        <v>19525</v>
      </c>
      <c r="AO19529" s="11">
        <v>31401.15</v>
      </c>
      <c r="AP19529" s="9">
        <v>3.4552709348833295</v>
      </c>
    </row>
    <row r="19530" spans="40:42" x14ac:dyDescent="0.3">
      <c r="AN19530">
        <v>19526</v>
      </c>
      <c r="AO19530" s="11">
        <v>28906.07</v>
      </c>
      <c r="AP19530" s="9">
        <v>2.7125073612376371</v>
      </c>
    </row>
    <row r="19531" spans="40:42" x14ac:dyDescent="0.3">
      <c r="AN19531">
        <v>19527</v>
      </c>
      <c r="AO19531" s="11">
        <v>21770.53</v>
      </c>
      <c r="AP19531" s="9">
        <v>3.1693721967529647</v>
      </c>
    </row>
    <row r="19532" spans="40:42" x14ac:dyDescent="0.3">
      <c r="AN19532">
        <v>19528</v>
      </c>
      <c r="AO19532" s="11">
        <v>18945.54</v>
      </c>
      <c r="AP19532" s="9">
        <v>3.7961930474222925</v>
      </c>
    </row>
    <row r="19533" spans="40:42" x14ac:dyDescent="0.3">
      <c r="AN19533">
        <v>19529</v>
      </c>
      <c r="AO19533" s="11">
        <v>30973.18</v>
      </c>
      <c r="AP19533" s="9">
        <v>3.4020573561934646</v>
      </c>
    </row>
    <row r="19534" spans="40:42" x14ac:dyDescent="0.3">
      <c r="AN19534">
        <v>19530</v>
      </c>
      <c r="AO19534" s="11">
        <v>30469.48</v>
      </c>
      <c r="AP19534" s="9">
        <v>3.3652803288548769</v>
      </c>
    </row>
    <row r="19535" spans="40:42" x14ac:dyDescent="0.3">
      <c r="AN19535">
        <v>19531</v>
      </c>
      <c r="AO19535" s="11">
        <v>40226.81</v>
      </c>
      <c r="AP19535" s="9">
        <v>3.4754524471097441</v>
      </c>
    </row>
    <row r="19536" spans="40:42" x14ac:dyDescent="0.3">
      <c r="AN19536">
        <v>19532</v>
      </c>
      <c r="AO19536" s="11">
        <v>24198.38</v>
      </c>
      <c r="AP19536" s="9">
        <v>3.4948168218336035</v>
      </c>
    </row>
    <row r="19537" spans="40:42" x14ac:dyDescent="0.3">
      <c r="AN19537">
        <v>19533</v>
      </c>
      <c r="AO19537" s="11">
        <v>21330.16</v>
      </c>
      <c r="AP19537" s="9">
        <v>3.4929217852856511</v>
      </c>
    </row>
    <row r="19538" spans="40:42" x14ac:dyDescent="0.3">
      <c r="AN19538">
        <v>19534</v>
      </c>
      <c r="AO19538" s="11">
        <v>24835.02</v>
      </c>
      <c r="AP19538" s="9">
        <v>3.578656228110956</v>
      </c>
    </row>
    <row r="19539" spans="40:42" x14ac:dyDescent="0.3">
      <c r="AN19539">
        <v>19535</v>
      </c>
      <c r="AO19539" s="11">
        <v>18456.23</v>
      </c>
      <c r="AP19539" s="9">
        <v>2.7435102905060424</v>
      </c>
    </row>
    <row r="19540" spans="40:42" x14ac:dyDescent="0.3">
      <c r="AN19540">
        <v>19536</v>
      </c>
      <c r="AO19540" s="11">
        <v>51757.2</v>
      </c>
      <c r="AP19540" s="9">
        <v>4.1218471258082081</v>
      </c>
    </row>
    <row r="19541" spans="40:42" x14ac:dyDescent="0.3">
      <c r="AN19541">
        <v>19537</v>
      </c>
      <c r="AO19541" s="11">
        <v>22909.61</v>
      </c>
      <c r="AP19541" s="9">
        <v>3.5784503992590548</v>
      </c>
    </row>
    <row r="19542" spans="40:42" x14ac:dyDescent="0.3">
      <c r="AN19542">
        <v>19538</v>
      </c>
      <c r="AO19542" s="11">
        <v>36862.980000000003</v>
      </c>
      <c r="AP19542" s="9">
        <v>3.4037447965059284</v>
      </c>
    </row>
    <row r="19543" spans="40:42" x14ac:dyDescent="0.3">
      <c r="AN19543">
        <v>19539</v>
      </c>
      <c r="AO19543" s="11">
        <v>29943.63</v>
      </c>
      <c r="AP19543" s="9">
        <v>4.3255405266049181</v>
      </c>
    </row>
    <row r="19544" spans="40:42" x14ac:dyDescent="0.3">
      <c r="AN19544">
        <v>19540</v>
      </c>
      <c r="AO19544" s="11">
        <v>24314.11</v>
      </c>
      <c r="AP19544" s="9">
        <v>3.3218596513320438</v>
      </c>
    </row>
    <row r="19545" spans="40:42" x14ac:dyDescent="0.3">
      <c r="AN19545">
        <v>19541</v>
      </c>
      <c r="AO19545" s="11">
        <v>23550.07</v>
      </c>
      <c r="AP19545" s="9">
        <v>3.3552057296573641</v>
      </c>
    </row>
    <row r="19546" spans="40:42" x14ac:dyDescent="0.3">
      <c r="AN19546">
        <v>19542</v>
      </c>
      <c r="AO19546" s="11">
        <v>34050.720000000001</v>
      </c>
      <c r="AP19546" s="9">
        <v>3.7020524465905247</v>
      </c>
    </row>
    <row r="19547" spans="40:42" x14ac:dyDescent="0.3">
      <c r="AN19547">
        <v>19543</v>
      </c>
      <c r="AO19547" s="11">
        <v>16566.22</v>
      </c>
      <c r="AP19547" s="9">
        <v>3.4211100510032266</v>
      </c>
    </row>
    <row r="19548" spans="40:42" x14ac:dyDescent="0.3">
      <c r="AN19548">
        <v>19544</v>
      </c>
      <c r="AO19548" s="11">
        <v>22170.37</v>
      </c>
      <c r="AP19548" s="9">
        <v>3.2357579022522756</v>
      </c>
    </row>
    <row r="19549" spans="40:42" x14ac:dyDescent="0.3">
      <c r="AN19549">
        <v>19545</v>
      </c>
      <c r="AO19549" s="11">
        <v>28344.18</v>
      </c>
      <c r="AP19549" s="9">
        <v>3.5751387656676008</v>
      </c>
    </row>
    <row r="19550" spans="40:42" x14ac:dyDescent="0.3">
      <c r="AN19550">
        <v>19546</v>
      </c>
      <c r="AO19550" s="11">
        <v>29914.13</v>
      </c>
      <c r="AP19550" s="9">
        <v>3.4081218197370688</v>
      </c>
    </row>
    <row r="19551" spans="40:42" x14ac:dyDescent="0.3">
      <c r="AN19551">
        <v>19547</v>
      </c>
      <c r="AO19551" s="11">
        <v>13220.22</v>
      </c>
      <c r="AP19551" s="9">
        <v>2.8758848628209299</v>
      </c>
    </row>
    <row r="19552" spans="40:42" x14ac:dyDescent="0.3">
      <c r="AN19552">
        <v>19548</v>
      </c>
      <c r="AO19552" s="11">
        <v>13972.19</v>
      </c>
      <c r="AP19552" s="9">
        <v>3.4943926017995746</v>
      </c>
    </row>
    <row r="19553" spans="40:42" x14ac:dyDescent="0.3">
      <c r="AN19553">
        <v>19549</v>
      </c>
      <c r="AO19553" s="11">
        <v>18209.099999999999</v>
      </c>
      <c r="AP19553" s="9">
        <v>3.5651955891173235</v>
      </c>
    </row>
    <row r="19554" spans="40:42" x14ac:dyDescent="0.3">
      <c r="AN19554">
        <v>19550</v>
      </c>
      <c r="AO19554" s="11">
        <v>31611.84</v>
      </c>
      <c r="AP19554" s="9">
        <v>2.9344430905202681</v>
      </c>
    </row>
    <row r="19555" spans="40:42" x14ac:dyDescent="0.3">
      <c r="AN19555">
        <v>19551</v>
      </c>
      <c r="AO19555" s="11">
        <v>11372.41</v>
      </c>
      <c r="AP19555" s="9">
        <v>2.8457143813572117</v>
      </c>
    </row>
    <row r="19556" spans="40:42" x14ac:dyDescent="0.3">
      <c r="AN19556">
        <v>19552</v>
      </c>
      <c r="AO19556" s="11">
        <v>41928.68</v>
      </c>
      <c r="AP19556" s="9">
        <v>4.1547853338471983</v>
      </c>
    </row>
    <row r="19557" spans="40:42" x14ac:dyDescent="0.3">
      <c r="AN19557">
        <v>19553</v>
      </c>
      <c r="AO19557" s="11">
        <v>51936.44</v>
      </c>
      <c r="AP19557" s="9">
        <v>3.6471125216646447</v>
      </c>
    </row>
    <row r="19558" spans="40:42" x14ac:dyDescent="0.3">
      <c r="AN19558">
        <v>19554</v>
      </c>
      <c r="AO19558" s="11">
        <v>29118.34</v>
      </c>
      <c r="AP19558" s="9">
        <v>4.1218035500999965</v>
      </c>
    </row>
    <row r="19559" spans="40:42" x14ac:dyDescent="0.3">
      <c r="AN19559">
        <v>19555</v>
      </c>
      <c r="AO19559" s="11">
        <v>20967.009999999998</v>
      </c>
      <c r="AP19559" s="9">
        <v>2.8764971585036592</v>
      </c>
    </row>
    <row r="19560" spans="40:42" x14ac:dyDescent="0.3">
      <c r="AN19560">
        <v>19556</v>
      </c>
      <c r="AO19560" s="11">
        <v>25650.97</v>
      </c>
      <c r="AP19560" s="9">
        <v>3.3369974201819876</v>
      </c>
    </row>
    <row r="19561" spans="40:42" x14ac:dyDescent="0.3">
      <c r="AN19561">
        <v>19557</v>
      </c>
      <c r="AO19561" s="11">
        <v>19490.14</v>
      </c>
      <c r="AP19561" s="9">
        <v>2.9622597723328736</v>
      </c>
    </row>
    <row r="19562" spans="40:42" x14ac:dyDescent="0.3">
      <c r="AN19562">
        <v>19558</v>
      </c>
      <c r="AO19562" s="11">
        <v>31949.22</v>
      </c>
      <c r="AP19562" s="9">
        <v>3.2219639829005735</v>
      </c>
    </row>
    <row r="19563" spans="40:42" x14ac:dyDescent="0.3">
      <c r="AN19563">
        <v>19559</v>
      </c>
      <c r="AO19563" s="11">
        <v>23962.29</v>
      </c>
      <c r="AP19563" s="9">
        <v>3.2602959912683622</v>
      </c>
    </row>
    <row r="19564" spans="40:42" x14ac:dyDescent="0.3">
      <c r="AN19564">
        <v>19560</v>
      </c>
      <c r="AO19564" s="11">
        <v>30039.79</v>
      </c>
      <c r="AP19564" s="9">
        <v>3.3546912389247296</v>
      </c>
    </row>
    <row r="19565" spans="40:42" x14ac:dyDescent="0.3">
      <c r="AN19565">
        <v>19561</v>
      </c>
      <c r="AO19565" s="11">
        <v>21653.58</v>
      </c>
      <c r="AP19565" s="9">
        <v>3.4187677321252719</v>
      </c>
    </row>
    <row r="19566" spans="40:42" x14ac:dyDescent="0.3">
      <c r="AN19566">
        <v>19562</v>
      </c>
      <c r="AO19566" s="11">
        <v>20566.53</v>
      </c>
      <c r="AP19566" s="9">
        <v>3.4393464402362088</v>
      </c>
    </row>
    <row r="19567" spans="40:42" x14ac:dyDescent="0.3">
      <c r="AN19567">
        <v>19563</v>
      </c>
      <c r="AO19567" s="11">
        <v>26078.17</v>
      </c>
      <c r="AP19567" s="9">
        <v>3.1456078169802519</v>
      </c>
    </row>
    <row r="19568" spans="40:42" x14ac:dyDescent="0.3">
      <c r="AN19568">
        <v>19564</v>
      </c>
      <c r="AO19568" s="11">
        <v>25979.97</v>
      </c>
      <c r="AP19568" s="9">
        <v>3.6032519801125571</v>
      </c>
    </row>
    <row r="19569" spans="40:42" x14ac:dyDescent="0.3">
      <c r="AN19569">
        <v>19565</v>
      </c>
      <c r="AO19569" s="11">
        <v>21429.21</v>
      </c>
      <c r="AP19569" s="9">
        <v>3.4512072666009836</v>
      </c>
    </row>
    <row r="19570" spans="40:42" x14ac:dyDescent="0.3">
      <c r="AN19570">
        <v>19566</v>
      </c>
      <c r="AO19570" s="11">
        <v>41530.43</v>
      </c>
      <c r="AP19570" s="9">
        <v>3.7113085642515702</v>
      </c>
    </row>
    <row r="19571" spans="40:42" x14ac:dyDescent="0.3">
      <c r="AN19571">
        <v>19567</v>
      </c>
      <c r="AO19571" s="11">
        <v>22066.04</v>
      </c>
      <c r="AP19571" s="9">
        <v>3.0416746690535579</v>
      </c>
    </row>
    <row r="19572" spans="40:42" x14ac:dyDescent="0.3">
      <c r="AN19572">
        <v>19568</v>
      </c>
      <c r="AO19572" s="11">
        <v>24653.49</v>
      </c>
      <c r="AP19572" s="9">
        <v>3.0762131386437694</v>
      </c>
    </row>
    <row r="19573" spans="40:42" x14ac:dyDescent="0.3">
      <c r="AN19573">
        <v>19569</v>
      </c>
      <c r="AO19573" s="11">
        <v>29381.75</v>
      </c>
      <c r="AP19573" s="9">
        <v>3.7765723271910807</v>
      </c>
    </row>
    <row r="19574" spans="40:42" x14ac:dyDescent="0.3">
      <c r="AN19574">
        <v>19570</v>
      </c>
      <c r="AO19574" s="11">
        <v>22139.33</v>
      </c>
      <c r="AP19574" s="9">
        <v>3.1839100496684729</v>
      </c>
    </row>
    <row r="19575" spans="40:42" x14ac:dyDescent="0.3">
      <c r="AN19575">
        <v>19571</v>
      </c>
      <c r="AO19575" s="11">
        <v>24478.46</v>
      </c>
      <c r="AP19575" s="9">
        <v>3.8391902261170072</v>
      </c>
    </row>
    <row r="19576" spans="40:42" x14ac:dyDescent="0.3">
      <c r="AN19576">
        <v>19572</v>
      </c>
      <c r="AO19576" s="11">
        <v>23437.41</v>
      </c>
      <c r="AP19576" s="9">
        <v>3.6235394286927431</v>
      </c>
    </row>
    <row r="19577" spans="40:42" x14ac:dyDescent="0.3">
      <c r="AN19577">
        <v>19573</v>
      </c>
      <c r="AO19577" s="11">
        <v>23156.23</v>
      </c>
      <c r="AP19577" s="9">
        <v>3.2787145561108675</v>
      </c>
    </row>
    <row r="19578" spans="40:42" x14ac:dyDescent="0.3">
      <c r="AN19578">
        <v>19574</v>
      </c>
      <c r="AO19578" s="11">
        <v>20340.93</v>
      </c>
      <c r="AP19578" s="9">
        <v>3.9668540815643092</v>
      </c>
    </row>
    <row r="19579" spans="40:42" x14ac:dyDescent="0.3">
      <c r="AN19579">
        <v>19575</v>
      </c>
      <c r="AO19579" s="11">
        <v>18766.060000000001</v>
      </c>
      <c r="AP19579" s="9">
        <v>3.6823181479333154</v>
      </c>
    </row>
    <row r="19580" spans="40:42" x14ac:dyDescent="0.3">
      <c r="AN19580">
        <v>19576</v>
      </c>
      <c r="AO19580" s="11">
        <v>26389.24</v>
      </c>
      <c r="AP19580" s="9">
        <v>3.4300705344873661</v>
      </c>
    </row>
    <row r="19581" spans="40:42" x14ac:dyDescent="0.3">
      <c r="AN19581">
        <v>19577</v>
      </c>
      <c r="AO19581" s="11">
        <v>37740.32</v>
      </c>
      <c r="AP19581" s="9">
        <v>4.0434304267035266</v>
      </c>
    </row>
    <row r="19582" spans="40:42" x14ac:dyDescent="0.3">
      <c r="AN19582">
        <v>19578</v>
      </c>
      <c r="AO19582" s="11">
        <v>26150.080000000002</v>
      </c>
      <c r="AP19582" s="9">
        <v>3.4558797682055671</v>
      </c>
    </row>
    <row r="19583" spans="40:42" x14ac:dyDescent="0.3">
      <c r="AN19583">
        <v>19579</v>
      </c>
      <c r="AO19583" s="11">
        <v>12757.95</v>
      </c>
      <c r="AP19583" s="9">
        <v>2.827868434340413</v>
      </c>
    </row>
    <row r="19584" spans="40:42" x14ac:dyDescent="0.3">
      <c r="AN19584">
        <v>19580</v>
      </c>
      <c r="AO19584" s="11">
        <v>32165.49</v>
      </c>
      <c r="AP19584" s="9">
        <v>3.4244161046284471</v>
      </c>
    </row>
    <row r="19585" spans="40:42" x14ac:dyDescent="0.3">
      <c r="AN19585">
        <v>19581</v>
      </c>
      <c r="AO19585" s="11">
        <v>31654.12</v>
      </c>
      <c r="AP19585" s="9">
        <v>4.3650709724935348</v>
      </c>
    </row>
    <row r="19586" spans="40:42" x14ac:dyDescent="0.3">
      <c r="AN19586">
        <v>19582</v>
      </c>
      <c r="AO19586" s="11">
        <v>25305.95</v>
      </c>
      <c r="AP19586" s="9">
        <v>3.6552601768852395</v>
      </c>
    </row>
    <row r="19587" spans="40:42" x14ac:dyDescent="0.3">
      <c r="AN19587">
        <v>19583</v>
      </c>
      <c r="AO19587" s="11">
        <v>24832.94</v>
      </c>
      <c r="AP19587" s="9">
        <v>2.8567307006488702</v>
      </c>
    </row>
    <row r="19588" spans="40:42" x14ac:dyDescent="0.3">
      <c r="AN19588">
        <v>19584</v>
      </c>
      <c r="AO19588" s="11">
        <v>25624.55</v>
      </c>
      <c r="AP19588" s="9">
        <v>3.8312251244192446</v>
      </c>
    </row>
    <row r="19589" spans="40:42" x14ac:dyDescent="0.3">
      <c r="AN19589">
        <v>19585</v>
      </c>
      <c r="AO19589" s="11">
        <v>23063.66</v>
      </c>
      <c r="AP19589" s="9">
        <v>3.1090440609812702</v>
      </c>
    </row>
    <row r="19590" spans="40:42" x14ac:dyDescent="0.3">
      <c r="AN19590">
        <v>19586</v>
      </c>
      <c r="AO19590" s="11">
        <v>28141.22</v>
      </c>
      <c r="AP19590" s="9">
        <v>3.20782142284494</v>
      </c>
    </row>
    <row r="19591" spans="40:42" x14ac:dyDescent="0.3">
      <c r="AN19591">
        <v>19587</v>
      </c>
      <c r="AO19591" s="11">
        <v>47024.45</v>
      </c>
      <c r="AP19591" s="9">
        <v>4.0215720827844086</v>
      </c>
    </row>
    <row r="19592" spans="40:42" x14ac:dyDescent="0.3">
      <c r="AN19592">
        <v>19588</v>
      </c>
      <c r="AO19592" s="11">
        <v>24932.07</v>
      </c>
      <c r="AP19592" s="9">
        <v>3.8056609726893611</v>
      </c>
    </row>
    <row r="19593" spans="40:42" x14ac:dyDescent="0.3">
      <c r="AN19593">
        <v>19589</v>
      </c>
      <c r="AO19593" s="11">
        <v>30904.45</v>
      </c>
      <c r="AP19593" s="9">
        <v>3.1202570303981774</v>
      </c>
    </row>
    <row r="19594" spans="40:42" x14ac:dyDescent="0.3">
      <c r="AN19594">
        <v>19590</v>
      </c>
      <c r="AO19594" s="11">
        <v>29894.9</v>
      </c>
      <c r="AP19594" s="9">
        <v>4.0052398876383419</v>
      </c>
    </row>
    <row r="19595" spans="40:42" x14ac:dyDescent="0.3">
      <c r="AN19595">
        <v>19591</v>
      </c>
      <c r="AO19595" s="11">
        <v>33931.57</v>
      </c>
      <c r="AP19595" s="9">
        <v>3.2914134699274369</v>
      </c>
    </row>
    <row r="19596" spans="40:42" x14ac:dyDescent="0.3">
      <c r="AN19596">
        <v>19592</v>
      </c>
      <c r="AO19596" s="11">
        <v>19620.16</v>
      </c>
      <c r="AP19596" s="9">
        <v>2.7141268301345223</v>
      </c>
    </row>
    <row r="19597" spans="40:42" x14ac:dyDescent="0.3">
      <c r="AN19597">
        <v>19593</v>
      </c>
      <c r="AO19597" s="11">
        <v>23245.67</v>
      </c>
      <c r="AP19597" s="9">
        <v>3.3569405718660277</v>
      </c>
    </row>
    <row r="19598" spans="40:42" x14ac:dyDescent="0.3">
      <c r="AN19598">
        <v>19594</v>
      </c>
      <c r="AO19598" s="11">
        <v>24487.52</v>
      </c>
      <c r="AP19598" s="9">
        <v>3.1182165726398687</v>
      </c>
    </row>
    <row r="19599" spans="40:42" x14ac:dyDescent="0.3">
      <c r="AN19599">
        <v>19595</v>
      </c>
      <c r="AO19599" s="11">
        <v>33492.54</v>
      </c>
      <c r="AP19599" s="9">
        <v>3.31280939882256</v>
      </c>
    </row>
    <row r="19600" spans="40:42" x14ac:dyDescent="0.3">
      <c r="AN19600">
        <v>19596</v>
      </c>
      <c r="AO19600" s="11">
        <v>19890.490000000002</v>
      </c>
      <c r="AP19600" s="9">
        <v>2.808955555581047</v>
      </c>
    </row>
    <row r="19601" spans="40:42" x14ac:dyDescent="0.3">
      <c r="AN19601">
        <v>19597</v>
      </c>
      <c r="AO19601" s="11">
        <v>19652.07</v>
      </c>
      <c r="AP19601" s="9">
        <v>3.5243693450801765</v>
      </c>
    </row>
    <row r="19602" spans="40:42" x14ac:dyDescent="0.3">
      <c r="AN19602">
        <v>19598</v>
      </c>
      <c r="AO19602" s="11">
        <v>35547.67</v>
      </c>
      <c r="AP19602" s="9">
        <v>4.4218461475523654</v>
      </c>
    </row>
    <row r="19603" spans="40:42" x14ac:dyDescent="0.3">
      <c r="AN19603">
        <v>19599</v>
      </c>
      <c r="AO19603" s="11">
        <v>25435.59</v>
      </c>
      <c r="AP19603" s="9">
        <v>2.816763669264176</v>
      </c>
    </row>
    <row r="19604" spans="40:42" x14ac:dyDescent="0.3">
      <c r="AN19604">
        <v>19600</v>
      </c>
      <c r="AO19604" s="11">
        <v>23430.44</v>
      </c>
      <c r="AP19604" s="9">
        <v>3.0941834774401933</v>
      </c>
    </row>
    <row r="19605" spans="40:42" x14ac:dyDescent="0.3">
      <c r="AN19605">
        <v>19601</v>
      </c>
      <c r="AO19605" s="11">
        <v>20356.61</v>
      </c>
      <c r="AP19605" s="9">
        <v>3.5665604992805715</v>
      </c>
    </row>
    <row r="19606" spans="40:42" x14ac:dyDescent="0.3">
      <c r="AN19606">
        <v>19602</v>
      </c>
      <c r="AO19606" s="11">
        <v>14578.49</v>
      </c>
      <c r="AP19606" s="9">
        <v>3.1704402586941276</v>
      </c>
    </row>
    <row r="19607" spans="40:42" x14ac:dyDescent="0.3">
      <c r="AN19607">
        <v>19603</v>
      </c>
      <c r="AO19607" s="11">
        <v>31183.66</v>
      </c>
      <c r="AP19607" s="9">
        <v>3.4180252541946246</v>
      </c>
    </row>
    <row r="19608" spans="40:42" x14ac:dyDescent="0.3">
      <c r="AN19608">
        <v>19604</v>
      </c>
      <c r="AO19608" s="11">
        <v>26611.77</v>
      </c>
      <c r="AP19608" s="9">
        <v>3.0272664204066282</v>
      </c>
    </row>
    <row r="19609" spans="40:42" x14ac:dyDescent="0.3">
      <c r="AN19609">
        <v>19605</v>
      </c>
      <c r="AO19609" s="11">
        <v>16995.41</v>
      </c>
      <c r="AP19609" s="9">
        <v>3.2063877865032269</v>
      </c>
    </row>
    <row r="19610" spans="40:42" x14ac:dyDescent="0.3">
      <c r="AN19610">
        <v>19606</v>
      </c>
      <c r="AO19610" s="11">
        <v>35902.550000000003</v>
      </c>
      <c r="AP19610" s="9">
        <v>3.1259939972204669</v>
      </c>
    </row>
    <row r="19611" spans="40:42" x14ac:dyDescent="0.3">
      <c r="AN19611">
        <v>19607</v>
      </c>
      <c r="AO19611" s="11">
        <v>48730.400000000001</v>
      </c>
      <c r="AP19611" s="9">
        <v>4.0043572434678509</v>
      </c>
    </row>
    <row r="19612" spans="40:42" x14ac:dyDescent="0.3">
      <c r="AN19612">
        <v>19608</v>
      </c>
      <c r="AO19612" s="11">
        <v>30774.39</v>
      </c>
      <c r="AP19612" s="9">
        <v>3.0924903725578266</v>
      </c>
    </row>
    <row r="19613" spans="40:42" x14ac:dyDescent="0.3">
      <c r="AN19613">
        <v>19609</v>
      </c>
      <c r="AO19613" s="11">
        <v>36112.699999999997</v>
      </c>
      <c r="AP19613" s="9">
        <v>3.7958867936196032</v>
      </c>
    </row>
    <row r="19614" spans="40:42" x14ac:dyDescent="0.3">
      <c r="AN19614">
        <v>19610</v>
      </c>
      <c r="AO19614" s="11">
        <v>15852.27</v>
      </c>
      <c r="AP19614" s="9">
        <v>3.2023607047604301</v>
      </c>
    </row>
    <row r="19615" spans="40:42" x14ac:dyDescent="0.3">
      <c r="AN19615">
        <v>19611</v>
      </c>
      <c r="AO19615" s="11">
        <v>14482.45</v>
      </c>
      <c r="AP19615" s="9">
        <v>3.2650581630818047</v>
      </c>
    </row>
    <row r="19616" spans="40:42" x14ac:dyDescent="0.3">
      <c r="AN19616">
        <v>19612</v>
      </c>
      <c r="AO19616" s="11">
        <v>23694.82</v>
      </c>
      <c r="AP19616" s="9">
        <v>3.658055641190427</v>
      </c>
    </row>
    <row r="19617" spans="40:42" x14ac:dyDescent="0.3">
      <c r="AN19617">
        <v>19613</v>
      </c>
      <c r="AO19617" s="11">
        <v>26354.42</v>
      </c>
      <c r="AP19617" s="9">
        <v>3.3719505159741145</v>
      </c>
    </row>
    <row r="19618" spans="40:42" x14ac:dyDescent="0.3">
      <c r="AN19618">
        <v>19614</v>
      </c>
      <c r="AO19618" s="11">
        <v>22927.3</v>
      </c>
      <c r="AP19618" s="9">
        <v>3.2435712100309151</v>
      </c>
    </row>
    <row r="19619" spans="40:42" x14ac:dyDescent="0.3">
      <c r="AN19619">
        <v>19615</v>
      </c>
      <c r="AO19619" s="11">
        <v>31285.41</v>
      </c>
      <c r="AP19619" s="9">
        <v>3.1608098731744527</v>
      </c>
    </row>
    <row r="19620" spans="40:42" x14ac:dyDescent="0.3">
      <c r="AN19620">
        <v>19616</v>
      </c>
      <c r="AO19620" s="11">
        <v>28978.34</v>
      </c>
      <c r="AP19620" s="9">
        <v>3.0619737090315491</v>
      </c>
    </row>
    <row r="19621" spans="40:42" x14ac:dyDescent="0.3">
      <c r="AN19621">
        <v>19617</v>
      </c>
      <c r="AO19621" s="11">
        <v>26604.73</v>
      </c>
      <c r="AP19621" s="9">
        <v>3.2675419389731735</v>
      </c>
    </row>
    <row r="19622" spans="40:42" x14ac:dyDescent="0.3">
      <c r="AN19622">
        <v>19618</v>
      </c>
      <c r="AO19622" s="11">
        <v>42491.09</v>
      </c>
      <c r="AP19622" s="9">
        <v>3.7828218079697984</v>
      </c>
    </row>
    <row r="19623" spans="40:42" x14ac:dyDescent="0.3">
      <c r="AN19623">
        <v>19619</v>
      </c>
      <c r="AO19623" s="11">
        <v>23852.959999999999</v>
      </c>
      <c r="AP19623" s="9">
        <v>3.2963901533093072</v>
      </c>
    </row>
    <row r="19624" spans="40:42" x14ac:dyDescent="0.3">
      <c r="AN19624">
        <v>19620</v>
      </c>
      <c r="AO19624" s="11">
        <v>13559.11</v>
      </c>
      <c r="AP19624" s="9">
        <v>2.6771004285407272</v>
      </c>
    </row>
    <row r="19625" spans="40:42" x14ac:dyDescent="0.3">
      <c r="AN19625">
        <v>19621</v>
      </c>
      <c r="AO19625" s="11">
        <v>28755.96</v>
      </c>
      <c r="AP19625" s="9">
        <v>3.1234521021712758</v>
      </c>
    </row>
    <row r="19626" spans="40:42" x14ac:dyDescent="0.3">
      <c r="AN19626">
        <v>19622</v>
      </c>
      <c r="AO19626" s="11">
        <v>28818.06</v>
      </c>
      <c r="AP19626" s="9">
        <v>3.8915548871373593</v>
      </c>
    </row>
    <row r="19627" spans="40:42" x14ac:dyDescent="0.3">
      <c r="AN19627">
        <v>19623</v>
      </c>
      <c r="AO19627" s="11">
        <v>22960.9</v>
      </c>
      <c r="AP19627" s="9">
        <v>3.6371306434501602</v>
      </c>
    </row>
    <row r="19628" spans="40:42" x14ac:dyDescent="0.3">
      <c r="AN19628">
        <v>19624</v>
      </c>
      <c r="AO19628" s="11">
        <v>33153.4</v>
      </c>
      <c r="AP19628" s="9">
        <v>3.2586614842518355</v>
      </c>
    </row>
    <row r="19629" spans="40:42" x14ac:dyDescent="0.3">
      <c r="AN19629">
        <v>19625</v>
      </c>
      <c r="AO19629" s="11">
        <v>26685.62</v>
      </c>
      <c r="AP19629" s="9">
        <v>3.5535303805984126</v>
      </c>
    </row>
    <row r="19630" spans="40:42" x14ac:dyDescent="0.3">
      <c r="AN19630">
        <v>19626</v>
      </c>
      <c r="AO19630" s="11">
        <v>28530.66</v>
      </c>
      <c r="AP19630" s="9">
        <v>3.3127310708927586</v>
      </c>
    </row>
    <row r="19631" spans="40:42" x14ac:dyDescent="0.3">
      <c r="AN19631">
        <v>19627</v>
      </c>
      <c r="AO19631" s="11">
        <v>28817.94</v>
      </c>
      <c r="AP19631" s="9">
        <v>3.7177332532429155</v>
      </c>
    </row>
    <row r="19632" spans="40:42" x14ac:dyDescent="0.3">
      <c r="AN19632">
        <v>19628</v>
      </c>
      <c r="AO19632" s="11">
        <v>28072.85</v>
      </c>
      <c r="AP19632" s="9">
        <v>3.0943469090372937</v>
      </c>
    </row>
    <row r="19633" spans="40:42" x14ac:dyDescent="0.3">
      <c r="AN19633">
        <v>19629</v>
      </c>
      <c r="AO19633" s="11">
        <v>28103.84</v>
      </c>
      <c r="AP19633" s="9">
        <v>3.1632547873078232</v>
      </c>
    </row>
    <row r="19634" spans="40:42" x14ac:dyDescent="0.3">
      <c r="AN19634">
        <v>19630</v>
      </c>
      <c r="AO19634" s="11">
        <v>15424.77</v>
      </c>
      <c r="AP19634" s="9">
        <v>3.2260415190409963</v>
      </c>
    </row>
    <row r="19635" spans="40:42" x14ac:dyDescent="0.3">
      <c r="AN19635">
        <v>19631</v>
      </c>
      <c r="AO19635" s="11">
        <v>17853.43</v>
      </c>
      <c r="AP19635" s="9">
        <v>3.0565433039865857</v>
      </c>
    </row>
    <row r="19636" spans="40:42" x14ac:dyDescent="0.3">
      <c r="AN19636">
        <v>19632</v>
      </c>
      <c r="AO19636" s="11">
        <v>25300.1</v>
      </c>
      <c r="AP19636" s="9">
        <v>3.1361580684444075</v>
      </c>
    </row>
    <row r="19637" spans="40:42" x14ac:dyDescent="0.3">
      <c r="AN19637">
        <v>19633</v>
      </c>
      <c r="AO19637" s="11">
        <v>22505.38</v>
      </c>
      <c r="AP19637" s="9">
        <v>2.9944686148511197</v>
      </c>
    </row>
    <row r="19638" spans="40:42" x14ac:dyDescent="0.3">
      <c r="AN19638">
        <v>19634</v>
      </c>
      <c r="AO19638" s="11">
        <v>23784.240000000002</v>
      </c>
      <c r="AP19638" s="9">
        <v>3.0816440827767386</v>
      </c>
    </row>
    <row r="19639" spans="40:42" x14ac:dyDescent="0.3">
      <c r="AN19639">
        <v>19635</v>
      </c>
      <c r="AO19639" s="11">
        <v>30723.54</v>
      </c>
      <c r="AP19639" s="9">
        <v>3.1079416079501496</v>
      </c>
    </row>
    <row r="19640" spans="40:42" x14ac:dyDescent="0.3">
      <c r="AN19640">
        <v>19636</v>
      </c>
      <c r="AO19640" s="11">
        <v>23294.49</v>
      </c>
      <c r="AP19640" s="9">
        <v>3.1584046166504658</v>
      </c>
    </row>
    <row r="19641" spans="40:42" x14ac:dyDescent="0.3">
      <c r="AN19641">
        <v>19637</v>
      </c>
      <c r="AO19641" s="11">
        <v>29075.4</v>
      </c>
      <c r="AP19641" s="9">
        <v>3.7160097873017888</v>
      </c>
    </row>
    <row r="19642" spans="40:42" x14ac:dyDescent="0.3">
      <c r="AN19642">
        <v>19638</v>
      </c>
      <c r="AO19642" s="11">
        <v>25378.76</v>
      </c>
      <c r="AP19642" s="9">
        <v>3.2651840245690154</v>
      </c>
    </row>
    <row r="19643" spans="40:42" x14ac:dyDescent="0.3">
      <c r="AN19643">
        <v>19639</v>
      </c>
      <c r="AO19643" s="11">
        <v>32128.44</v>
      </c>
      <c r="AP19643" s="9">
        <v>3.0770032226229085</v>
      </c>
    </row>
    <row r="19644" spans="40:42" x14ac:dyDescent="0.3">
      <c r="AN19644">
        <v>19640</v>
      </c>
      <c r="AO19644" s="11">
        <v>17948.099999999999</v>
      </c>
      <c r="AP19644" s="9">
        <v>2.8518900492121837</v>
      </c>
    </row>
    <row r="19645" spans="40:42" x14ac:dyDescent="0.3">
      <c r="AN19645">
        <v>19641</v>
      </c>
      <c r="AO19645" s="11">
        <v>22139.040000000001</v>
      </c>
      <c r="AP19645" s="9">
        <v>4.2428278753656166</v>
      </c>
    </row>
    <row r="19646" spans="40:42" x14ac:dyDescent="0.3">
      <c r="AN19646">
        <v>19642</v>
      </c>
      <c r="AO19646" s="11">
        <v>19091.48</v>
      </c>
      <c r="AP19646" s="9">
        <v>3.412037145465836</v>
      </c>
    </row>
    <row r="19647" spans="40:42" x14ac:dyDescent="0.3">
      <c r="AN19647">
        <v>19643</v>
      </c>
      <c r="AO19647" s="11">
        <v>19884.12</v>
      </c>
      <c r="AP19647" s="9">
        <v>3.0265022958116079</v>
      </c>
    </row>
    <row r="19648" spans="40:42" x14ac:dyDescent="0.3">
      <c r="AN19648">
        <v>19644</v>
      </c>
      <c r="AO19648" s="11">
        <v>19103.96</v>
      </c>
      <c r="AP19648" s="9">
        <v>2.992925696088331</v>
      </c>
    </row>
    <row r="19649" spans="40:42" x14ac:dyDescent="0.3">
      <c r="AN19649">
        <v>19645</v>
      </c>
      <c r="AO19649" s="11">
        <v>48474.5</v>
      </c>
      <c r="AP19649" s="9">
        <v>3.3043890586558384</v>
      </c>
    </row>
    <row r="19650" spans="40:42" x14ac:dyDescent="0.3">
      <c r="AN19650">
        <v>19646</v>
      </c>
      <c r="AO19650" s="11">
        <v>18445.32</v>
      </c>
      <c r="AP19650" s="9">
        <v>3.3555935816406559</v>
      </c>
    </row>
    <row r="19651" spans="40:42" x14ac:dyDescent="0.3">
      <c r="AN19651">
        <v>19647</v>
      </c>
      <c r="AO19651" s="11">
        <v>34352.300000000003</v>
      </c>
      <c r="AP19651" s="9">
        <v>3.7284398734598274</v>
      </c>
    </row>
    <row r="19652" spans="40:42" x14ac:dyDescent="0.3">
      <c r="AN19652">
        <v>19648</v>
      </c>
      <c r="AO19652" s="11">
        <v>34131.07</v>
      </c>
      <c r="AP19652" s="9">
        <v>3.7831015485002135</v>
      </c>
    </row>
    <row r="19653" spans="40:42" x14ac:dyDescent="0.3">
      <c r="AN19653">
        <v>19649</v>
      </c>
      <c r="AO19653" s="11">
        <v>31040.18</v>
      </c>
      <c r="AP19653" s="9">
        <v>3.3974606410076924</v>
      </c>
    </row>
    <row r="19654" spans="40:42" x14ac:dyDescent="0.3">
      <c r="AN19654">
        <v>19650</v>
      </c>
      <c r="AO19654" s="11">
        <v>29376.46</v>
      </c>
      <c r="AP19654" s="9">
        <v>3.8917076932470001</v>
      </c>
    </row>
    <row r="19655" spans="40:42" x14ac:dyDescent="0.3">
      <c r="AN19655">
        <v>19651</v>
      </c>
      <c r="AO19655" s="11">
        <v>42709.1</v>
      </c>
      <c r="AP19655" s="9">
        <v>4.1806435820747447</v>
      </c>
    </row>
    <row r="19656" spans="40:42" x14ac:dyDescent="0.3">
      <c r="AN19656">
        <v>19652</v>
      </c>
      <c r="AO19656" s="11">
        <v>26028.85</v>
      </c>
      <c r="AP19656" s="9">
        <v>3.1087971834402852</v>
      </c>
    </row>
    <row r="19657" spans="40:42" x14ac:dyDescent="0.3">
      <c r="AN19657">
        <v>19653</v>
      </c>
      <c r="AO19657" s="11">
        <v>27620.1</v>
      </c>
      <c r="AP19657" s="9">
        <v>3.2962854254831218</v>
      </c>
    </row>
    <row r="19658" spans="40:42" x14ac:dyDescent="0.3">
      <c r="AN19658">
        <v>19654</v>
      </c>
      <c r="AO19658" s="11">
        <v>30133.21</v>
      </c>
      <c r="AP19658" s="9">
        <v>3.5927075197327794</v>
      </c>
    </row>
    <row r="19659" spans="40:42" x14ac:dyDescent="0.3">
      <c r="AN19659">
        <v>19655</v>
      </c>
      <c r="AO19659" s="11">
        <v>22078.52</v>
      </c>
      <c r="AP19659" s="9">
        <v>3.1035373294777342</v>
      </c>
    </row>
    <row r="19660" spans="40:42" x14ac:dyDescent="0.3">
      <c r="AN19660">
        <v>19656</v>
      </c>
      <c r="AO19660" s="11">
        <v>30905.18</v>
      </c>
      <c r="AP19660" s="9">
        <v>3.9823403772090589</v>
      </c>
    </row>
    <row r="19661" spans="40:42" x14ac:dyDescent="0.3">
      <c r="AN19661">
        <v>19657</v>
      </c>
      <c r="AO19661" s="11">
        <v>25615.18</v>
      </c>
      <c r="AP19661" s="9">
        <v>3.3075424878020829</v>
      </c>
    </row>
    <row r="19662" spans="40:42" x14ac:dyDescent="0.3">
      <c r="AN19662">
        <v>19658</v>
      </c>
      <c r="AO19662" s="11">
        <v>39412.660000000003</v>
      </c>
      <c r="AP19662" s="9">
        <v>3.885197277995454</v>
      </c>
    </row>
    <row r="19663" spans="40:42" x14ac:dyDescent="0.3">
      <c r="AN19663">
        <v>19659</v>
      </c>
      <c r="AO19663" s="11">
        <v>25865.51</v>
      </c>
      <c r="AP19663" s="9">
        <v>2.7109138794966383</v>
      </c>
    </row>
    <row r="19664" spans="40:42" x14ac:dyDescent="0.3">
      <c r="AN19664">
        <v>19660</v>
      </c>
      <c r="AO19664" s="11">
        <v>36140.339999999997</v>
      </c>
      <c r="AP19664" s="9">
        <v>3.3412227656841638</v>
      </c>
    </row>
    <row r="19665" spans="40:42" x14ac:dyDescent="0.3">
      <c r="AN19665">
        <v>19661</v>
      </c>
      <c r="AO19665" s="11">
        <v>23166.7</v>
      </c>
      <c r="AP19665" s="9">
        <v>3.1909493106514457</v>
      </c>
    </row>
    <row r="19666" spans="40:42" x14ac:dyDescent="0.3">
      <c r="AN19666">
        <v>19662</v>
      </c>
      <c r="AO19666" s="11">
        <v>22412.75</v>
      </c>
      <c r="AP19666" s="9">
        <v>3.3943678553450449</v>
      </c>
    </row>
    <row r="19667" spans="40:42" x14ac:dyDescent="0.3">
      <c r="AN19667">
        <v>19663</v>
      </c>
      <c r="AO19667" s="11">
        <v>29812.11</v>
      </c>
      <c r="AP19667" s="9">
        <v>3.0419553837932853</v>
      </c>
    </row>
    <row r="19668" spans="40:42" x14ac:dyDescent="0.3">
      <c r="AN19668">
        <v>19664</v>
      </c>
      <c r="AO19668" s="11">
        <v>22609.37</v>
      </c>
      <c r="AP19668" s="9">
        <v>3.435949474367666</v>
      </c>
    </row>
    <row r="19669" spans="40:42" x14ac:dyDescent="0.3">
      <c r="AN19669">
        <v>19665</v>
      </c>
      <c r="AO19669" s="11">
        <v>20828.04</v>
      </c>
      <c r="AP19669" s="9">
        <v>3.3559669168712793</v>
      </c>
    </row>
    <row r="19670" spans="40:42" x14ac:dyDescent="0.3">
      <c r="AN19670">
        <v>19666</v>
      </c>
      <c r="AO19670" s="11">
        <v>22554.400000000001</v>
      </c>
      <c r="AP19670" s="9">
        <v>3.1155423771372761</v>
      </c>
    </row>
    <row r="19671" spans="40:42" x14ac:dyDescent="0.3">
      <c r="AN19671">
        <v>19667</v>
      </c>
      <c r="AO19671" s="11">
        <v>28659.61</v>
      </c>
      <c r="AP19671" s="9">
        <v>3.7958580108948423</v>
      </c>
    </row>
    <row r="19672" spans="40:42" x14ac:dyDescent="0.3">
      <c r="AN19672">
        <v>19668</v>
      </c>
      <c r="AO19672" s="11">
        <v>34774.69</v>
      </c>
      <c r="AP19672" s="9">
        <v>3.4710433054141983</v>
      </c>
    </row>
    <row r="19673" spans="40:42" x14ac:dyDescent="0.3">
      <c r="AN19673">
        <v>19669</v>
      </c>
      <c r="AO19673" s="11">
        <v>25981.56</v>
      </c>
      <c r="AP19673" s="9">
        <v>3.1410121660053019</v>
      </c>
    </row>
    <row r="19674" spans="40:42" x14ac:dyDescent="0.3">
      <c r="AN19674">
        <v>19670</v>
      </c>
      <c r="AO19674" s="11">
        <v>16027.56</v>
      </c>
      <c r="AP19674" s="9">
        <v>3.2733780247261901</v>
      </c>
    </row>
    <row r="19675" spans="40:42" x14ac:dyDescent="0.3">
      <c r="AN19675">
        <v>19671</v>
      </c>
      <c r="AO19675" s="11">
        <v>17964.82</v>
      </c>
      <c r="AP19675" s="9">
        <v>3.2257989020430027</v>
      </c>
    </row>
    <row r="19676" spans="40:42" x14ac:dyDescent="0.3">
      <c r="AN19676">
        <v>19672</v>
      </c>
      <c r="AO19676" s="11">
        <v>28367.82</v>
      </c>
      <c r="AP19676" s="9">
        <v>3.6707621970342661</v>
      </c>
    </row>
    <row r="19677" spans="40:42" x14ac:dyDescent="0.3">
      <c r="AN19677">
        <v>19673</v>
      </c>
      <c r="AO19677" s="11">
        <v>26375.67</v>
      </c>
      <c r="AP19677" s="9">
        <v>3.6606507388317793</v>
      </c>
    </row>
    <row r="19678" spans="40:42" x14ac:dyDescent="0.3">
      <c r="AN19678">
        <v>19674</v>
      </c>
      <c r="AO19678" s="11">
        <v>36220.26</v>
      </c>
      <c r="AP19678" s="9">
        <v>3.9315762789223569</v>
      </c>
    </row>
    <row r="19679" spans="40:42" x14ac:dyDescent="0.3">
      <c r="AN19679">
        <v>19675</v>
      </c>
      <c r="AO19679" s="11">
        <v>33314.67</v>
      </c>
      <c r="AP19679" s="9">
        <v>3.9179500492032191</v>
      </c>
    </row>
    <row r="19680" spans="40:42" x14ac:dyDescent="0.3">
      <c r="AN19680">
        <v>19676</v>
      </c>
      <c r="AO19680" s="11">
        <v>37503.599999999999</v>
      </c>
      <c r="AP19680" s="9">
        <v>3.8640398638765472</v>
      </c>
    </row>
    <row r="19681" spans="40:42" x14ac:dyDescent="0.3">
      <c r="AN19681">
        <v>19677</v>
      </c>
      <c r="AO19681" s="11">
        <v>28279.99</v>
      </c>
      <c r="AP19681" s="9">
        <v>3.4801252057989238</v>
      </c>
    </row>
    <row r="19682" spans="40:42" x14ac:dyDescent="0.3">
      <c r="AN19682">
        <v>19678</v>
      </c>
      <c r="AO19682" s="11">
        <v>40776.82</v>
      </c>
      <c r="AP19682" s="9">
        <v>3.3530783972400808</v>
      </c>
    </row>
    <row r="19683" spans="40:42" x14ac:dyDescent="0.3">
      <c r="AN19683">
        <v>19679</v>
      </c>
      <c r="AO19683" s="11">
        <v>30299.62</v>
      </c>
      <c r="AP19683" s="9">
        <v>3.4031632294356489</v>
      </c>
    </row>
    <row r="19684" spans="40:42" x14ac:dyDescent="0.3">
      <c r="AN19684">
        <v>19680</v>
      </c>
      <c r="AO19684" s="11">
        <v>26686.18</v>
      </c>
      <c r="AP19684" s="9">
        <v>3.1328449203542994</v>
      </c>
    </row>
    <row r="19685" spans="40:42" x14ac:dyDescent="0.3">
      <c r="AN19685">
        <v>19681</v>
      </c>
      <c r="AO19685" s="11">
        <v>18235.36</v>
      </c>
      <c r="AP19685" s="9">
        <v>3.3728280793210712</v>
      </c>
    </row>
    <row r="19686" spans="40:42" x14ac:dyDescent="0.3">
      <c r="AN19686">
        <v>19682</v>
      </c>
      <c r="AO19686" s="11">
        <v>15553.15</v>
      </c>
      <c r="AP19686" s="9">
        <v>3.3116001283680139</v>
      </c>
    </row>
    <row r="19687" spans="40:42" x14ac:dyDescent="0.3">
      <c r="AN19687">
        <v>19683</v>
      </c>
      <c r="AO19687" s="11">
        <v>23436.33</v>
      </c>
      <c r="AP19687" s="9">
        <v>3.7826885798272381</v>
      </c>
    </row>
    <row r="19688" spans="40:42" x14ac:dyDescent="0.3">
      <c r="AN19688">
        <v>19684</v>
      </c>
      <c r="AO19688" s="11">
        <v>40659.800000000003</v>
      </c>
      <c r="AP19688" s="9">
        <v>3.7115189662623091</v>
      </c>
    </row>
    <row r="19689" spans="40:42" x14ac:dyDescent="0.3">
      <c r="AN19689">
        <v>19685</v>
      </c>
      <c r="AO19689" s="11">
        <v>19087.759999999998</v>
      </c>
      <c r="AP19689" s="9">
        <v>3.2840599291856374</v>
      </c>
    </row>
    <row r="19690" spans="40:42" x14ac:dyDescent="0.3">
      <c r="AN19690">
        <v>19686</v>
      </c>
      <c r="AO19690" s="11">
        <v>22178.57</v>
      </c>
      <c r="AP19690" s="9">
        <v>2.7863571097088435</v>
      </c>
    </row>
    <row r="19691" spans="40:42" x14ac:dyDescent="0.3">
      <c r="AN19691">
        <v>19687</v>
      </c>
      <c r="AO19691" s="11">
        <v>22063.48</v>
      </c>
      <c r="AP19691" s="9">
        <v>3.6652276962351422</v>
      </c>
    </row>
    <row r="19692" spans="40:42" x14ac:dyDescent="0.3">
      <c r="AN19692">
        <v>19688</v>
      </c>
      <c r="AO19692" s="11">
        <v>28161.919999999998</v>
      </c>
      <c r="AP19692" s="9">
        <v>3.8271982233522013</v>
      </c>
    </row>
    <row r="19693" spans="40:42" x14ac:dyDescent="0.3">
      <c r="AN19693">
        <v>19689</v>
      </c>
      <c r="AO19693" s="11">
        <v>28826.57</v>
      </c>
      <c r="AP19693" s="9">
        <v>3.9028318874130634</v>
      </c>
    </row>
    <row r="19694" spans="40:42" x14ac:dyDescent="0.3">
      <c r="AN19694">
        <v>19690</v>
      </c>
      <c r="AO19694" s="11">
        <v>28190.080000000002</v>
      </c>
      <c r="AP19694" s="9">
        <v>3.5222460477667119</v>
      </c>
    </row>
    <row r="19695" spans="40:42" x14ac:dyDescent="0.3">
      <c r="AN19695">
        <v>19691</v>
      </c>
      <c r="AO19695" s="11">
        <v>26882.06</v>
      </c>
      <c r="AP19695" s="9">
        <v>3.5560126901898403</v>
      </c>
    </row>
    <row r="19696" spans="40:42" x14ac:dyDescent="0.3">
      <c r="AN19696">
        <v>19692</v>
      </c>
      <c r="AO19696" s="11">
        <v>24842.36</v>
      </c>
      <c r="AP19696" s="9">
        <v>2.835593781685263</v>
      </c>
    </row>
    <row r="19697" spans="40:42" x14ac:dyDescent="0.3">
      <c r="AN19697">
        <v>19693</v>
      </c>
      <c r="AO19697" s="11">
        <v>20113.98</v>
      </c>
      <c r="AP19697" s="9">
        <v>3.2440694021157852</v>
      </c>
    </row>
    <row r="19698" spans="40:42" x14ac:dyDescent="0.3">
      <c r="AN19698">
        <v>19694</v>
      </c>
      <c r="AO19698" s="11">
        <v>23634.03</v>
      </c>
      <c r="AP19698" s="9">
        <v>3.4899866425735726</v>
      </c>
    </row>
    <row r="19699" spans="40:42" x14ac:dyDescent="0.3">
      <c r="AN19699">
        <v>19695</v>
      </c>
      <c r="AO19699" s="11">
        <v>24409.06</v>
      </c>
      <c r="AP19699" s="9">
        <v>3.2936964536574687</v>
      </c>
    </row>
    <row r="19700" spans="40:42" x14ac:dyDescent="0.3">
      <c r="AN19700">
        <v>19696</v>
      </c>
      <c r="AO19700" s="11">
        <v>24263.200000000001</v>
      </c>
      <c r="AP19700" s="9">
        <v>3.5655374642213857</v>
      </c>
    </row>
    <row r="19701" spans="40:42" x14ac:dyDescent="0.3">
      <c r="AN19701">
        <v>19697</v>
      </c>
      <c r="AO19701" s="11">
        <v>21231.11</v>
      </c>
      <c r="AP19701" s="9">
        <v>3.8595192259761051</v>
      </c>
    </row>
    <row r="19702" spans="40:42" x14ac:dyDescent="0.3">
      <c r="AN19702">
        <v>19698</v>
      </c>
      <c r="AO19702" s="11">
        <v>28012.7</v>
      </c>
      <c r="AP19702" s="9">
        <v>3.5094991914317912</v>
      </c>
    </row>
    <row r="19703" spans="40:42" x14ac:dyDescent="0.3">
      <c r="AN19703">
        <v>19699</v>
      </c>
      <c r="AO19703" s="11">
        <v>24462.46</v>
      </c>
      <c r="AP19703" s="9">
        <v>3.852031102745471</v>
      </c>
    </row>
    <row r="19704" spans="40:42" x14ac:dyDescent="0.3">
      <c r="AN19704">
        <v>19700</v>
      </c>
      <c r="AO19704" s="11">
        <v>33281.629999999997</v>
      </c>
      <c r="AP19704" s="9">
        <v>3.3037816938000888</v>
      </c>
    </row>
    <row r="19705" spans="40:42" x14ac:dyDescent="0.3">
      <c r="AN19705">
        <v>19701</v>
      </c>
      <c r="AO19705" s="11">
        <v>34719.25</v>
      </c>
      <c r="AP19705" s="9">
        <v>3.6478860395820556</v>
      </c>
    </row>
    <row r="19706" spans="40:42" x14ac:dyDescent="0.3">
      <c r="AN19706">
        <v>19702</v>
      </c>
      <c r="AO19706" s="11">
        <v>32119.89</v>
      </c>
      <c r="AP19706" s="9">
        <v>4.0376435209727424</v>
      </c>
    </row>
    <row r="19707" spans="40:42" x14ac:dyDescent="0.3">
      <c r="AN19707">
        <v>19703</v>
      </c>
      <c r="AO19707" s="11">
        <v>22854.93</v>
      </c>
      <c r="AP19707" s="9">
        <v>2.9629003269683594</v>
      </c>
    </row>
    <row r="19708" spans="40:42" x14ac:dyDescent="0.3">
      <c r="AN19708">
        <v>19704</v>
      </c>
      <c r="AO19708" s="11">
        <v>49372.08</v>
      </c>
      <c r="AP19708" s="9">
        <v>4.0170419883530863</v>
      </c>
    </row>
    <row r="19709" spans="40:42" x14ac:dyDescent="0.3">
      <c r="AN19709">
        <v>19705</v>
      </c>
      <c r="AO19709" s="11">
        <v>20721.38</v>
      </c>
      <c r="AP19709" s="9">
        <v>2.8040800783193029</v>
      </c>
    </row>
    <row r="19710" spans="40:42" x14ac:dyDescent="0.3">
      <c r="AN19710">
        <v>19706</v>
      </c>
      <c r="AO19710" s="11">
        <v>22124.35</v>
      </c>
      <c r="AP19710" s="9">
        <v>3.4970351432813533</v>
      </c>
    </row>
    <row r="19711" spans="40:42" x14ac:dyDescent="0.3">
      <c r="AN19711">
        <v>19707</v>
      </c>
      <c r="AO19711" s="11">
        <v>28723.24</v>
      </c>
      <c r="AP19711" s="9">
        <v>3.1690353450508755</v>
      </c>
    </row>
    <row r="19712" spans="40:42" x14ac:dyDescent="0.3">
      <c r="AN19712">
        <v>19708</v>
      </c>
      <c r="AO19712" s="11">
        <v>20529.39</v>
      </c>
      <c r="AP19712" s="9">
        <v>3.152971259306558</v>
      </c>
    </row>
    <row r="19713" spans="40:42" x14ac:dyDescent="0.3">
      <c r="AN19713">
        <v>19709</v>
      </c>
      <c r="AO19713" s="11">
        <v>23781.3</v>
      </c>
      <c r="AP19713" s="9">
        <v>3.4039793096475366</v>
      </c>
    </row>
    <row r="19714" spans="40:42" x14ac:dyDescent="0.3">
      <c r="AN19714">
        <v>19710</v>
      </c>
      <c r="AO19714" s="11">
        <v>31635.26</v>
      </c>
      <c r="AP19714" s="9">
        <v>3.6526513094417226</v>
      </c>
    </row>
    <row r="19715" spans="40:42" x14ac:dyDescent="0.3">
      <c r="AN19715">
        <v>19711</v>
      </c>
      <c r="AO19715" s="11">
        <v>26972.799999999999</v>
      </c>
      <c r="AP19715" s="9">
        <v>3.1975510904724969</v>
      </c>
    </row>
    <row r="19716" spans="40:42" x14ac:dyDescent="0.3">
      <c r="AN19716">
        <v>19712</v>
      </c>
      <c r="AO19716" s="11">
        <v>36270.959999999999</v>
      </c>
      <c r="AP19716" s="9">
        <v>3.8970528851485091</v>
      </c>
    </row>
    <row r="19717" spans="40:42" x14ac:dyDescent="0.3">
      <c r="AN19717">
        <v>19713</v>
      </c>
      <c r="AO19717" s="11">
        <v>32155.83</v>
      </c>
      <c r="AP19717" s="9">
        <v>3.8333962762135214</v>
      </c>
    </row>
    <row r="19718" spans="40:42" x14ac:dyDescent="0.3">
      <c r="AN19718">
        <v>19714</v>
      </c>
      <c r="AO19718" s="11">
        <v>27297.64</v>
      </c>
      <c r="AP19718" s="9">
        <v>3.7435309922852831</v>
      </c>
    </row>
    <row r="19719" spans="40:42" x14ac:dyDescent="0.3">
      <c r="AN19719">
        <v>19715</v>
      </c>
      <c r="AO19719" s="11">
        <v>22428.77</v>
      </c>
      <c r="AP19719" s="9">
        <v>3.3545625177886875</v>
      </c>
    </row>
    <row r="19720" spans="40:42" x14ac:dyDescent="0.3">
      <c r="AN19720">
        <v>19716</v>
      </c>
      <c r="AO19720" s="11">
        <v>24809.71</v>
      </c>
      <c r="AP19720" s="9">
        <v>2.6263756899416277</v>
      </c>
    </row>
    <row r="19721" spans="40:42" x14ac:dyDescent="0.3">
      <c r="AN19721">
        <v>19717</v>
      </c>
      <c r="AO19721" s="11">
        <v>25556.75</v>
      </c>
      <c r="AP19721" s="9">
        <v>3.4007865151734911</v>
      </c>
    </row>
    <row r="19722" spans="40:42" x14ac:dyDescent="0.3">
      <c r="AN19722">
        <v>19718</v>
      </c>
      <c r="AO19722" s="11">
        <v>24105.05</v>
      </c>
      <c r="AP19722" s="9">
        <v>3.6826856701985813</v>
      </c>
    </row>
    <row r="19723" spans="40:42" x14ac:dyDescent="0.3">
      <c r="AN19723">
        <v>19719</v>
      </c>
      <c r="AO19723" s="11">
        <v>30560.14</v>
      </c>
      <c r="AP19723" s="9">
        <v>2.8010541370562474</v>
      </c>
    </row>
    <row r="19724" spans="40:42" x14ac:dyDescent="0.3">
      <c r="AN19724">
        <v>19720</v>
      </c>
      <c r="AO19724" s="11">
        <v>27280.29</v>
      </c>
      <c r="AP19724" s="9">
        <v>3.27927944671382</v>
      </c>
    </row>
    <row r="19725" spans="40:42" x14ac:dyDescent="0.3">
      <c r="AN19725">
        <v>19721</v>
      </c>
      <c r="AO19725" s="11">
        <v>23044.1</v>
      </c>
      <c r="AP19725" s="9">
        <v>3.0685463801803405</v>
      </c>
    </row>
    <row r="19726" spans="40:42" x14ac:dyDescent="0.3">
      <c r="AN19726">
        <v>19722</v>
      </c>
      <c r="AO19726" s="11">
        <v>24927</v>
      </c>
      <c r="AP19726" s="9">
        <v>2.9420502795037486</v>
      </c>
    </row>
    <row r="19727" spans="40:42" x14ac:dyDescent="0.3">
      <c r="AN19727">
        <v>19723</v>
      </c>
      <c r="AO19727" s="11">
        <v>17740.14</v>
      </c>
      <c r="AP19727" s="9">
        <v>3.3017150389627612</v>
      </c>
    </row>
    <row r="19728" spans="40:42" x14ac:dyDescent="0.3">
      <c r="AN19728">
        <v>19724</v>
      </c>
      <c r="AO19728" s="11">
        <v>19789.259999999998</v>
      </c>
      <c r="AP19728" s="9">
        <v>3.3245240903842617</v>
      </c>
    </row>
    <row r="19729" spans="40:42" x14ac:dyDescent="0.3">
      <c r="AN19729">
        <v>19725</v>
      </c>
      <c r="AO19729" s="11">
        <v>23522.59</v>
      </c>
      <c r="AP19729" s="9">
        <v>4.0380953788697873</v>
      </c>
    </row>
    <row r="19730" spans="40:42" x14ac:dyDescent="0.3">
      <c r="AN19730">
        <v>19726</v>
      </c>
      <c r="AO19730" s="11">
        <v>18656.09</v>
      </c>
      <c r="AP19730" s="9">
        <v>2.9171317481292931</v>
      </c>
    </row>
    <row r="19731" spans="40:42" x14ac:dyDescent="0.3">
      <c r="AN19731">
        <v>19727</v>
      </c>
      <c r="AO19731" s="11">
        <v>27806.19</v>
      </c>
      <c r="AP19731" s="9">
        <v>3.2425723893145508</v>
      </c>
    </row>
    <row r="19732" spans="40:42" x14ac:dyDescent="0.3">
      <c r="AN19732">
        <v>19728</v>
      </c>
      <c r="AO19732" s="11">
        <v>35224.85</v>
      </c>
      <c r="AP19732" s="9">
        <v>3.4088516054091023</v>
      </c>
    </row>
    <row r="19733" spans="40:42" x14ac:dyDescent="0.3">
      <c r="AN19733">
        <v>19729</v>
      </c>
      <c r="AO19733" s="11">
        <v>22461.45</v>
      </c>
      <c r="AP19733" s="9">
        <v>3.1081984594894658</v>
      </c>
    </row>
    <row r="19734" spans="40:42" x14ac:dyDescent="0.3">
      <c r="AN19734">
        <v>19730</v>
      </c>
      <c r="AO19734" s="11">
        <v>23613.62</v>
      </c>
      <c r="AP19734" s="9">
        <v>2.9635284082596254</v>
      </c>
    </row>
    <row r="19735" spans="40:42" x14ac:dyDescent="0.3">
      <c r="AN19735">
        <v>19731</v>
      </c>
      <c r="AO19735" s="11">
        <v>26684.62</v>
      </c>
      <c r="AP19735" s="9">
        <v>3.5523246602537926</v>
      </c>
    </row>
    <row r="19736" spans="40:42" x14ac:dyDescent="0.3">
      <c r="AN19736">
        <v>19732</v>
      </c>
      <c r="AO19736" s="11">
        <v>18488.009999999998</v>
      </c>
      <c r="AP19736" s="9">
        <v>3.1044336075727195</v>
      </c>
    </row>
    <row r="19737" spans="40:42" x14ac:dyDescent="0.3">
      <c r="AN19737">
        <v>19733</v>
      </c>
      <c r="AO19737" s="11">
        <v>27456.48</v>
      </c>
      <c r="AP19737" s="9">
        <v>3.1312741374720767</v>
      </c>
    </row>
    <row r="19738" spans="40:42" x14ac:dyDescent="0.3">
      <c r="AN19738">
        <v>19734</v>
      </c>
      <c r="AO19738" s="11">
        <v>23568.31</v>
      </c>
      <c r="AP19738" s="9">
        <v>2.6235342537297899</v>
      </c>
    </row>
    <row r="19739" spans="40:42" x14ac:dyDescent="0.3">
      <c r="AN19739">
        <v>19735</v>
      </c>
      <c r="AO19739" s="11">
        <v>28927.200000000001</v>
      </c>
      <c r="AP19739" s="9">
        <v>3.1413514691124877</v>
      </c>
    </row>
    <row r="19740" spans="40:42" x14ac:dyDescent="0.3">
      <c r="AN19740">
        <v>19736</v>
      </c>
      <c r="AO19740" s="11">
        <v>32192.16</v>
      </c>
      <c r="AP19740" s="9">
        <v>3.1702161759281342</v>
      </c>
    </row>
    <row r="19741" spans="40:42" x14ac:dyDescent="0.3">
      <c r="AN19741">
        <v>19737</v>
      </c>
      <c r="AO19741" s="11">
        <v>21582.3</v>
      </c>
      <c r="AP19741" s="9">
        <v>3.7754124240787603</v>
      </c>
    </row>
    <row r="19742" spans="40:42" x14ac:dyDescent="0.3">
      <c r="AN19742">
        <v>19738</v>
      </c>
      <c r="AO19742" s="11">
        <v>52086.53</v>
      </c>
      <c r="AP19742" s="9">
        <v>4.1257591413941812</v>
      </c>
    </row>
    <row r="19743" spans="40:42" x14ac:dyDescent="0.3">
      <c r="AN19743">
        <v>19739</v>
      </c>
      <c r="AO19743" s="11">
        <v>22624.78</v>
      </c>
      <c r="AP19743" s="9">
        <v>3.9888944281361689</v>
      </c>
    </row>
    <row r="19744" spans="40:42" x14ac:dyDescent="0.3">
      <c r="AN19744">
        <v>19740</v>
      </c>
      <c r="AO19744" s="11">
        <v>23691.77</v>
      </c>
      <c r="AP19744" s="9">
        <v>3.4253172407051578</v>
      </c>
    </row>
    <row r="19745" spans="40:42" x14ac:dyDescent="0.3">
      <c r="AN19745">
        <v>19741</v>
      </c>
      <c r="AO19745" s="11">
        <v>30802.04</v>
      </c>
      <c r="AP19745" s="9">
        <v>3.4687250090813637</v>
      </c>
    </row>
    <row r="19746" spans="40:42" x14ac:dyDescent="0.3">
      <c r="AN19746">
        <v>19742</v>
      </c>
      <c r="AO19746" s="11">
        <v>19812.310000000001</v>
      </c>
      <c r="AP19746" s="9">
        <v>3.4165997198935107</v>
      </c>
    </row>
    <row r="19747" spans="40:42" x14ac:dyDescent="0.3">
      <c r="AN19747">
        <v>19743</v>
      </c>
      <c r="AO19747" s="11">
        <v>15137.74</v>
      </c>
      <c r="AP19747" s="9">
        <v>3.373240617610588</v>
      </c>
    </row>
    <row r="19748" spans="40:42" x14ac:dyDescent="0.3">
      <c r="AN19748">
        <v>19744</v>
      </c>
      <c r="AO19748" s="11">
        <v>29085.67</v>
      </c>
      <c r="AP19748" s="9">
        <v>3.0315453852280676</v>
      </c>
    </row>
    <row r="19749" spans="40:42" x14ac:dyDescent="0.3">
      <c r="AN19749">
        <v>19745</v>
      </c>
      <c r="AO19749" s="11">
        <v>43016.62</v>
      </c>
      <c r="AP19749" s="9">
        <v>3.0083436000887365</v>
      </c>
    </row>
    <row r="19750" spans="40:42" x14ac:dyDescent="0.3">
      <c r="AN19750">
        <v>19746</v>
      </c>
      <c r="AO19750" s="11">
        <v>16878.28</v>
      </c>
      <c r="AP19750" s="9">
        <v>3.2502478506463963</v>
      </c>
    </row>
    <row r="19751" spans="40:42" x14ac:dyDescent="0.3">
      <c r="AN19751">
        <v>19747</v>
      </c>
      <c r="AO19751" s="11">
        <v>10346.32</v>
      </c>
      <c r="AP19751" s="9">
        <v>3.3322563693161853</v>
      </c>
    </row>
    <row r="19752" spans="40:42" x14ac:dyDescent="0.3">
      <c r="AN19752">
        <v>19748</v>
      </c>
      <c r="AO19752" s="11">
        <v>32757.64</v>
      </c>
      <c r="AP19752" s="9">
        <v>3.1472220696773641</v>
      </c>
    </row>
    <row r="19753" spans="40:42" x14ac:dyDescent="0.3">
      <c r="AN19753">
        <v>19749</v>
      </c>
      <c r="AO19753" s="11">
        <v>37023.71</v>
      </c>
      <c r="AP19753" s="9">
        <v>4.1099918148452623</v>
      </c>
    </row>
    <row r="19754" spans="40:42" x14ac:dyDescent="0.3">
      <c r="AN19754">
        <v>19750</v>
      </c>
      <c r="AO19754" s="11">
        <v>27892.7</v>
      </c>
      <c r="AP19754" s="9">
        <v>3.295928861108989</v>
      </c>
    </row>
    <row r="19755" spans="40:42" x14ac:dyDescent="0.3">
      <c r="AN19755">
        <v>19751</v>
      </c>
      <c r="AO19755" s="11">
        <v>22735.77</v>
      </c>
      <c r="AP19755" s="9">
        <v>4.1972714099675592</v>
      </c>
    </row>
    <row r="19756" spans="40:42" x14ac:dyDescent="0.3">
      <c r="AN19756">
        <v>19752</v>
      </c>
      <c r="AO19756" s="11">
        <v>25096.32</v>
      </c>
      <c r="AP19756" s="9">
        <v>2.7926541096949578</v>
      </c>
    </row>
    <row r="19757" spans="40:42" x14ac:dyDescent="0.3">
      <c r="AN19757">
        <v>19753</v>
      </c>
      <c r="AO19757" s="11">
        <v>31089.95</v>
      </c>
      <c r="AP19757" s="9">
        <v>3.1168851137022395</v>
      </c>
    </row>
    <row r="19758" spans="40:42" x14ac:dyDescent="0.3">
      <c r="AN19758">
        <v>19754</v>
      </c>
      <c r="AO19758" s="11">
        <v>25424.35</v>
      </c>
      <c r="AP19758" s="9">
        <v>3.1412577237614094</v>
      </c>
    </row>
    <row r="19759" spans="40:42" x14ac:dyDescent="0.3">
      <c r="AN19759">
        <v>19755</v>
      </c>
      <c r="AO19759" s="11">
        <v>23669.48</v>
      </c>
      <c r="AP19759" s="9">
        <v>2.7468293503348629</v>
      </c>
    </row>
    <row r="19760" spans="40:42" x14ac:dyDescent="0.3">
      <c r="AN19760">
        <v>19756</v>
      </c>
      <c r="AO19760" s="11">
        <v>24087.62</v>
      </c>
      <c r="AP19760" s="9">
        <v>3.027373452792169</v>
      </c>
    </row>
    <row r="19761" spans="40:42" x14ac:dyDescent="0.3">
      <c r="AN19761">
        <v>19757</v>
      </c>
      <c r="AO19761" s="11">
        <v>42567.35</v>
      </c>
      <c r="AP19761" s="9">
        <v>3.9091116572423572</v>
      </c>
    </row>
    <row r="19762" spans="40:42" x14ac:dyDescent="0.3">
      <c r="AN19762">
        <v>19758</v>
      </c>
      <c r="AO19762" s="11">
        <v>22649.69</v>
      </c>
      <c r="AP19762" s="9">
        <v>3.3114819674690192</v>
      </c>
    </row>
    <row r="19763" spans="40:42" x14ac:dyDescent="0.3">
      <c r="AN19763">
        <v>19759</v>
      </c>
      <c r="AO19763" s="11">
        <v>22891.040000000001</v>
      </c>
      <c r="AP19763" s="9">
        <v>3.0140981804863851</v>
      </c>
    </row>
    <row r="19764" spans="40:42" x14ac:dyDescent="0.3">
      <c r="AN19764">
        <v>19760</v>
      </c>
      <c r="AO19764" s="11">
        <v>14201.87</v>
      </c>
      <c r="AP19764" s="9">
        <v>2.7770337793554538</v>
      </c>
    </row>
    <row r="19765" spans="40:42" x14ac:dyDescent="0.3">
      <c r="AN19765">
        <v>19761</v>
      </c>
      <c r="AO19765" s="11">
        <v>40354.080000000002</v>
      </c>
      <c r="AP19765" s="9">
        <v>4.302053733581829</v>
      </c>
    </row>
    <row r="19766" spans="40:42" x14ac:dyDescent="0.3">
      <c r="AN19766">
        <v>19762</v>
      </c>
      <c r="AO19766" s="11">
        <v>37137.300000000003</v>
      </c>
      <c r="AP19766" s="9">
        <v>3.6401659605716779</v>
      </c>
    </row>
    <row r="19767" spans="40:42" x14ac:dyDescent="0.3">
      <c r="AN19767">
        <v>19763</v>
      </c>
      <c r="AO19767" s="11">
        <v>22865.55</v>
      </c>
      <c r="AP19767" s="9">
        <v>3.2296574712261821</v>
      </c>
    </row>
    <row r="19768" spans="40:42" x14ac:dyDescent="0.3">
      <c r="AN19768">
        <v>19764</v>
      </c>
      <c r="AO19768" s="11">
        <v>16299.31</v>
      </c>
      <c r="AP19768" s="9">
        <v>3.3000213592325589</v>
      </c>
    </row>
    <row r="19769" spans="40:42" x14ac:dyDescent="0.3">
      <c r="AN19769">
        <v>19765</v>
      </c>
      <c r="AO19769" s="11">
        <v>31110.69</v>
      </c>
      <c r="AP19769" s="9">
        <v>3.9081033880318348</v>
      </c>
    </row>
    <row r="19770" spans="40:42" x14ac:dyDescent="0.3">
      <c r="AN19770">
        <v>19766</v>
      </c>
      <c r="AO19770" s="11">
        <v>21253.64</v>
      </c>
      <c r="AP19770" s="9">
        <v>2.9454546582019105</v>
      </c>
    </row>
    <row r="19771" spans="40:42" x14ac:dyDescent="0.3">
      <c r="AN19771">
        <v>19767</v>
      </c>
      <c r="AO19771" s="11">
        <v>18047.259999999998</v>
      </c>
      <c r="AP19771" s="9">
        <v>3.0729796973062751</v>
      </c>
    </row>
    <row r="19772" spans="40:42" x14ac:dyDescent="0.3">
      <c r="AN19772">
        <v>19768</v>
      </c>
      <c r="AO19772" s="11">
        <v>22665.43</v>
      </c>
      <c r="AP19772" s="9">
        <v>3.2706934004943435</v>
      </c>
    </row>
    <row r="19773" spans="40:42" x14ac:dyDescent="0.3">
      <c r="AN19773">
        <v>19769</v>
      </c>
      <c r="AO19773" s="11">
        <v>41736.050000000003</v>
      </c>
      <c r="AP19773" s="9">
        <v>3.7713034017756533</v>
      </c>
    </row>
    <row r="19774" spans="40:42" x14ac:dyDescent="0.3">
      <c r="AN19774">
        <v>19770</v>
      </c>
      <c r="AO19774" s="11">
        <v>36611.24</v>
      </c>
      <c r="AP19774" s="9">
        <v>3.4129941506732324</v>
      </c>
    </row>
    <row r="19775" spans="40:42" x14ac:dyDescent="0.3">
      <c r="AN19775">
        <v>19771</v>
      </c>
      <c r="AO19775" s="11">
        <v>23867.83</v>
      </c>
      <c r="AP19775" s="9">
        <v>3.2231062831520387</v>
      </c>
    </row>
    <row r="19776" spans="40:42" x14ac:dyDescent="0.3">
      <c r="AN19776">
        <v>19772</v>
      </c>
      <c r="AO19776" s="11">
        <v>23811.86</v>
      </c>
      <c r="AP19776" s="9">
        <v>3.4092263907934015</v>
      </c>
    </row>
    <row r="19777" spans="40:42" x14ac:dyDescent="0.3">
      <c r="AN19777">
        <v>19773</v>
      </c>
      <c r="AO19777" s="11">
        <v>25365.77</v>
      </c>
      <c r="AP19777" s="9">
        <v>3.8991458166330029</v>
      </c>
    </row>
    <row r="19778" spans="40:42" x14ac:dyDescent="0.3">
      <c r="AN19778">
        <v>19774</v>
      </c>
      <c r="AO19778" s="11">
        <v>30593.58</v>
      </c>
      <c r="AP19778" s="9">
        <v>3.1921836530978567</v>
      </c>
    </row>
    <row r="19779" spans="40:42" x14ac:dyDescent="0.3">
      <c r="AN19779">
        <v>19775</v>
      </c>
      <c r="AO19779" s="11">
        <v>32239.82</v>
      </c>
      <c r="AP19779" s="9">
        <v>3.8874602592331873</v>
      </c>
    </row>
    <row r="19780" spans="40:42" x14ac:dyDescent="0.3">
      <c r="AN19780">
        <v>19776</v>
      </c>
      <c r="AO19780" s="11">
        <v>21946.38</v>
      </c>
      <c r="AP19780" s="9">
        <v>3.3724779183890115</v>
      </c>
    </row>
    <row r="19781" spans="40:42" x14ac:dyDescent="0.3">
      <c r="AN19781">
        <v>19777</v>
      </c>
      <c r="AO19781" s="11">
        <v>23558.91</v>
      </c>
      <c r="AP19781" s="9">
        <v>3.3492573163556703</v>
      </c>
    </row>
    <row r="19782" spans="40:42" x14ac:dyDescent="0.3">
      <c r="AN19782">
        <v>19778</v>
      </c>
      <c r="AO19782" s="11">
        <v>30783.77</v>
      </c>
      <c r="AP19782" s="9">
        <v>3.6950897999282937</v>
      </c>
    </row>
    <row r="19783" spans="40:42" x14ac:dyDescent="0.3">
      <c r="AN19783">
        <v>19779</v>
      </c>
      <c r="AO19783" s="11">
        <v>33501.75</v>
      </c>
      <c r="AP19783" s="9">
        <v>3.5958375148833559</v>
      </c>
    </row>
    <row r="19784" spans="40:42" x14ac:dyDescent="0.3">
      <c r="AN19784">
        <v>19780</v>
      </c>
      <c r="AO19784" s="11">
        <v>25677.54</v>
      </c>
      <c r="AP19784" s="9">
        <v>3.2204416333775012</v>
      </c>
    </row>
    <row r="19785" spans="40:42" x14ac:dyDescent="0.3">
      <c r="AN19785">
        <v>19781</v>
      </c>
      <c r="AO19785" s="11">
        <v>40015.06</v>
      </c>
      <c r="AP19785" s="9">
        <v>3.2940967350699291</v>
      </c>
    </row>
    <row r="19786" spans="40:42" x14ac:dyDescent="0.3">
      <c r="AN19786">
        <v>19782</v>
      </c>
      <c r="AO19786" s="11">
        <v>32988.199999999997</v>
      </c>
      <c r="AP19786" s="9">
        <v>4.205843309056374</v>
      </c>
    </row>
    <row r="19787" spans="40:42" x14ac:dyDescent="0.3">
      <c r="AN19787">
        <v>19783</v>
      </c>
      <c r="AO19787" s="11">
        <v>28106.81</v>
      </c>
      <c r="AP19787" s="9">
        <v>3.2033699456501896</v>
      </c>
    </row>
    <row r="19788" spans="40:42" x14ac:dyDescent="0.3">
      <c r="AN19788">
        <v>19784</v>
      </c>
      <c r="AO19788" s="11">
        <v>17803.22</v>
      </c>
      <c r="AP19788" s="9">
        <v>3.2638743752663903</v>
      </c>
    </row>
    <row r="19789" spans="40:42" x14ac:dyDescent="0.3">
      <c r="AN19789">
        <v>19785</v>
      </c>
      <c r="AO19789" s="11">
        <v>35143.82</v>
      </c>
      <c r="AP19789" s="9">
        <v>3.8267082059785893</v>
      </c>
    </row>
    <row r="19790" spans="40:42" x14ac:dyDescent="0.3">
      <c r="AN19790">
        <v>19786</v>
      </c>
      <c r="AO19790" s="11">
        <v>22645.16</v>
      </c>
      <c r="AP19790" s="9">
        <v>3.7100650971007072</v>
      </c>
    </row>
    <row r="19791" spans="40:42" x14ac:dyDescent="0.3">
      <c r="AN19791">
        <v>19787</v>
      </c>
      <c r="AO19791" s="11">
        <v>40811.03</v>
      </c>
      <c r="AP19791" s="9">
        <v>4.372520918951742</v>
      </c>
    </row>
    <row r="19792" spans="40:42" x14ac:dyDescent="0.3">
      <c r="AN19792">
        <v>19788</v>
      </c>
      <c r="AO19792" s="11">
        <v>19894.990000000002</v>
      </c>
      <c r="AP19792" s="9">
        <v>3.0511734169011318</v>
      </c>
    </row>
    <row r="19793" spans="40:42" x14ac:dyDescent="0.3">
      <c r="AN19793">
        <v>19789</v>
      </c>
      <c r="AO19793" s="11">
        <v>32160.43</v>
      </c>
      <c r="AP19793" s="9">
        <v>3.4832421179830937</v>
      </c>
    </row>
    <row r="19794" spans="40:42" x14ac:dyDescent="0.3">
      <c r="AN19794">
        <v>19790</v>
      </c>
      <c r="AO19794" s="11">
        <v>36777.46</v>
      </c>
      <c r="AP19794" s="9">
        <v>3.6972942277697589</v>
      </c>
    </row>
    <row r="19795" spans="40:42" x14ac:dyDescent="0.3">
      <c r="AN19795">
        <v>19791</v>
      </c>
      <c r="AO19795" s="11">
        <v>23213.58</v>
      </c>
      <c r="AP19795" s="9">
        <v>2.9649991243091578</v>
      </c>
    </row>
    <row r="19796" spans="40:42" x14ac:dyDescent="0.3">
      <c r="AN19796">
        <v>19792</v>
      </c>
      <c r="AO19796" s="11">
        <v>26960.04</v>
      </c>
      <c r="AP19796" s="9">
        <v>3.5782934418180417</v>
      </c>
    </row>
    <row r="19797" spans="40:42" x14ac:dyDescent="0.3">
      <c r="AN19797">
        <v>19793</v>
      </c>
      <c r="AO19797" s="11">
        <v>28432.45</v>
      </c>
      <c r="AP19797" s="9">
        <v>3.0954757921990477</v>
      </c>
    </row>
    <row r="19798" spans="40:42" x14ac:dyDescent="0.3">
      <c r="AN19798">
        <v>19794</v>
      </c>
      <c r="AO19798" s="11">
        <v>29121.94</v>
      </c>
      <c r="AP19798" s="9">
        <v>3.3982733600829209</v>
      </c>
    </row>
    <row r="19799" spans="40:42" x14ac:dyDescent="0.3">
      <c r="AN19799">
        <v>19795</v>
      </c>
      <c r="AO19799" s="11">
        <v>19705.79</v>
      </c>
      <c r="AP19799" s="9">
        <v>3.4266617114640439</v>
      </c>
    </row>
    <row r="19800" spans="40:42" x14ac:dyDescent="0.3">
      <c r="AN19800">
        <v>19796</v>
      </c>
      <c r="AO19800" s="11">
        <v>29706.25</v>
      </c>
      <c r="AP19800" s="9">
        <v>3.4984098245518771</v>
      </c>
    </row>
    <row r="19801" spans="40:42" x14ac:dyDescent="0.3">
      <c r="AN19801">
        <v>19797</v>
      </c>
      <c r="AO19801" s="11">
        <v>28551.49</v>
      </c>
      <c r="AP19801" s="9">
        <v>3.6247875906533262</v>
      </c>
    </row>
    <row r="19802" spans="40:42" x14ac:dyDescent="0.3">
      <c r="AN19802">
        <v>19798</v>
      </c>
      <c r="AO19802" s="11">
        <v>25199.51</v>
      </c>
      <c r="AP19802" s="9">
        <v>3.0447166423900582</v>
      </c>
    </row>
    <row r="19803" spans="40:42" x14ac:dyDescent="0.3">
      <c r="AN19803">
        <v>19799</v>
      </c>
      <c r="AO19803" s="11">
        <v>23346.959999999999</v>
      </c>
      <c r="AP19803" s="9">
        <v>3.0410743877376571</v>
      </c>
    </row>
    <row r="19804" spans="40:42" x14ac:dyDescent="0.3">
      <c r="AN19804">
        <v>19800</v>
      </c>
      <c r="AO19804" s="11">
        <v>26953.88</v>
      </c>
      <c r="AP19804" s="9">
        <v>3.1751928457995939</v>
      </c>
    </row>
    <row r="19805" spans="40:42" x14ac:dyDescent="0.3">
      <c r="AN19805">
        <v>19801</v>
      </c>
      <c r="AO19805" s="11">
        <v>18226.150000000001</v>
      </c>
      <c r="AP19805" s="9">
        <v>2.924682771640895</v>
      </c>
    </row>
    <row r="19806" spans="40:42" x14ac:dyDescent="0.3">
      <c r="AN19806">
        <v>19802</v>
      </c>
      <c r="AO19806" s="11">
        <v>24579.82</v>
      </c>
      <c r="AP19806" s="9">
        <v>2.9245021515564038</v>
      </c>
    </row>
    <row r="19807" spans="40:42" x14ac:dyDescent="0.3">
      <c r="AN19807">
        <v>19803</v>
      </c>
      <c r="AO19807" s="11">
        <v>29047.13</v>
      </c>
      <c r="AP19807" s="9">
        <v>2.89206270665189</v>
      </c>
    </row>
    <row r="19808" spans="40:42" x14ac:dyDescent="0.3">
      <c r="AN19808">
        <v>19804</v>
      </c>
      <c r="AO19808" s="11">
        <v>31610.52</v>
      </c>
      <c r="AP19808" s="9">
        <v>3.5241277496956815</v>
      </c>
    </row>
    <row r="19809" spans="40:42" x14ac:dyDescent="0.3">
      <c r="AN19809">
        <v>19805</v>
      </c>
      <c r="AO19809" s="11">
        <v>29106.62</v>
      </c>
      <c r="AP19809" s="9">
        <v>3.0141831171083648</v>
      </c>
    </row>
    <row r="19810" spans="40:42" x14ac:dyDescent="0.3">
      <c r="AN19810">
        <v>19806</v>
      </c>
      <c r="AO19810" s="11">
        <v>31078.73</v>
      </c>
      <c r="AP19810" s="9">
        <v>4.4803972185735628</v>
      </c>
    </row>
    <row r="19811" spans="40:42" x14ac:dyDescent="0.3">
      <c r="AN19811">
        <v>19807</v>
      </c>
      <c r="AO19811" s="11">
        <v>20116.57</v>
      </c>
      <c r="AP19811" s="9">
        <v>3.2875004767617657</v>
      </c>
    </row>
    <row r="19812" spans="40:42" x14ac:dyDescent="0.3">
      <c r="AN19812">
        <v>19808</v>
      </c>
      <c r="AO19812" s="11">
        <v>37854.26</v>
      </c>
      <c r="AP19812" s="9">
        <v>4.3211898755574794</v>
      </c>
    </row>
    <row r="19813" spans="40:42" x14ac:dyDescent="0.3">
      <c r="AN19813">
        <v>19809</v>
      </c>
      <c r="AO19813" s="11">
        <v>35834.410000000003</v>
      </c>
      <c r="AP19813" s="9">
        <v>3.6156285876657446</v>
      </c>
    </row>
    <row r="19814" spans="40:42" x14ac:dyDescent="0.3">
      <c r="AN19814">
        <v>19810</v>
      </c>
      <c r="AO19814" s="11">
        <v>21410.82</v>
      </c>
      <c r="AP19814" s="9">
        <v>3.1893914819861013</v>
      </c>
    </row>
    <row r="19815" spans="40:42" x14ac:dyDescent="0.3">
      <c r="AN19815">
        <v>19811</v>
      </c>
      <c r="AO19815" s="11">
        <v>20183.96</v>
      </c>
      <c r="AP19815" s="9">
        <v>2.9247750150080059</v>
      </c>
    </row>
    <row r="19816" spans="40:42" x14ac:dyDescent="0.3">
      <c r="AN19816">
        <v>19812</v>
      </c>
      <c r="AO19816" s="11">
        <v>10181.58</v>
      </c>
      <c r="AP19816" s="9">
        <v>2.5151100229170433</v>
      </c>
    </row>
    <row r="19817" spans="40:42" x14ac:dyDescent="0.3">
      <c r="AN19817">
        <v>19813</v>
      </c>
      <c r="AO19817" s="11">
        <v>17853.189999999999</v>
      </c>
      <c r="AP19817" s="9">
        <v>3.3303259177905788</v>
      </c>
    </row>
    <row r="19818" spans="40:42" x14ac:dyDescent="0.3">
      <c r="AN19818">
        <v>19814</v>
      </c>
      <c r="AO19818" s="11">
        <v>38667.42</v>
      </c>
      <c r="AP19818" s="9">
        <v>3.8102700521204391</v>
      </c>
    </row>
    <row r="19819" spans="40:42" x14ac:dyDescent="0.3">
      <c r="AN19819">
        <v>19815</v>
      </c>
      <c r="AO19819" s="11">
        <v>30831.39</v>
      </c>
      <c r="AP19819" s="9">
        <v>3.5489559675554969</v>
      </c>
    </row>
    <row r="19820" spans="40:42" x14ac:dyDescent="0.3">
      <c r="AN19820">
        <v>19816</v>
      </c>
      <c r="AO19820" s="11">
        <v>31594.63</v>
      </c>
      <c r="AP19820" s="9">
        <v>3.1090329133563044</v>
      </c>
    </row>
    <row r="19821" spans="40:42" x14ac:dyDescent="0.3">
      <c r="AN19821">
        <v>19817</v>
      </c>
      <c r="AO19821" s="11">
        <v>33842.32</v>
      </c>
      <c r="AP19821" s="9">
        <v>3.0040795204917115</v>
      </c>
    </row>
    <row r="19822" spans="40:42" x14ac:dyDescent="0.3">
      <c r="AN19822">
        <v>19818</v>
      </c>
      <c r="AO19822" s="11">
        <v>21266.71</v>
      </c>
      <c r="AP19822" s="9">
        <v>3.31147040543101</v>
      </c>
    </row>
    <row r="19823" spans="40:42" x14ac:dyDescent="0.3">
      <c r="AN19823">
        <v>19819</v>
      </c>
      <c r="AO19823" s="11">
        <v>21806.37</v>
      </c>
      <c r="AP19823" s="9">
        <v>3.3676736364847035</v>
      </c>
    </row>
    <row r="19824" spans="40:42" x14ac:dyDescent="0.3">
      <c r="AN19824">
        <v>19820</v>
      </c>
      <c r="AO19824" s="11">
        <v>22876.2</v>
      </c>
      <c r="AP19824" s="9">
        <v>3.4107916369551172</v>
      </c>
    </row>
    <row r="19825" spans="40:42" x14ac:dyDescent="0.3">
      <c r="AN19825">
        <v>19821</v>
      </c>
      <c r="AO19825" s="11">
        <v>23626.080000000002</v>
      </c>
      <c r="AP19825" s="9">
        <v>3.2237410159525788</v>
      </c>
    </row>
    <row r="19826" spans="40:42" x14ac:dyDescent="0.3">
      <c r="AN19826">
        <v>19822</v>
      </c>
      <c r="AO19826" s="11">
        <v>34072.21</v>
      </c>
      <c r="AP19826" s="9">
        <v>3.5359375513478479</v>
      </c>
    </row>
    <row r="19827" spans="40:42" x14ac:dyDescent="0.3">
      <c r="AN19827">
        <v>19823</v>
      </c>
      <c r="AO19827" s="11">
        <v>15474.19</v>
      </c>
      <c r="AP19827" s="9">
        <v>3.1937029391132454</v>
      </c>
    </row>
    <row r="19828" spans="40:42" x14ac:dyDescent="0.3">
      <c r="AN19828">
        <v>19824</v>
      </c>
      <c r="AO19828" s="11">
        <v>24102</v>
      </c>
      <c r="AP19828" s="9">
        <v>3.3682735733787275</v>
      </c>
    </row>
    <row r="19829" spans="40:42" x14ac:dyDescent="0.3">
      <c r="AN19829">
        <v>19825</v>
      </c>
      <c r="AO19829" s="11">
        <v>14786.48</v>
      </c>
      <c r="AP19829" s="9">
        <v>2.7913443026266709</v>
      </c>
    </row>
    <row r="19830" spans="40:42" x14ac:dyDescent="0.3">
      <c r="AN19830">
        <v>19826</v>
      </c>
      <c r="AO19830" s="11">
        <v>13163.73</v>
      </c>
      <c r="AP19830" s="9">
        <v>2.9377636392464024</v>
      </c>
    </row>
    <row r="19831" spans="40:42" x14ac:dyDescent="0.3">
      <c r="AN19831">
        <v>19827</v>
      </c>
      <c r="AO19831" s="11">
        <v>28950.38</v>
      </c>
      <c r="AP19831" s="9">
        <v>3.0858348144526295</v>
      </c>
    </row>
    <row r="19832" spans="40:42" x14ac:dyDescent="0.3">
      <c r="AN19832">
        <v>19828</v>
      </c>
      <c r="AO19832" s="11">
        <v>26784.46</v>
      </c>
      <c r="AP19832" s="9">
        <v>2.9682938657885014</v>
      </c>
    </row>
    <row r="19833" spans="40:42" x14ac:dyDescent="0.3">
      <c r="AN19833">
        <v>19829</v>
      </c>
      <c r="AO19833" s="11">
        <v>50699.33</v>
      </c>
      <c r="AP19833" s="9">
        <v>3.8456867124823946</v>
      </c>
    </row>
    <row r="19834" spans="40:42" x14ac:dyDescent="0.3">
      <c r="AN19834">
        <v>19830</v>
      </c>
      <c r="AO19834" s="11">
        <v>17746.47</v>
      </c>
      <c r="AP19834" s="9">
        <v>2.634901530480636</v>
      </c>
    </row>
    <row r="19835" spans="40:42" x14ac:dyDescent="0.3">
      <c r="AN19835">
        <v>19831</v>
      </c>
      <c r="AO19835" s="11">
        <v>24851.57</v>
      </c>
      <c r="AP19835" s="9">
        <v>2.8417964661171617</v>
      </c>
    </row>
    <row r="19836" spans="40:42" x14ac:dyDescent="0.3">
      <c r="AN19836">
        <v>19832</v>
      </c>
      <c r="AO19836" s="11">
        <v>26744.5</v>
      </c>
      <c r="AP19836" s="9">
        <v>3.1469511318353711</v>
      </c>
    </row>
    <row r="19837" spans="40:42" x14ac:dyDescent="0.3">
      <c r="AN19837">
        <v>19833</v>
      </c>
      <c r="AO19837" s="11">
        <v>33199.61</v>
      </c>
      <c r="AP19837" s="9">
        <v>3.798662304666919</v>
      </c>
    </row>
    <row r="19838" spans="40:42" x14ac:dyDescent="0.3">
      <c r="AN19838">
        <v>19834</v>
      </c>
      <c r="AO19838" s="11">
        <v>25564.29</v>
      </c>
      <c r="AP19838" s="9">
        <v>3.9480184682854027</v>
      </c>
    </row>
    <row r="19839" spans="40:42" x14ac:dyDescent="0.3">
      <c r="AN19839">
        <v>19835</v>
      </c>
      <c r="AO19839" s="11">
        <v>21732.71</v>
      </c>
      <c r="AP19839" s="9">
        <v>3.4144576812737841</v>
      </c>
    </row>
    <row r="19840" spans="40:42" x14ac:dyDescent="0.3">
      <c r="AN19840">
        <v>19836</v>
      </c>
      <c r="AO19840" s="11">
        <v>23051.19</v>
      </c>
      <c r="AP19840" s="9">
        <v>3.4375356338096807</v>
      </c>
    </row>
    <row r="19841" spans="40:42" x14ac:dyDescent="0.3">
      <c r="AN19841">
        <v>19837</v>
      </c>
      <c r="AO19841" s="11">
        <v>20443.91</v>
      </c>
      <c r="AP19841" s="9">
        <v>3.7694460569381651</v>
      </c>
    </row>
    <row r="19842" spans="40:42" x14ac:dyDescent="0.3">
      <c r="AN19842">
        <v>19838</v>
      </c>
      <c r="AO19842" s="11">
        <v>29029.79</v>
      </c>
      <c r="AP19842" s="9">
        <v>3.1688590465833397</v>
      </c>
    </row>
    <row r="19843" spans="40:42" x14ac:dyDescent="0.3">
      <c r="AN19843">
        <v>19839</v>
      </c>
      <c r="AO19843" s="11">
        <v>31100.34</v>
      </c>
      <c r="AP19843" s="9">
        <v>3.0745422894191874</v>
      </c>
    </row>
    <row r="19844" spans="40:42" x14ac:dyDescent="0.3">
      <c r="AN19844">
        <v>19840</v>
      </c>
      <c r="AO19844" s="11">
        <v>29444.35</v>
      </c>
      <c r="AP19844" s="9">
        <v>3.6226193946038676</v>
      </c>
    </row>
    <row r="19845" spans="40:42" x14ac:dyDescent="0.3">
      <c r="AN19845">
        <v>19841</v>
      </c>
      <c r="AO19845" s="11">
        <v>14557.72</v>
      </c>
      <c r="AP19845" s="9">
        <v>2.971840303970005</v>
      </c>
    </row>
    <row r="19846" spans="40:42" x14ac:dyDescent="0.3">
      <c r="AN19846">
        <v>19842</v>
      </c>
      <c r="AO19846" s="11">
        <v>32692.69</v>
      </c>
      <c r="AP19846" s="9">
        <v>3.1339108309854247</v>
      </c>
    </row>
    <row r="19847" spans="40:42" x14ac:dyDescent="0.3">
      <c r="AN19847">
        <v>19843</v>
      </c>
      <c r="AO19847" s="11">
        <v>25483.52</v>
      </c>
      <c r="AP19847" s="9">
        <v>3.163386699707682</v>
      </c>
    </row>
    <row r="19848" spans="40:42" x14ac:dyDescent="0.3">
      <c r="AN19848">
        <v>19844</v>
      </c>
      <c r="AO19848" s="11">
        <v>24825.5</v>
      </c>
      <c r="AP19848" s="9">
        <v>3.4910415348844324</v>
      </c>
    </row>
    <row r="19849" spans="40:42" x14ac:dyDescent="0.3">
      <c r="AN19849">
        <v>19845</v>
      </c>
      <c r="AO19849" s="11">
        <v>27857.5</v>
      </c>
      <c r="AP19849" s="9">
        <v>3.9875583266347756</v>
      </c>
    </row>
    <row r="19850" spans="40:42" x14ac:dyDescent="0.3">
      <c r="AN19850">
        <v>19846</v>
      </c>
      <c r="AO19850" s="11">
        <v>34075.230000000003</v>
      </c>
      <c r="AP19850" s="9">
        <v>3.2823523756306479</v>
      </c>
    </row>
    <row r="19851" spans="40:42" x14ac:dyDescent="0.3">
      <c r="AN19851">
        <v>19847</v>
      </c>
      <c r="AO19851" s="11">
        <v>35144.199999999997</v>
      </c>
      <c r="AP19851" s="9">
        <v>3.6408381132795147</v>
      </c>
    </row>
    <row r="19852" spans="40:42" x14ac:dyDescent="0.3">
      <c r="AN19852">
        <v>19848</v>
      </c>
      <c r="AO19852" s="11">
        <v>21334.57</v>
      </c>
      <c r="AP19852" s="9">
        <v>3.2645427575194517</v>
      </c>
    </row>
    <row r="19853" spans="40:42" x14ac:dyDescent="0.3">
      <c r="AN19853">
        <v>19849</v>
      </c>
      <c r="AO19853" s="11">
        <v>27710.06</v>
      </c>
      <c r="AP19853" s="9">
        <v>3.8097065545554383</v>
      </c>
    </row>
    <row r="19854" spans="40:42" x14ac:dyDescent="0.3">
      <c r="AN19854">
        <v>19850</v>
      </c>
      <c r="AO19854" s="11">
        <v>17351.25</v>
      </c>
      <c r="AP19854" s="9">
        <v>3.9391699016429356</v>
      </c>
    </row>
    <row r="19855" spans="40:42" x14ac:dyDescent="0.3">
      <c r="AN19855">
        <v>19851</v>
      </c>
      <c r="AO19855" s="11">
        <v>36073.360000000001</v>
      </c>
      <c r="AP19855" s="9">
        <v>3.3239403445130704</v>
      </c>
    </row>
    <row r="19856" spans="40:42" x14ac:dyDescent="0.3">
      <c r="AN19856">
        <v>19852</v>
      </c>
      <c r="AO19856" s="11">
        <v>17166.18</v>
      </c>
      <c r="AP19856" s="9">
        <v>2.7355904177355401</v>
      </c>
    </row>
    <row r="19857" spans="40:42" x14ac:dyDescent="0.3">
      <c r="AN19857">
        <v>19853</v>
      </c>
      <c r="AO19857" s="11">
        <v>27539.53</v>
      </c>
      <c r="AP19857" s="9">
        <v>3.677684516070364</v>
      </c>
    </row>
    <row r="19858" spans="40:42" x14ac:dyDescent="0.3">
      <c r="AN19858">
        <v>19854</v>
      </c>
      <c r="AO19858" s="11">
        <v>15806.19</v>
      </c>
      <c r="AP19858" s="9">
        <v>2.8943318801956064</v>
      </c>
    </row>
    <row r="19859" spans="40:42" x14ac:dyDescent="0.3">
      <c r="AN19859">
        <v>19855</v>
      </c>
      <c r="AO19859" s="11">
        <v>26344.73</v>
      </c>
      <c r="AP19859" s="9">
        <v>3.5185646231336252</v>
      </c>
    </row>
    <row r="19860" spans="40:42" x14ac:dyDescent="0.3">
      <c r="AN19860">
        <v>19856</v>
      </c>
      <c r="AO19860" s="11">
        <v>33654.25</v>
      </c>
      <c r="AP19860" s="9">
        <v>4.083160432937051</v>
      </c>
    </row>
    <row r="19861" spans="40:42" x14ac:dyDescent="0.3">
      <c r="AN19861">
        <v>19857</v>
      </c>
      <c r="AO19861" s="11">
        <v>27558.5</v>
      </c>
      <c r="AP19861" s="9">
        <v>2.9966406990412704</v>
      </c>
    </row>
    <row r="19862" spans="40:42" x14ac:dyDescent="0.3">
      <c r="AN19862">
        <v>19858</v>
      </c>
      <c r="AO19862" s="11">
        <v>25183.75</v>
      </c>
      <c r="AP19862" s="9">
        <v>3.2214707656786139</v>
      </c>
    </row>
    <row r="19863" spans="40:42" x14ac:dyDescent="0.3">
      <c r="AN19863">
        <v>19859</v>
      </c>
      <c r="AO19863" s="11">
        <v>34130.199999999997</v>
      </c>
      <c r="AP19863" s="9">
        <v>3.7178552394478528</v>
      </c>
    </row>
    <row r="19864" spans="40:42" x14ac:dyDescent="0.3">
      <c r="AN19864">
        <v>19860</v>
      </c>
      <c r="AO19864" s="11">
        <v>25301.08</v>
      </c>
      <c r="AP19864" s="9">
        <v>3.0248373591916562</v>
      </c>
    </row>
    <row r="19865" spans="40:42" x14ac:dyDescent="0.3">
      <c r="AN19865">
        <v>19861</v>
      </c>
      <c r="AO19865" s="11">
        <v>28569.64</v>
      </c>
      <c r="AP19865" s="9">
        <v>2.9739915133767534</v>
      </c>
    </row>
    <row r="19866" spans="40:42" x14ac:dyDescent="0.3">
      <c r="AN19866">
        <v>19862</v>
      </c>
      <c r="AO19866" s="11">
        <v>14987.73</v>
      </c>
      <c r="AP19866" s="9">
        <v>3.1163019502478226</v>
      </c>
    </row>
    <row r="19867" spans="40:42" x14ac:dyDescent="0.3">
      <c r="AN19867">
        <v>19863</v>
      </c>
      <c r="AO19867" s="11">
        <v>19306.27</v>
      </c>
      <c r="AP19867" s="9">
        <v>3.3179709499049497</v>
      </c>
    </row>
    <row r="19868" spans="40:42" x14ac:dyDescent="0.3">
      <c r="AN19868">
        <v>19864</v>
      </c>
      <c r="AO19868" s="11">
        <v>22382.54</v>
      </c>
      <c r="AP19868" s="9">
        <v>2.947625755599228</v>
      </c>
    </row>
    <row r="19869" spans="40:42" x14ac:dyDescent="0.3">
      <c r="AN19869">
        <v>19865</v>
      </c>
      <c r="AO19869" s="11">
        <v>24872.54</v>
      </c>
      <c r="AP19869" s="9">
        <v>3.5084139826321112</v>
      </c>
    </row>
    <row r="19870" spans="40:42" x14ac:dyDescent="0.3">
      <c r="AN19870">
        <v>19866</v>
      </c>
      <c r="AO19870" s="11">
        <v>29914.42</v>
      </c>
      <c r="AP19870" s="9">
        <v>3.5571673671460542</v>
      </c>
    </row>
    <row r="19871" spans="40:42" x14ac:dyDescent="0.3">
      <c r="AN19871">
        <v>19867</v>
      </c>
      <c r="AO19871" s="11">
        <v>28402.22</v>
      </c>
      <c r="AP19871" s="9">
        <v>2.888225108439856</v>
      </c>
    </row>
    <row r="19872" spans="40:42" x14ac:dyDescent="0.3">
      <c r="AN19872">
        <v>19868</v>
      </c>
      <c r="AO19872" s="11">
        <v>29008.95</v>
      </c>
      <c r="AP19872" s="9">
        <v>3.4211251219849825</v>
      </c>
    </row>
    <row r="19873" spans="40:42" x14ac:dyDescent="0.3">
      <c r="AN19873">
        <v>19869</v>
      </c>
      <c r="AO19873" s="11">
        <v>27542.59</v>
      </c>
      <c r="AP19873" s="9">
        <v>3.6278897837719102</v>
      </c>
    </row>
    <row r="19874" spans="40:42" x14ac:dyDescent="0.3">
      <c r="AN19874">
        <v>19870</v>
      </c>
      <c r="AO19874" s="11">
        <v>29870.28</v>
      </c>
      <c r="AP19874" s="9">
        <v>3.4992870298982268</v>
      </c>
    </row>
    <row r="19875" spans="40:42" x14ac:dyDescent="0.3">
      <c r="AN19875">
        <v>19871</v>
      </c>
      <c r="AO19875" s="11">
        <v>18002.490000000002</v>
      </c>
      <c r="AP19875" s="9">
        <v>2.8281631372547134</v>
      </c>
    </row>
    <row r="19876" spans="40:42" x14ac:dyDescent="0.3">
      <c r="AN19876">
        <v>19872</v>
      </c>
      <c r="AO19876" s="11">
        <v>32451.72</v>
      </c>
      <c r="AP19876" s="9">
        <v>4.07872754779034</v>
      </c>
    </row>
    <row r="19877" spans="40:42" x14ac:dyDescent="0.3">
      <c r="AN19877">
        <v>19873</v>
      </c>
      <c r="AO19877" s="11">
        <v>34350.49</v>
      </c>
      <c r="AP19877" s="9">
        <v>3.8645641193986533</v>
      </c>
    </row>
    <row r="19878" spans="40:42" x14ac:dyDescent="0.3">
      <c r="AN19878">
        <v>19874</v>
      </c>
      <c r="AO19878" s="11">
        <v>21404.46</v>
      </c>
      <c r="AP19878" s="9">
        <v>2.830758091247787</v>
      </c>
    </row>
    <row r="19879" spans="40:42" x14ac:dyDescent="0.3">
      <c r="AN19879">
        <v>19875</v>
      </c>
      <c r="AO19879" s="11">
        <v>25278.91</v>
      </c>
      <c r="AP19879" s="9">
        <v>3.9423686757512275</v>
      </c>
    </row>
    <row r="19880" spans="40:42" x14ac:dyDescent="0.3">
      <c r="AN19880">
        <v>19876</v>
      </c>
      <c r="AO19880" s="11">
        <v>20085.66</v>
      </c>
      <c r="AP19880" s="9">
        <v>2.9211383596842539</v>
      </c>
    </row>
    <row r="19881" spans="40:42" x14ac:dyDescent="0.3">
      <c r="AN19881">
        <v>19877</v>
      </c>
      <c r="AO19881" s="11">
        <v>36072.17</v>
      </c>
      <c r="AP19881" s="9">
        <v>3.9769332553183534</v>
      </c>
    </row>
    <row r="19882" spans="40:42" x14ac:dyDescent="0.3">
      <c r="AN19882">
        <v>19878</v>
      </c>
      <c r="AO19882" s="11">
        <v>46655.99</v>
      </c>
      <c r="AP19882" s="9">
        <v>3.3920212579947489</v>
      </c>
    </row>
    <row r="19883" spans="40:42" x14ac:dyDescent="0.3">
      <c r="AN19883">
        <v>19879</v>
      </c>
      <c r="AO19883" s="11">
        <v>28341.85</v>
      </c>
      <c r="AP19883" s="9">
        <v>3.4159053998472442</v>
      </c>
    </row>
    <row r="19884" spans="40:42" x14ac:dyDescent="0.3">
      <c r="AN19884">
        <v>19880</v>
      </c>
      <c r="AO19884" s="11">
        <v>15721.58</v>
      </c>
      <c r="AP19884" s="9">
        <v>2.7515728144060687</v>
      </c>
    </row>
    <row r="19885" spans="40:42" x14ac:dyDescent="0.3">
      <c r="AN19885">
        <v>19881</v>
      </c>
      <c r="AO19885" s="11">
        <v>20351.150000000001</v>
      </c>
      <c r="AP19885" s="9">
        <v>3.4901627083617264</v>
      </c>
    </row>
    <row r="19886" spans="40:42" x14ac:dyDescent="0.3">
      <c r="AN19886">
        <v>19882</v>
      </c>
      <c r="AO19886" s="11">
        <v>34124.6</v>
      </c>
      <c r="AP19886" s="9">
        <v>3.1146777326645774</v>
      </c>
    </row>
    <row r="19887" spans="40:42" x14ac:dyDescent="0.3">
      <c r="AN19887">
        <v>19883</v>
      </c>
      <c r="AO19887" s="11">
        <v>14173.47</v>
      </c>
      <c r="AP19887" s="9">
        <v>2.9407372727047205</v>
      </c>
    </row>
    <row r="19888" spans="40:42" x14ac:dyDescent="0.3">
      <c r="AN19888">
        <v>19884</v>
      </c>
      <c r="AO19888" s="11">
        <v>20368.05</v>
      </c>
      <c r="AP19888" s="9">
        <v>3.0965704136497534</v>
      </c>
    </row>
    <row r="19889" spans="40:42" x14ac:dyDescent="0.3">
      <c r="AN19889">
        <v>19885</v>
      </c>
      <c r="AO19889" s="11">
        <v>21706.400000000001</v>
      </c>
      <c r="AP19889" s="9">
        <v>3.3184772813266727</v>
      </c>
    </row>
    <row r="19890" spans="40:42" x14ac:dyDescent="0.3">
      <c r="AN19890">
        <v>19886</v>
      </c>
      <c r="AO19890" s="11">
        <v>34063.19</v>
      </c>
      <c r="AP19890" s="9">
        <v>3.6898275092558626</v>
      </c>
    </row>
    <row r="19891" spans="40:42" x14ac:dyDescent="0.3">
      <c r="AN19891">
        <v>19887</v>
      </c>
      <c r="AO19891" s="11">
        <v>18952.330000000002</v>
      </c>
      <c r="AP19891" s="9">
        <v>3.3854880906456022</v>
      </c>
    </row>
    <row r="19892" spans="40:42" x14ac:dyDescent="0.3">
      <c r="AN19892">
        <v>19888</v>
      </c>
      <c r="AO19892" s="11">
        <v>15043.4</v>
      </c>
      <c r="AP19892" s="9">
        <v>3.1033575038144763</v>
      </c>
    </row>
    <row r="19893" spans="40:42" x14ac:dyDescent="0.3">
      <c r="AN19893">
        <v>19889</v>
      </c>
      <c r="AO19893" s="11">
        <v>24740.07</v>
      </c>
      <c r="AP19893" s="9">
        <v>3.9158486779607178</v>
      </c>
    </row>
    <row r="19894" spans="40:42" x14ac:dyDescent="0.3">
      <c r="AN19894">
        <v>19890</v>
      </c>
      <c r="AO19894" s="11">
        <v>18381.189999999999</v>
      </c>
      <c r="AP19894" s="9">
        <v>3.602900722094696</v>
      </c>
    </row>
    <row r="19895" spans="40:42" x14ac:dyDescent="0.3">
      <c r="AN19895">
        <v>19891</v>
      </c>
      <c r="AO19895" s="11">
        <v>27914.880000000001</v>
      </c>
      <c r="AP19895" s="9">
        <v>4.06814643575846</v>
      </c>
    </row>
    <row r="19896" spans="40:42" x14ac:dyDescent="0.3">
      <c r="AN19896">
        <v>19892</v>
      </c>
      <c r="AO19896" s="11">
        <v>17885.78</v>
      </c>
      <c r="AP19896" s="9">
        <v>3.6686713300453651</v>
      </c>
    </row>
    <row r="19897" spans="40:42" x14ac:dyDescent="0.3">
      <c r="AN19897">
        <v>19893</v>
      </c>
      <c r="AO19897" s="11">
        <v>19488.61</v>
      </c>
      <c r="AP19897" s="9">
        <v>3.1113764624820059</v>
      </c>
    </row>
    <row r="19898" spans="40:42" x14ac:dyDescent="0.3">
      <c r="AN19898">
        <v>19894</v>
      </c>
      <c r="AO19898" s="11">
        <v>33687.26</v>
      </c>
      <c r="AP19898" s="9">
        <v>4.4412287772306618</v>
      </c>
    </row>
    <row r="19899" spans="40:42" x14ac:dyDescent="0.3">
      <c r="AN19899">
        <v>19895</v>
      </c>
      <c r="AO19899" s="11">
        <v>40844.620000000003</v>
      </c>
      <c r="AP19899" s="9">
        <v>3.6932435973435358</v>
      </c>
    </row>
    <row r="19900" spans="40:42" x14ac:dyDescent="0.3">
      <c r="AN19900">
        <v>19896</v>
      </c>
      <c r="AO19900" s="11">
        <v>21725.93</v>
      </c>
      <c r="AP19900" s="9">
        <v>3.1402442400096402</v>
      </c>
    </row>
    <row r="19901" spans="40:42" x14ac:dyDescent="0.3">
      <c r="AN19901">
        <v>19897</v>
      </c>
      <c r="AO19901" s="11">
        <v>23168.68</v>
      </c>
      <c r="AP19901" s="9">
        <v>3.3737336721022824</v>
      </c>
    </row>
    <row r="19902" spans="40:42" x14ac:dyDescent="0.3">
      <c r="AN19902">
        <v>19898</v>
      </c>
      <c r="AO19902" s="11">
        <v>28666.55</v>
      </c>
      <c r="AP19902" s="9">
        <v>3.2270357709837652</v>
      </c>
    </row>
    <row r="19903" spans="40:42" x14ac:dyDescent="0.3">
      <c r="AN19903">
        <v>19899</v>
      </c>
      <c r="AO19903" s="11">
        <v>29635.13</v>
      </c>
      <c r="AP19903" s="9">
        <v>4.0123988845927103</v>
      </c>
    </row>
    <row r="19904" spans="40:42" x14ac:dyDescent="0.3">
      <c r="AN19904">
        <v>19900</v>
      </c>
      <c r="AO19904" s="11">
        <v>22294.94</v>
      </c>
      <c r="AP19904" s="9">
        <v>3.3291772134992446</v>
      </c>
    </row>
    <row r="19905" spans="40:42" x14ac:dyDescent="0.3">
      <c r="AN19905">
        <v>19901</v>
      </c>
      <c r="AO19905" s="11">
        <v>37373.15</v>
      </c>
      <c r="AP19905" s="9">
        <v>3.407385097391153</v>
      </c>
    </row>
    <row r="19906" spans="40:42" x14ac:dyDescent="0.3">
      <c r="AN19906">
        <v>19902</v>
      </c>
      <c r="AO19906" s="11">
        <v>15787.24</v>
      </c>
      <c r="AP19906" s="9">
        <v>2.7326051885959455</v>
      </c>
    </row>
    <row r="19907" spans="40:42" x14ac:dyDescent="0.3">
      <c r="AN19907">
        <v>19903</v>
      </c>
      <c r="AO19907" s="11">
        <v>15930.83</v>
      </c>
      <c r="AP19907" s="9">
        <v>3.2661208853689563</v>
      </c>
    </row>
    <row r="19908" spans="40:42" x14ac:dyDescent="0.3">
      <c r="AN19908">
        <v>19904</v>
      </c>
      <c r="AO19908" s="11">
        <v>23758.26</v>
      </c>
      <c r="AP19908" s="9">
        <v>3.1663520259375018</v>
      </c>
    </row>
    <row r="19909" spans="40:42" x14ac:dyDescent="0.3">
      <c r="AN19909">
        <v>19905</v>
      </c>
      <c r="AO19909" s="11">
        <v>27203.07</v>
      </c>
      <c r="AP19909" s="9">
        <v>4.0240448360168335</v>
      </c>
    </row>
    <row r="19910" spans="40:42" x14ac:dyDescent="0.3">
      <c r="AN19910">
        <v>19906</v>
      </c>
      <c r="AO19910" s="11">
        <v>39228.31</v>
      </c>
      <c r="AP19910" s="9">
        <v>3.9623322234693785</v>
      </c>
    </row>
    <row r="19911" spans="40:42" x14ac:dyDescent="0.3">
      <c r="AN19911">
        <v>19907</v>
      </c>
      <c r="AO19911" s="11">
        <v>23907.68</v>
      </c>
      <c r="AP19911" s="9">
        <v>3.3958408724733888</v>
      </c>
    </row>
    <row r="19912" spans="40:42" x14ac:dyDescent="0.3">
      <c r="AN19912">
        <v>19908</v>
      </c>
      <c r="AO19912" s="11">
        <v>25831.77</v>
      </c>
      <c r="AP19912" s="9">
        <v>3.6880859325705857</v>
      </c>
    </row>
    <row r="19913" spans="40:42" x14ac:dyDescent="0.3">
      <c r="AN19913">
        <v>19909</v>
      </c>
      <c r="AO19913" s="11">
        <v>22295.91</v>
      </c>
      <c r="AP19913" s="9">
        <v>3.6105567817718742</v>
      </c>
    </row>
    <row r="19914" spans="40:42" x14ac:dyDescent="0.3">
      <c r="AN19914">
        <v>19910</v>
      </c>
      <c r="AO19914" s="11">
        <v>24970</v>
      </c>
      <c r="AP19914" s="9">
        <v>2.9285761353777966</v>
      </c>
    </row>
    <row r="19915" spans="40:42" x14ac:dyDescent="0.3">
      <c r="AN19915">
        <v>19911</v>
      </c>
      <c r="AO19915" s="11">
        <v>40063.31</v>
      </c>
      <c r="AP19915" s="9">
        <v>4.0905271327979875</v>
      </c>
    </row>
    <row r="19916" spans="40:42" x14ac:dyDescent="0.3">
      <c r="AN19916">
        <v>19912</v>
      </c>
      <c r="AO19916" s="11">
        <v>22919.75</v>
      </c>
      <c r="AP19916" s="9">
        <v>2.8804770096395345</v>
      </c>
    </row>
    <row r="19917" spans="40:42" x14ac:dyDescent="0.3">
      <c r="AN19917">
        <v>19913</v>
      </c>
      <c r="AO19917" s="11">
        <v>42753.33</v>
      </c>
      <c r="AP19917" s="9">
        <v>4.4691993185764467</v>
      </c>
    </row>
    <row r="19918" spans="40:42" x14ac:dyDescent="0.3">
      <c r="AN19918">
        <v>19914</v>
      </c>
      <c r="AO19918" s="11">
        <v>23314.36</v>
      </c>
      <c r="AP19918" s="9">
        <v>3.0403482171989253</v>
      </c>
    </row>
    <row r="19919" spans="40:42" x14ac:dyDescent="0.3">
      <c r="AN19919">
        <v>19915</v>
      </c>
      <c r="AO19919" s="11">
        <v>27175.919999999998</v>
      </c>
      <c r="AP19919" s="9">
        <v>2.8837022036903415</v>
      </c>
    </row>
    <row r="19920" spans="40:42" x14ac:dyDescent="0.3">
      <c r="AN19920">
        <v>19916</v>
      </c>
      <c r="AO19920" s="11">
        <v>16835.900000000001</v>
      </c>
      <c r="AP19920" s="9">
        <v>3.0778152306850717</v>
      </c>
    </row>
    <row r="19921" spans="40:42" x14ac:dyDescent="0.3">
      <c r="AN19921">
        <v>19917</v>
      </c>
      <c r="AO19921" s="11">
        <v>22453.9</v>
      </c>
      <c r="AP19921" s="9">
        <v>2.8704578654333606</v>
      </c>
    </row>
    <row r="19922" spans="40:42" x14ac:dyDescent="0.3">
      <c r="AN19922">
        <v>19918</v>
      </c>
      <c r="AO19922" s="11">
        <v>20338.12</v>
      </c>
      <c r="AP19922" s="9">
        <v>3.6659029273577577</v>
      </c>
    </row>
    <row r="19923" spans="40:42" x14ac:dyDescent="0.3">
      <c r="AN19923">
        <v>19919</v>
      </c>
      <c r="AO19923" s="11">
        <v>19806.27</v>
      </c>
      <c r="AP19923" s="9">
        <v>3.2914138777910531</v>
      </c>
    </row>
    <row r="19924" spans="40:42" x14ac:dyDescent="0.3">
      <c r="AN19924">
        <v>19920</v>
      </c>
      <c r="AO19924" s="11">
        <v>26019.81</v>
      </c>
      <c r="AP19924" s="9">
        <v>3.1652793238909478</v>
      </c>
    </row>
    <row r="19925" spans="40:42" x14ac:dyDescent="0.3">
      <c r="AN19925">
        <v>19921</v>
      </c>
      <c r="AO19925" s="11">
        <v>31452.85</v>
      </c>
      <c r="AP19925" s="9">
        <v>3.3648079215589477</v>
      </c>
    </row>
    <row r="19926" spans="40:42" x14ac:dyDescent="0.3">
      <c r="AN19926">
        <v>19922</v>
      </c>
      <c r="AO19926" s="11">
        <v>28342.69</v>
      </c>
      <c r="AP19926" s="9">
        <v>3.9832744486648974</v>
      </c>
    </row>
    <row r="19927" spans="40:42" x14ac:dyDescent="0.3">
      <c r="AN19927">
        <v>19923</v>
      </c>
      <c r="AO19927" s="11">
        <v>40812.67</v>
      </c>
      <c r="AP19927" s="9">
        <v>3.6814629264702239</v>
      </c>
    </row>
    <row r="19928" spans="40:42" x14ac:dyDescent="0.3">
      <c r="AN19928">
        <v>19924</v>
      </c>
      <c r="AO19928" s="11">
        <v>22297.23</v>
      </c>
      <c r="AP19928" s="9">
        <v>3.1023995756289913</v>
      </c>
    </row>
    <row r="19929" spans="40:42" x14ac:dyDescent="0.3">
      <c r="AN19929">
        <v>19925</v>
      </c>
      <c r="AO19929" s="11">
        <v>30207.59</v>
      </c>
      <c r="AP19929" s="9">
        <v>3.1912355008078461</v>
      </c>
    </row>
    <row r="19930" spans="40:42" x14ac:dyDescent="0.3">
      <c r="AN19930">
        <v>19926</v>
      </c>
      <c r="AO19930" s="11">
        <v>19903.509999999998</v>
      </c>
      <c r="AP19930" s="9">
        <v>3.5234070736052185</v>
      </c>
    </row>
    <row r="19931" spans="40:42" x14ac:dyDescent="0.3">
      <c r="AN19931">
        <v>19927</v>
      </c>
      <c r="AO19931" s="11">
        <v>25951.74</v>
      </c>
      <c r="AP19931" s="9">
        <v>3.0375099024052479</v>
      </c>
    </row>
    <row r="19932" spans="40:42" x14ac:dyDescent="0.3">
      <c r="AN19932">
        <v>19928</v>
      </c>
      <c r="AO19932" s="11">
        <v>25282.29</v>
      </c>
      <c r="AP19932" s="9">
        <v>3.6381260593511073</v>
      </c>
    </row>
    <row r="19933" spans="40:42" x14ac:dyDescent="0.3">
      <c r="AN19933">
        <v>19929</v>
      </c>
      <c r="AO19933" s="11">
        <v>28096.53</v>
      </c>
      <c r="AP19933" s="9">
        <v>3.4723073479416042</v>
      </c>
    </row>
    <row r="19934" spans="40:42" x14ac:dyDescent="0.3">
      <c r="AN19934">
        <v>19930</v>
      </c>
      <c r="AO19934" s="11">
        <v>31466.14</v>
      </c>
      <c r="AP19934" s="9">
        <v>3.5966063167268425</v>
      </c>
    </row>
    <row r="19935" spans="40:42" x14ac:dyDescent="0.3">
      <c r="AN19935">
        <v>19931</v>
      </c>
      <c r="AO19935" s="11">
        <v>17381.419999999998</v>
      </c>
      <c r="AP19935" s="9">
        <v>2.9178726165445474</v>
      </c>
    </row>
    <row r="19936" spans="40:42" x14ac:dyDescent="0.3">
      <c r="AN19936">
        <v>19932</v>
      </c>
      <c r="AO19936" s="11">
        <v>24974.83</v>
      </c>
      <c r="AP19936" s="9">
        <v>4.1300099742582912</v>
      </c>
    </row>
    <row r="19937" spans="40:42" x14ac:dyDescent="0.3">
      <c r="AN19937">
        <v>19933</v>
      </c>
      <c r="AO19937" s="11">
        <v>32930.54</v>
      </c>
      <c r="AP19937" s="9">
        <v>3.067931087325094</v>
      </c>
    </row>
    <row r="19938" spans="40:42" x14ac:dyDescent="0.3">
      <c r="AN19938">
        <v>19934</v>
      </c>
      <c r="AO19938" s="11">
        <v>31353.25</v>
      </c>
      <c r="AP19938" s="9">
        <v>2.9810648648940195</v>
      </c>
    </row>
    <row r="19939" spans="40:42" x14ac:dyDescent="0.3">
      <c r="AN19939">
        <v>19935</v>
      </c>
      <c r="AO19939" s="11">
        <v>24939.5</v>
      </c>
      <c r="AP19939" s="9">
        <v>3.2809971911307971</v>
      </c>
    </row>
    <row r="19940" spans="40:42" x14ac:dyDescent="0.3">
      <c r="AN19940">
        <v>19936</v>
      </c>
      <c r="AO19940" s="11">
        <v>14646.59</v>
      </c>
      <c r="AP19940" s="9">
        <v>3.3945648824991448</v>
      </c>
    </row>
    <row r="19941" spans="40:42" x14ac:dyDescent="0.3">
      <c r="AN19941">
        <v>19937</v>
      </c>
      <c r="AO19941" s="11">
        <v>24101.83</v>
      </c>
      <c r="AP19941" s="9">
        <v>2.8856304121624436</v>
      </c>
    </row>
    <row r="19942" spans="40:42" x14ac:dyDescent="0.3">
      <c r="AN19942">
        <v>19938</v>
      </c>
      <c r="AO19942" s="11">
        <v>41768.04</v>
      </c>
      <c r="AP19942" s="9">
        <v>4.2485303030767936</v>
      </c>
    </row>
    <row r="19943" spans="40:42" x14ac:dyDescent="0.3">
      <c r="AN19943">
        <v>19939</v>
      </c>
      <c r="AO19943" s="11">
        <v>33983.440000000002</v>
      </c>
      <c r="AP19943" s="9">
        <v>3.1784143805721059</v>
      </c>
    </row>
    <row r="19944" spans="40:42" x14ac:dyDescent="0.3">
      <c r="AN19944">
        <v>19940</v>
      </c>
      <c r="AO19944" s="11">
        <v>21231.09</v>
      </c>
      <c r="AP19944" s="9">
        <v>3.2609391849691201</v>
      </c>
    </row>
    <row r="19945" spans="40:42" x14ac:dyDescent="0.3">
      <c r="AN19945">
        <v>19941</v>
      </c>
      <c r="AO19945" s="11">
        <v>17716.2</v>
      </c>
      <c r="AP19945" s="9">
        <v>2.8029645868194986</v>
      </c>
    </row>
    <row r="19946" spans="40:42" x14ac:dyDescent="0.3">
      <c r="AN19946">
        <v>19942</v>
      </c>
      <c r="AO19946" s="11">
        <v>18892.240000000002</v>
      </c>
      <c r="AP19946" s="9">
        <v>2.7739552988793261</v>
      </c>
    </row>
    <row r="19947" spans="40:42" x14ac:dyDescent="0.3">
      <c r="AN19947">
        <v>19943</v>
      </c>
      <c r="AO19947" s="11">
        <v>29723.25</v>
      </c>
      <c r="AP19947" s="9">
        <v>3.5415974391145859</v>
      </c>
    </row>
    <row r="19948" spans="40:42" x14ac:dyDescent="0.3">
      <c r="AN19948">
        <v>19944</v>
      </c>
      <c r="AO19948" s="11">
        <v>24187.15</v>
      </c>
      <c r="AP19948" s="9">
        <v>3.2986717252036009</v>
      </c>
    </row>
    <row r="19949" spans="40:42" x14ac:dyDescent="0.3">
      <c r="AN19949">
        <v>19945</v>
      </c>
      <c r="AO19949" s="11">
        <v>37254.51</v>
      </c>
      <c r="AP19949" s="9">
        <v>4.0395512044935957</v>
      </c>
    </row>
    <row r="19950" spans="40:42" x14ac:dyDescent="0.3">
      <c r="AN19950">
        <v>19946</v>
      </c>
      <c r="AO19950" s="11">
        <v>36551.07</v>
      </c>
      <c r="AP19950" s="9">
        <v>2.5573367190171301</v>
      </c>
    </row>
    <row r="19951" spans="40:42" x14ac:dyDescent="0.3">
      <c r="AN19951">
        <v>19947</v>
      </c>
      <c r="AO19951" s="11">
        <v>33467.54</v>
      </c>
      <c r="AP19951" s="9">
        <v>3.422415435949504</v>
      </c>
    </row>
    <row r="19952" spans="40:42" x14ac:dyDescent="0.3">
      <c r="AN19952">
        <v>19948</v>
      </c>
      <c r="AO19952" s="11">
        <v>31977.96</v>
      </c>
      <c r="AP19952" s="9">
        <v>3.4933542505950639</v>
      </c>
    </row>
    <row r="19953" spans="40:42" x14ac:dyDescent="0.3">
      <c r="AN19953">
        <v>19949</v>
      </c>
      <c r="AO19953" s="11">
        <v>26610.48</v>
      </c>
      <c r="AP19953" s="9">
        <v>2.7857495462955937</v>
      </c>
    </row>
    <row r="19954" spans="40:42" x14ac:dyDescent="0.3">
      <c r="AN19954">
        <v>19950</v>
      </c>
      <c r="AO19954" s="11">
        <v>20112.189999999999</v>
      </c>
      <c r="AP19954" s="9">
        <v>3.3102251771882281</v>
      </c>
    </row>
    <row r="19955" spans="40:42" x14ac:dyDescent="0.3">
      <c r="AN19955">
        <v>19951</v>
      </c>
      <c r="AO19955" s="11">
        <v>26790.23</v>
      </c>
      <c r="AP19955" s="9">
        <v>3.6626448326402876</v>
      </c>
    </row>
    <row r="19956" spans="40:42" x14ac:dyDescent="0.3">
      <c r="AN19956">
        <v>19952</v>
      </c>
      <c r="AO19956" s="11">
        <v>17926.330000000002</v>
      </c>
      <c r="AP19956" s="9">
        <v>3.2505733703058355</v>
      </c>
    </row>
    <row r="19957" spans="40:42" x14ac:dyDescent="0.3">
      <c r="AN19957">
        <v>19953</v>
      </c>
      <c r="AO19957" s="11">
        <v>35467.660000000003</v>
      </c>
      <c r="AP19957" s="9">
        <v>4.0494843176383917</v>
      </c>
    </row>
    <row r="19958" spans="40:42" x14ac:dyDescent="0.3">
      <c r="AN19958">
        <v>19954</v>
      </c>
      <c r="AO19958" s="11">
        <v>35684.400000000001</v>
      </c>
      <c r="AP19958" s="9">
        <v>3.2995015024054024</v>
      </c>
    </row>
    <row r="19959" spans="40:42" x14ac:dyDescent="0.3">
      <c r="AN19959">
        <v>19955</v>
      </c>
      <c r="AO19959" s="11">
        <v>29171.32</v>
      </c>
      <c r="AP19959" s="9">
        <v>3.0789675347494674</v>
      </c>
    </row>
    <row r="19960" spans="40:42" x14ac:dyDescent="0.3">
      <c r="AN19960">
        <v>19956</v>
      </c>
      <c r="AO19960" s="11">
        <v>34310.57</v>
      </c>
      <c r="AP19960" s="9">
        <v>3.4440875253240746</v>
      </c>
    </row>
    <row r="19961" spans="40:42" x14ac:dyDescent="0.3">
      <c r="AN19961">
        <v>19957</v>
      </c>
      <c r="AO19961" s="11">
        <v>24823.89</v>
      </c>
      <c r="AP19961" s="9">
        <v>2.9229699113544756</v>
      </c>
    </row>
    <row r="19962" spans="40:42" x14ac:dyDescent="0.3">
      <c r="AN19962">
        <v>19958</v>
      </c>
      <c r="AO19962" s="11">
        <v>39441.69</v>
      </c>
      <c r="AP19962" s="9">
        <v>3.4638852275321814</v>
      </c>
    </row>
    <row r="19963" spans="40:42" x14ac:dyDescent="0.3">
      <c r="AN19963">
        <v>19959</v>
      </c>
      <c r="AO19963" s="11">
        <v>22205.279999999999</v>
      </c>
      <c r="AP19963" s="9">
        <v>3.2374711490381167</v>
      </c>
    </row>
    <row r="19964" spans="40:42" x14ac:dyDescent="0.3">
      <c r="AN19964">
        <v>19960</v>
      </c>
      <c r="AO19964" s="11">
        <v>24881.69</v>
      </c>
      <c r="AP19964" s="9">
        <v>3.977214132653311</v>
      </c>
    </row>
    <row r="19965" spans="40:42" x14ac:dyDescent="0.3">
      <c r="AN19965">
        <v>19961</v>
      </c>
      <c r="AO19965" s="11">
        <v>29453.54</v>
      </c>
      <c r="AP19965" s="9">
        <v>3.3265680346016051</v>
      </c>
    </row>
    <row r="19966" spans="40:42" x14ac:dyDescent="0.3">
      <c r="AN19966">
        <v>19962</v>
      </c>
      <c r="AO19966" s="11">
        <v>21038.26</v>
      </c>
      <c r="AP19966" s="9">
        <v>3.3546814876494735</v>
      </c>
    </row>
    <row r="19967" spans="40:42" x14ac:dyDescent="0.3">
      <c r="AN19967">
        <v>19963</v>
      </c>
      <c r="AO19967" s="11">
        <v>33565.97</v>
      </c>
      <c r="AP19967" s="9">
        <v>3.8566968081652693</v>
      </c>
    </row>
    <row r="19968" spans="40:42" x14ac:dyDescent="0.3">
      <c r="AN19968">
        <v>19964</v>
      </c>
      <c r="AO19968" s="11">
        <v>31366.27</v>
      </c>
      <c r="AP19968" s="9">
        <v>3.334666273636492</v>
      </c>
    </row>
    <row r="19969" spans="40:42" x14ac:dyDescent="0.3">
      <c r="AN19969">
        <v>19965</v>
      </c>
      <c r="AO19969" s="11">
        <v>34438.639999999999</v>
      </c>
      <c r="AP19969" s="9">
        <v>3.8752485372520344</v>
      </c>
    </row>
    <row r="19970" spans="40:42" x14ac:dyDescent="0.3">
      <c r="AN19970">
        <v>19966</v>
      </c>
      <c r="AO19970" s="11">
        <v>25027.78</v>
      </c>
      <c r="AP19970" s="9">
        <v>3.4663801635381128</v>
      </c>
    </row>
    <row r="19971" spans="40:42" x14ac:dyDescent="0.3">
      <c r="AN19971">
        <v>19967</v>
      </c>
      <c r="AO19971" s="11">
        <v>26320.54</v>
      </c>
      <c r="AP19971" s="9">
        <v>3.4094233249603749</v>
      </c>
    </row>
    <row r="19972" spans="40:42" x14ac:dyDescent="0.3">
      <c r="AN19972">
        <v>19968</v>
      </c>
      <c r="AO19972" s="11">
        <v>24377.07</v>
      </c>
      <c r="AP19972" s="9">
        <v>3.3285478642009094</v>
      </c>
    </row>
    <row r="19973" spans="40:42" x14ac:dyDescent="0.3">
      <c r="AN19973">
        <v>19969</v>
      </c>
      <c r="AO19973" s="11">
        <v>21104.76</v>
      </c>
      <c r="AP19973" s="9">
        <v>3.5082962175788501</v>
      </c>
    </row>
    <row r="19974" spans="40:42" x14ac:dyDescent="0.3">
      <c r="AN19974">
        <v>19970</v>
      </c>
      <c r="AO19974" s="11">
        <v>31037.62</v>
      </c>
      <c r="AP19974" s="9">
        <v>3.3721754127417172</v>
      </c>
    </row>
    <row r="19975" spans="40:42" x14ac:dyDescent="0.3">
      <c r="AN19975">
        <v>19971</v>
      </c>
      <c r="AO19975" s="11">
        <v>24205.66</v>
      </c>
      <c r="AP19975" s="9">
        <v>3.4860859028601361</v>
      </c>
    </row>
    <row r="19976" spans="40:42" x14ac:dyDescent="0.3">
      <c r="AN19976">
        <v>19972</v>
      </c>
      <c r="AO19976" s="11">
        <v>25886.799999999999</v>
      </c>
      <c r="AP19976" s="9">
        <v>3.0688711079679618</v>
      </c>
    </row>
    <row r="19977" spans="40:42" x14ac:dyDescent="0.3">
      <c r="AN19977">
        <v>19973</v>
      </c>
      <c r="AO19977" s="11">
        <v>22845.25</v>
      </c>
      <c r="AP19977" s="9">
        <v>3.0129619826908174</v>
      </c>
    </row>
    <row r="19978" spans="40:42" x14ac:dyDescent="0.3">
      <c r="AN19978">
        <v>19974</v>
      </c>
      <c r="AO19978" s="11">
        <v>19571.669999999998</v>
      </c>
      <c r="AP19978" s="9">
        <v>3.362610237391642</v>
      </c>
    </row>
    <row r="19979" spans="40:42" x14ac:dyDescent="0.3">
      <c r="AN19979">
        <v>19975</v>
      </c>
      <c r="AO19979" s="11">
        <v>35755.97</v>
      </c>
      <c r="AP19979" s="9">
        <v>3.1713499359301247</v>
      </c>
    </row>
    <row r="19980" spans="40:42" x14ac:dyDescent="0.3">
      <c r="AN19980">
        <v>19976</v>
      </c>
      <c r="AO19980" s="11">
        <v>32371.79</v>
      </c>
      <c r="AP19980" s="9">
        <v>3.4184947857975581</v>
      </c>
    </row>
    <row r="19981" spans="40:42" x14ac:dyDescent="0.3">
      <c r="AN19981">
        <v>19977</v>
      </c>
      <c r="AO19981" s="11">
        <v>18142.62</v>
      </c>
      <c r="AP19981" s="9">
        <v>3.0603840294171425</v>
      </c>
    </row>
    <row r="19982" spans="40:42" x14ac:dyDescent="0.3">
      <c r="AN19982">
        <v>19978</v>
      </c>
      <c r="AO19982" s="11">
        <v>42642.720000000001</v>
      </c>
      <c r="AP19982" s="9">
        <v>3.2271793156121569</v>
      </c>
    </row>
    <row r="19983" spans="40:42" x14ac:dyDescent="0.3">
      <c r="AN19983">
        <v>19979</v>
      </c>
      <c r="AO19983" s="11">
        <v>27099.45</v>
      </c>
      <c r="AP19983" s="9">
        <v>2.989690508603585</v>
      </c>
    </row>
    <row r="19984" spans="40:42" x14ac:dyDescent="0.3">
      <c r="AN19984">
        <v>19980</v>
      </c>
      <c r="AO19984" s="11">
        <v>31098.42</v>
      </c>
      <c r="AP19984" s="9">
        <v>3.145148678852554</v>
      </c>
    </row>
    <row r="19985" spans="40:42" x14ac:dyDescent="0.3">
      <c r="AN19985">
        <v>19981</v>
      </c>
      <c r="AO19985" s="11">
        <v>27395.19</v>
      </c>
      <c r="AP19985" s="9">
        <v>4.1530800040659495</v>
      </c>
    </row>
    <row r="19986" spans="40:42" x14ac:dyDescent="0.3">
      <c r="AN19986">
        <v>19982</v>
      </c>
      <c r="AO19986" s="11">
        <v>30284.99</v>
      </c>
      <c r="AP19986" s="9">
        <v>3.5126435871739163</v>
      </c>
    </row>
    <row r="19987" spans="40:42" x14ac:dyDescent="0.3">
      <c r="AN19987">
        <v>19983</v>
      </c>
      <c r="AO19987" s="11">
        <v>22639.22</v>
      </c>
      <c r="AP19987" s="9">
        <v>2.9608946395678446</v>
      </c>
    </row>
    <row r="19988" spans="40:42" x14ac:dyDescent="0.3">
      <c r="AN19988">
        <v>19984</v>
      </c>
      <c r="AO19988" s="11">
        <v>28028.38</v>
      </c>
      <c r="AP19988" s="9">
        <v>3.4039868598966621</v>
      </c>
    </row>
    <row r="19989" spans="40:42" x14ac:dyDescent="0.3">
      <c r="AN19989">
        <v>19985</v>
      </c>
      <c r="AO19989" s="11">
        <v>28154.13</v>
      </c>
      <c r="AP19989" s="9">
        <v>3.5634454399883211</v>
      </c>
    </row>
    <row r="19990" spans="40:42" x14ac:dyDescent="0.3">
      <c r="AN19990">
        <v>19986</v>
      </c>
      <c r="AO19990" s="11">
        <v>13200.87</v>
      </c>
      <c r="AP19990" s="9">
        <v>3.1922890138720605</v>
      </c>
    </row>
    <row r="19991" spans="40:42" x14ac:dyDescent="0.3">
      <c r="AN19991">
        <v>19987</v>
      </c>
      <c r="AO19991" s="11">
        <v>33617.31</v>
      </c>
      <c r="AP19991" s="9">
        <v>4.4776613602174979</v>
      </c>
    </row>
    <row r="19992" spans="40:42" x14ac:dyDescent="0.3">
      <c r="AN19992">
        <v>19988</v>
      </c>
      <c r="AO19992" s="11">
        <v>35950.870000000003</v>
      </c>
      <c r="AP19992" s="9">
        <v>3.4501540173470389</v>
      </c>
    </row>
    <row r="19993" spans="40:42" x14ac:dyDescent="0.3">
      <c r="AN19993">
        <v>19989</v>
      </c>
      <c r="AO19993" s="11">
        <v>23821.23</v>
      </c>
      <c r="AP19993" s="9">
        <v>3.2308872786112941</v>
      </c>
    </row>
    <row r="19994" spans="40:42" x14ac:dyDescent="0.3">
      <c r="AN19994">
        <v>19990</v>
      </c>
      <c r="AO19994" s="11">
        <v>30888.69</v>
      </c>
      <c r="AP19994" s="9">
        <v>3.395193255317269</v>
      </c>
    </row>
    <row r="19995" spans="40:42" x14ac:dyDescent="0.3">
      <c r="AN19995">
        <v>19991</v>
      </c>
      <c r="AO19995" s="11">
        <v>28864.65</v>
      </c>
      <c r="AP19995" s="9">
        <v>3.4373587180237895</v>
      </c>
    </row>
    <row r="19996" spans="40:42" x14ac:dyDescent="0.3">
      <c r="AN19996">
        <v>19992</v>
      </c>
      <c r="AO19996" s="11">
        <v>29699.68</v>
      </c>
      <c r="AP19996" s="9">
        <v>3.5998074081978806</v>
      </c>
    </row>
    <row r="19997" spans="40:42" x14ac:dyDescent="0.3">
      <c r="AN19997">
        <v>19993</v>
      </c>
      <c r="AO19997" s="11">
        <v>24433.39</v>
      </c>
      <c r="AP19997" s="9">
        <v>2.925295972292584</v>
      </c>
    </row>
    <row r="19998" spans="40:42" x14ac:dyDescent="0.3">
      <c r="AN19998">
        <v>19994</v>
      </c>
      <c r="AO19998" s="11">
        <v>21399.85</v>
      </c>
      <c r="AP19998" s="9">
        <v>3.1608178638152249</v>
      </c>
    </row>
    <row r="19999" spans="40:42" x14ac:dyDescent="0.3">
      <c r="AN19999">
        <v>19995</v>
      </c>
      <c r="AO19999" s="11">
        <v>38287.89</v>
      </c>
      <c r="AP19999" s="9">
        <v>4.7560741901295147</v>
      </c>
    </row>
    <row r="20000" spans="40:42" x14ac:dyDescent="0.3">
      <c r="AN20000">
        <v>19996</v>
      </c>
      <c r="AO20000" s="11">
        <v>15983.9</v>
      </c>
      <c r="AP20000" s="9">
        <v>3.635701597042297</v>
      </c>
    </row>
    <row r="20001" spans="40:42" x14ac:dyDescent="0.3">
      <c r="AN20001">
        <v>19997</v>
      </c>
      <c r="AO20001" s="11">
        <v>20978.799999999999</v>
      </c>
      <c r="AP20001" s="9">
        <v>3.0283544640979336</v>
      </c>
    </row>
    <row r="20002" spans="40:42" x14ac:dyDescent="0.3">
      <c r="AN20002">
        <v>19998</v>
      </c>
      <c r="AO20002" s="11">
        <v>31355.46</v>
      </c>
      <c r="AP20002" s="9">
        <v>3.3329681956027373</v>
      </c>
    </row>
    <row r="20003" spans="40:42" x14ac:dyDescent="0.3">
      <c r="AN20003">
        <v>19999</v>
      </c>
      <c r="AO20003" s="11">
        <v>36392.26</v>
      </c>
      <c r="AP20003" s="9">
        <v>4.2953959029530804</v>
      </c>
    </row>
    <row r="20004" spans="40:42" x14ac:dyDescent="0.3">
      <c r="AN20004">
        <v>20000</v>
      </c>
      <c r="AO20004" s="11">
        <v>17430.509999999998</v>
      </c>
      <c r="AP20004" s="9">
        <v>2.5450038353556903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eCarlo">
                <anchor moveWithCells="1">
                  <from>
                    <xdr:col>2</xdr:col>
                    <xdr:colOff>396240</xdr:colOff>
                    <xdr:row>25</xdr:row>
                    <xdr:rowOff>83820</xdr:rowOff>
                  </from>
                  <to>
                    <xdr:col>5</xdr:col>
                    <xdr:colOff>22860</xdr:colOff>
                    <xdr:row>28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1A83A-7C78-43C0-BE99-5913EA47A4F4}">
  <sheetPr codeName="Sheet3"/>
  <dimension ref="A1:N3"/>
  <sheetViews>
    <sheetView workbookViewId="0">
      <selection activeCell="A4" sqref="A4"/>
    </sheetView>
  </sheetViews>
  <sheetFormatPr defaultRowHeight="14.4" x14ac:dyDescent="0.3"/>
  <cols>
    <col min="1" max="1" width="19.6640625" bestFit="1" customWidth="1"/>
    <col min="2" max="2" width="21.44140625" bestFit="1" customWidth="1"/>
    <col min="3" max="3" width="15.77734375" bestFit="1" customWidth="1"/>
    <col min="4" max="4" width="23.109375" bestFit="1" customWidth="1"/>
    <col min="5" max="5" width="21.44140625" bestFit="1" customWidth="1"/>
    <col min="6" max="6" width="17.5546875" bestFit="1" customWidth="1"/>
    <col min="7" max="7" width="16.21875" bestFit="1" customWidth="1"/>
    <col min="8" max="8" width="8.77734375" bestFit="1" customWidth="1"/>
    <col min="9" max="9" width="10.44140625" bestFit="1" customWidth="1"/>
    <col min="10" max="10" width="5" bestFit="1" customWidth="1"/>
    <col min="11" max="11" width="6.44140625" bestFit="1" customWidth="1"/>
    <col min="12" max="12" width="8.77734375" bestFit="1" customWidth="1"/>
    <col min="13" max="13" width="10.44140625" bestFit="1" customWidth="1"/>
    <col min="14" max="14" width="5" bestFit="1" customWidth="1"/>
  </cols>
  <sheetData>
    <row r="1" spans="1:14" x14ac:dyDescent="0.3">
      <c r="A1" t="s">
        <v>13</v>
      </c>
      <c r="H1" t="s">
        <v>30</v>
      </c>
      <c r="K1" t="s">
        <v>8</v>
      </c>
    </row>
    <row r="2" spans="1:14" x14ac:dyDescent="0.3">
      <c r="A2" t="s">
        <v>39</v>
      </c>
      <c r="B2" t="s">
        <v>40</v>
      </c>
      <c r="C2" t="s">
        <v>41</v>
      </c>
      <c r="D2" t="s">
        <v>27</v>
      </c>
      <c r="E2" t="s">
        <v>42</v>
      </c>
      <c r="F2" t="s">
        <v>14</v>
      </c>
      <c r="G2" t="s">
        <v>47</v>
      </c>
      <c r="H2" t="s">
        <v>38</v>
      </c>
      <c r="I2" t="s">
        <v>31</v>
      </c>
      <c r="J2" t="s">
        <v>32</v>
      </c>
      <c r="K2" t="s">
        <v>48</v>
      </c>
      <c r="L2" t="s">
        <v>38</v>
      </c>
      <c r="M2" t="s">
        <v>31</v>
      </c>
      <c r="N2" t="s">
        <v>32</v>
      </c>
    </row>
    <row r="3" spans="1:14" x14ac:dyDescent="0.3">
      <c r="A3" s="4"/>
      <c r="B3" s="4" t="e">
        <f>B6/SUM(A6:C6)</f>
        <v>#DIV/0!</v>
      </c>
      <c r="C3" s="4" t="e">
        <f>C6/SUM(A6:C6)</f>
        <v>#DIV/0!</v>
      </c>
      <c r="D3" s="4" t="e">
        <f>D6/SUM(D6:F6)</f>
        <v>#DIV/0!</v>
      </c>
      <c r="E3" s="4" t="e">
        <f>E6/SUM(D6:F6)</f>
        <v>#DIV/0!</v>
      </c>
      <c r="F3" s="4" t="e">
        <f>F6/SUM(D6:F6)</f>
        <v>#DIV/0!</v>
      </c>
      <c r="G3">
        <v>0.7</v>
      </c>
      <c r="H3">
        <v>0.8</v>
      </c>
      <c r="I3">
        <v>0.5</v>
      </c>
      <c r="J3">
        <v>0</v>
      </c>
      <c r="K3" s="7">
        <v>1000</v>
      </c>
      <c r="L3" s="7">
        <v>5000</v>
      </c>
      <c r="M3" s="7">
        <v>10000</v>
      </c>
      <c r="N3" s="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F2AA-F8D3-4FA3-BD8F-9D356ED25127}">
  <ds:schemaRefs>
    <ds:schemaRef ds:uri="http://www.w3.org/XML/1998/namespace"/>
    <ds:schemaRef ds:uri="http://schemas.microsoft.com/office/2006/metadata/properties"/>
    <ds:schemaRef ds:uri="f9dc3a02-9204-467f-8e7a-5bbbbc75779b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3fa41032-0344-4b0f-81e6-a99404307701"/>
  </ds:schemaRefs>
</ds:datastoreItem>
</file>

<file path=customXml/itemProps2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ReadMe</vt:lpstr>
      <vt:lpstr>Sheet1</vt:lpstr>
      <vt:lpstr>Sheet2</vt:lpstr>
      <vt:lpstr>CostDisc</vt:lpstr>
      <vt:lpstr>probabilistic</vt:lpstr>
      <vt:lpstr>PSA</vt:lpstr>
      <vt:lpstr>QALYdisc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2020-07-06T13:40:45Z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