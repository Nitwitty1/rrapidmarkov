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OneDrive - University of East Anglia\projects\active\_RPackages\rrapidmarkov\data\"/>
    </mc:Choice>
  </mc:AlternateContent>
  <xr:revisionPtr revIDLastSave="75" documentId="8_{99EF1325-D334-4C5A-B509-98064CB7CBDF}" xr6:coauthVersionLast="44" xr6:coauthVersionMax="45" xr10:uidLastSave="{A86CDD9B-A906-4E4A-92C7-79EB9EB365F8}"/>
  <bookViews>
    <workbookView xWindow="-108" yWindow="-108" windowWidth="30936" windowHeight="16896" xr2:uid="{B27F2269-4F07-45CB-8695-D481CB3FA37F}"/>
  </bookViews>
  <sheets>
    <sheet name="code" sheetId="5" r:id="rId1"/>
  </sheets>
  <definedNames>
    <definedName name="CostDisc3a">#REF!</definedName>
    <definedName name="CostDisc3b">#REF!</definedName>
    <definedName name="CostDiscNew">#REF!</definedName>
    <definedName name="CostDiscOld">#REF!</definedName>
    <definedName name="Ex3aSamples">#REF!</definedName>
    <definedName name="Ex3bSamples">#REF!</definedName>
    <definedName name="probabilistic">#REF!</definedName>
    <definedName name="PSA">#REF!</definedName>
    <definedName name="PSA3a">#REF!</definedName>
    <definedName name="PSA3b">#REF!</definedName>
    <definedName name="QALYDisc3a">#REF!</definedName>
    <definedName name="QALYDisc3b">#REF!</definedName>
    <definedName name="QALYdiscNew">#REF!</definedName>
    <definedName name="QALYdiscOld">#REF!</definedName>
    <definedName name="sampled">#REF!</definedName>
    <definedName name="sims">#REF!</definedName>
    <definedName name="sims3a">#REF!</definedName>
    <definedName name="sims3b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X20" i="5" l="1"/>
  <c r="W20" i="5"/>
  <c r="X19" i="5"/>
  <c r="W19" i="5"/>
  <c r="V19" i="5"/>
  <c r="U19" i="5"/>
  <c r="X18" i="5"/>
  <c r="W18" i="5"/>
  <c r="V18" i="5"/>
  <c r="U18" i="5"/>
  <c r="X17" i="5"/>
  <c r="W17" i="5"/>
  <c r="V17" i="5"/>
  <c r="U17" i="5"/>
  <c r="X16" i="5"/>
  <c r="W16" i="5"/>
  <c r="V16" i="5"/>
  <c r="U16" i="5"/>
  <c r="S20" i="5"/>
  <c r="R20" i="5"/>
  <c r="S19" i="5"/>
  <c r="R19" i="5"/>
  <c r="Q19" i="5"/>
  <c r="P19" i="5"/>
  <c r="S18" i="5"/>
  <c r="R18" i="5"/>
  <c r="Q18" i="5"/>
  <c r="P18" i="5"/>
  <c r="S17" i="5"/>
  <c r="R17" i="5"/>
  <c r="Q17" i="5"/>
  <c r="P17" i="5"/>
  <c r="S16" i="5"/>
  <c r="R16" i="5"/>
  <c r="Q16" i="5"/>
  <c r="P16" i="5"/>
  <c r="M19" i="5"/>
  <c r="L19" i="5"/>
  <c r="M18" i="5"/>
  <c r="L18" i="5"/>
  <c r="M17" i="5"/>
  <c r="L17" i="5"/>
  <c r="M16" i="5"/>
  <c r="M6" i="5"/>
  <c r="L6" i="5"/>
  <c r="M5" i="5"/>
  <c r="L5" i="5"/>
  <c r="M4" i="5"/>
  <c r="L4" i="5"/>
  <c r="L16" i="5" l="1"/>
  <c r="P3" i="5" l="1"/>
  <c r="Q3" i="5"/>
  <c r="V3" i="5"/>
  <c r="U3" i="5"/>
  <c r="N3" i="5"/>
  <c r="R3" i="5" l="1"/>
  <c r="W3" i="5"/>
  <c r="X3" i="5" l="1"/>
  <c r="S3" i="5"/>
  <c r="P4" i="5" l="1"/>
  <c r="Q4" i="5"/>
  <c r="V4" i="5"/>
  <c r="U4" i="5"/>
  <c r="N4" i="5"/>
  <c r="R4" i="5" l="1"/>
  <c r="P5" i="5"/>
  <c r="Q5" i="5"/>
  <c r="W4" i="5"/>
  <c r="X4" i="5" s="1"/>
  <c r="V5" i="5"/>
  <c r="N5" i="5"/>
  <c r="U5" i="5"/>
  <c r="S4" i="5" l="1"/>
  <c r="P6" i="5"/>
  <c r="V6" i="5"/>
  <c r="Q6" i="5"/>
  <c r="R5" i="5"/>
  <c r="S5" i="5" s="1"/>
  <c r="W5" i="5"/>
  <c r="U6" i="5"/>
  <c r="N6" i="5"/>
  <c r="X5" i="5" l="1"/>
  <c r="W6" i="5"/>
  <c r="R6" i="5"/>
  <c r="S6" i="5" s="1"/>
  <c r="X6" i="5" l="1"/>
  <c r="S7" i="5" l="1"/>
  <c r="W7" i="5" l="1"/>
  <c r="R7" i="5"/>
  <c r="X7" i="5" l="1"/>
</calcChain>
</file>

<file path=xl/sharedStrings.xml><?xml version="1.0" encoding="utf-8"?>
<sst xmlns="http://schemas.openxmlformats.org/spreadsheetml/2006/main" count="34" uniqueCount="23">
  <si>
    <t>Live value</t>
  </si>
  <si>
    <t>Cost</t>
  </si>
  <si>
    <t>QALYs</t>
  </si>
  <si>
    <t>Total</t>
  </si>
  <si>
    <t>Discounted</t>
  </si>
  <si>
    <t>Inputs</t>
  </si>
  <si>
    <t>Checksum</t>
  </si>
  <si>
    <t>HRQoL</t>
  </si>
  <si>
    <t>progression</t>
  </si>
  <si>
    <t>dead</t>
  </si>
  <si>
    <t>Discount Rate</t>
  </si>
  <si>
    <t>cycle</t>
  </si>
  <si>
    <t>alive</t>
  </si>
  <si>
    <t>Markov Trace</t>
  </si>
  <si>
    <t>Transition period</t>
  </si>
  <si>
    <t>State 1</t>
  </si>
  <si>
    <t>State 2</t>
  </si>
  <si>
    <t>S1&gt;&gt;S1</t>
  </si>
  <si>
    <t>S1&gt;&gt;S2</t>
  </si>
  <si>
    <t>S2&gt;&gt;S1</t>
  </si>
  <si>
    <t>S2&gt;&gt;S2</t>
  </si>
  <si>
    <t>From R:</t>
  </si>
  <si>
    <t>Difference: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</si>
</sst>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£&quot;#,##0;[Red]\-&quot;£&quot;#,##0"/>
    <numFmt numFmtId="8" formatCode="&quot;£&quot;#,##0.00;[Red]\-&quot;£&quot;#,##0.00"/>
    <numFmt numFmtId="164" formatCode="0.000"/>
  </numFmts>
  <fonts count="2" x14ac:knownFonts="1">
    <font>
      <sz val="11"/>
      <color theme="1"/>
      <name val="Calibri"/>
      <family val="2"/>
      <scheme val="minor"/>
    </font>
    <font>
      <sz val="9"/>
      <color rgb="FF404040"/>
      <name val="Lucida Console"/>
      <family val="3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0" fontId="0" fillId="0" borderId="0" xfId="0" applyNumberFormat="1"/>
    <xf numFmtId="6" fontId="0" fillId="0" borderId="0" xfId="0" applyNumberFormat="1"/>
    <xf numFmtId="164" fontId="0" fillId="0" borderId="0" xfId="0" applyNumberFormat="1"/>
    <xf numFmtId="0" fontId="0" fillId="2" borderId="0" xfId="0" applyFill="1"/>
    <xf numFmtId="8" fontId="0" fillId="0" borderId="0" xfId="0" applyNumberFormat="1"/>
    <xf numFmtId="0" fontId="1" fillId="0" borderId="0" xfId="0" applyFont="1" applyAlignment="1">
      <alignment vertical="center"/>
    </xf>
    <xf numFmtId="0" fontId="1" fillId="3" borderId="0" xfId="0" applyFont="1" applyFill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E02125-C653-49C0-8B94-84D25EE9303D}">
  <sheetPr codeName="Sheet5"/>
  <dimension ref="A1:Z21"/>
  <sheetViews>
    <sheetView tabSelected="1" zoomScaleNormal="100" workbookViewId="0">
      <selection activeCell="J17" sqref="J17"/>
    </sheetView>
  </sheetViews>
  <sheetFormatPr defaultRowHeight="14.4" x14ac:dyDescent="0.3"/>
  <cols>
    <col min="1" max="1" width="23.109375" bestFit="1" customWidth="1"/>
    <col min="12" max="13" width="10.77734375" bestFit="1" customWidth="1"/>
    <col min="23" max="23" width="9.77734375" bestFit="1" customWidth="1"/>
    <col min="24" max="24" width="10.44140625" bestFit="1" customWidth="1"/>
    <col min="26" max="26" width="0.6640625" style="4" customWidth="1"/>
  </cols>
  <sheetData>
    <row r="1" spans="1:24" x14ac:dyDescent="0.3">
      <c r="G1" t="s">
        <v>5</v>
      </c>
      <c r="L1" t="s">
        <v>13</v>
      </c>
      <c r="P1" t="s">
        <v>2</v>
      </c>
      <c r="S1" t="s">
        <v>4</v>
      </c>
      <c r="U1" t="s">
        <v>1</v>
      </c>
      <c r="X1" t="s">
        <v>4</v>
      </c>
    </row>
    <row r="2" spans="1:24" x14ac:dyDescent="0.3">
      <c r="B2" t="s">
        <v>0</v>
      </c>
      <c r="F2" t="s">
        <v>11</v>
      </c>
      <c r="G2" t="s">
        <v>17</v>
      </c>
      <c r="H2" t="s">
        <v>18</v>
      </c>
      <c r="I2" t="s">
        <v>19</v>
      </c>
      <c r="J2" t="s">
        <v>20</v>
      </c>
      <c r="L2" t="s">
        <v>15</v>
      </c>
      <c r="M2" t="s">
        <v>16</v>
      </c>
      <c r="N2" t="s">
        <v>6</v>
      </c>
      <c r="P2" t="s">
        <v>15</v>
      </c>
      <c r="Q2" t="s">
        <v>16</v>
      </c>
      <c r="R2" t="s">
        <v>3</v>
      </c>
      <c r="S2" t="s">
        <v>3</v>
      </c>
      <c r="U2" t="s">
        <v>15</v>
      </c>
      <c r="V2" t="s">
        <v>16</v>
      </c>
      <c r="W2" t="s">
        <v>3</v>
      </c>
      <c r="X2" t="s">
        <v>3</v>
      </c>
    </row>
    <row r="3" spans="1:24" x14ac:dyDescent="0.3">
      <c r="A3" t="s">
        <v>7</v>
      </c>
      <c r="F3">
        <v>0</v>
      </c>
      <c r="L3">
        <v>0.5</v>
      </c>
      <c r="M3">
        <v>0.5</v>
      </c>
      <c r="N3">
        <f>SUM(L3:M3)</f>
        <v>1</v>
      </c>
      <c r="P3">
        <f>L3*$B$4*$B$14</f>
        <v>0.4</v>
      </c>
      <c r="Q3">
        <f>M3*$B$5*$B$14</f>
        <v>0</v>
      </c>
      <c r="R3" s="3">
        <f>SUM(P3:Q3)</f>
        <v>0.4</v>
      </c>
      <c r="S3" s="3">
        <f>R3/(1+$B$13)^F3</f>
        <v>0.4</v>
      </c>
      <c r="U3" s="5">
        <f>L3*$B$9</f>
        <v>50</v>
      </c>
      <c r="V3" s="5">
        <f>M3*$B$10</f>
        <v>500</v>
      </c>
      <c r="W3" s="5">
        <f>SUM(U3:V3)</f>
        <v>550</v>
      </c>
      <c r="X3" s="5">
        <f>W3/(1+$B$13)^F3</f>
        <v>550</v>
      </c>
    </row>
    <row r="4" spans="1:24" ht="13.8" customHeight="1" x14ac:dyDescent="0.3">
      <c r="A4" t="s">
        <v>15</v>
      </c>
      <c r="B4">
        <v>0.8</v>
      </c>
      <c r="F4">
        <v>1</v>
      </c>
      <c r="G4" s="1">
        <v>0.8</v>
      </c>
      <c r="H4" s="1">
        <v>0.2</v>
      </c>
      <c r="I4" s="1">
        <v>0.3</v>
      </c>
      <c r="J4" s="1">
        <v>0.7</v>
      </c>
      <c r="L4">
        <f>L3+M3*I4-L3*H4</f>
        <v>0.55000000000000004</v>
      </c>
      <c r="M4">
        <f>M3+L3*H4-M3*I4</f>
        <v>0.44999999999999996</v>
      </c>
      <c r="N4">
        <f>SUM(L4:M4)</f>
        <v>1</v>
      </c>
      <c r="P4">
        <f>L4*$B$4*$B$14</f>
        <v>0.44000000000000006</v>
      </c>
      <c r="Q4">
        <f>M4*$B$5*$B$14</f>
        <v>0</v>
      </c>
      <c r="R4" s="3">
        <f>SUM(P4:Q4)</f>
        <v>0.44000000000000006</v>
      </c>
      <c r="S4" s="3">
        <f>R4/(1+$B$13)^F4</f>
        <v>0.42512077294686001</v>
      </c>
      <c r="U4" s="5">
        <f>L4*$B$9</f>
        <v>55.000000000000007</v>
      </c>
      <c r="V4" s="5">
        <f>M4*$B$10</f>
        <v>449.99999999999994</v>
      </c>
      <c r="W4" s="5">
        <f>SUM(U4:V4)</f>
        <v>504.99999999999994</v>
      </c>
      <c r="X4" s="5">
        <f>W4/(1+$B$13)^F4</f>
        <v>487.92270531400965</v>
      </c>
    </row>
    <row r="5" spans="1:24" x14ac:dyDescent="0.3">
      <c r="A5" t="s">
        <v>16</v>
      </c>
      <c r="B5">
        <v>0</v>
      </c>
      <c r="F5">
        <v>2</v>
      </c>
      <c r="G5" s="1">
        <v>1</v>
      </c>
      <c r="H5" s="1">
        <v>0</v>
      </c>
      <c r="I5" s="1">
        <v>0</v>
      </c>
      <c r="J5" s="1">
        <v>1</v>
      </c>
      <c r="L5">
        <f>L4+M4*I5-L4*H5</f>
        <v>0.55000000000000004</v>
      </c>
      <c r="M5">
        <f>M4+L4*H5-M4*I5</f>
        <v>0.44999999999999996</v>
      </c>
      <c r="N5">
        <f>SUM(L5:M5)</f>
        <v>1</v>
      </c>
      <c r="P5">
        <f>L5*$B$4*$B$14</f>
        <v>0.44000000000000006</v>
      </c>
      <c r="Q5">
        <f>M5*$B$5*$B$14</f>
        <v>0</v>
      </c>
      <c r="R5" s="3">
        <f>SUM(P5:Q5)</f>
        <v>0.44000000000000006</v>
      </c>
      <c r="S5" s="3">
        <f>R5/(1+$B$13)^(F5*$B$14)</f>
        <v>0.41074470816121739</v>
      </c>
      <c r="U5" s="5">
        <f>L5*$B$9</f>
        <v>55.000000000000007</v>
      </c>
      <c r="V5" s="5">
        <f>M5*$B$10</f>
        <v>449.99999999999994</v>
      </c>
      <c r="W5" s="5">
        <f>SUM(U5:V5)</f>
        <v>504.99999999999994</v>
      </c>
      <c r="X5" s="5">
        <f>W5/(1+$B$13)^(F5*$B$14)</f>
        <v>471.42290368503348</v>
      </c>
    </row>
    <row r="6" spans="1:24" x14ac:dyDescent="0.3">
      <c r="F6">
        <v>3</v>
      </c>
      <c r="G6" s="1">
        <v>0</v>
      </c>
      <c r="H6" s="1">
        <v>1</v>
      </c>
      <c r="I6" s="1">
        <v>0.5</v>
      </c>
      <c r="J6" s="1">
        <v>0.5</v>
      </c>
      <c r="L6">
        <f>L5+M5*I6-L5*H6</f>
        <v>0.22499999999999998</v>
      </c>
      <c r="M6">
        <f>M5+L5*H6-M5*I6</f>
        <v>0.77500000000000002</v>
      </c>
      <c r="N6">
        <f>SUM(L6:M6)</f>
        <v>1</v>
      </c>
      <c r="P6">
        <f>L6*$B$4*$B$14</f>
        <v>0.18</v>
      </c>
      <c r="Q6">
        <f>M6*$B$5*$B$14</f>
        <v>0</v>
      </c>
      <c r="R6" s="3">
        <f>SUM(P6:Q6)</f>
        <v>0.18</v>
      </c>
      <c r="S6" s="3">
        <f>R6/(1+$B$13)^(F6*$B$14)</f>
        <v>0.16234968702024402</v>
      </c>
      <c r="U6" s="5">
        <f>L6*$B$9</f>
        <v>22.499999999999996</v>
      </c>
      <c r="V6" s="5">
        <f>M6*$B$10</f>
        <v>775</v>
      </c>
      <c r="W6" s="5">
        <f>SUM(U6:V6)</f>
        <v>797.5</v>
      </c>
      <c r="X6" s="5">
        <f>W6/(1+$B$13)^(F6*$B$14)</f>
        <v>719.29930777024788</v>
      </c>
    </row>
    <row r="7" spans="1:24" x14ac:dyDescent="0.3">
      <c r="G7" s="1"/>
      <c r="H7" s="1"/>
      <c r="I7" s="1"/>
      <c r="J7" s="1"/>
      <c r="R7" s="3">
        <f>SUM(R3:R6)</f>
        <v>1.4600000000000002</v>
      </c>
      <c r="S7" s="3">
        <f>SUM(S3:S6)</f>
        <v>1.3982151681283215</v>
      </c>
      <c r="U7" s="5"/>
      <c r="V7" s="5"/>
      <c r="W7" s="5">
        <f>SUM(W3:W6)</f>
        <v>2357.5</v>
      </c>
      <c r="X7" s="5">
        <f>SUM(X3:X6)</f>
        <v>2228.6449167692908</v>
      </c>
    </row>
    <row r="8" spans="1:24" x14ac:dyDescent="0.3">
      <c r="A8" t="s">
        <v>1</v>
      </c>
      <c r="G8" s="1"/>
      <c r="H8" s="1"/>
      <c r="I8" s="1"/>
      <c r="J8" s="1"/>
    </row>
    <row r="9" spans="1:24" x14ac:dyDescent="0.3">
      <c r="A9" t="s">
        <v>12</v>
      </c>
      <c r="B9" s="2">
        <v>100</v>
      </c>
      <c r="G9" s="1"/>
      <c r="H9" s="1"/>
      <c r="I9" s="1"/>
      <c r="J9" s="1"/>
      <c r="R9" s="3"/>
      <c r="S9" s="3"/>
      <c r="U9" s="5"/>
      <c r="V9" s="5"/>
      <c r="W9" s="5"/>
      <c r="X9" s="5"/>
    </row>
    <row r="10" spans="1:24" x14ac:dyDescent="0.3">
      <c r="A10" t="s">
        <v>8</v>
      </c>
      <c r="B10" s="2">
        <v>1000</v>
      </c>
      <c r="G10" s="1"/>
      <c r="H10" s="6"/>
      <c r="I10" s="1"/>
      <c r="J10" s="1" t="s">
        <v>21</v>
      </c>
      <c r="L10">
        <v>0.5</v>
      </c>
      <c r="M10">
        <v>0.5</v>
      </c>
      <c r="P10">
        <v>0.4</v>
      </c>
      <c r="Q10">
        <v>0</v>
      </c>
      <c r="R10">
        <v>0.4</v>
      </c>
      <c r="S10">
        <v>0.4</v>
      </c>
      <c r="U10">
        <v>50</v>
      </c>
      <c r="V10">
        <v>500</v>
      </c>
      <c r="W10">
        <v>550</v>
      </c>
      <c r="X10">
        <v>550</v>
      </c>
    </row>
    <row r="11" spans="1:24" x14ac:dyDescent="0.3">
      <c r="A11" t="s">
        <v>9</v>
      </c>
      <c r="B11" s="2">
        <v>0</v>
      </c>
      <c r="G11" s="1"/>
      <c r="H11" s="6"/>
      <c r="I11" s="1"/>
      <c r="J11" s="1"/>
      <c r="L11">
        <v>0.55000000000000004</v>
      </c>
      <c r="M11">
        <v>0.45</v>
      </c>
      <c r="P11">
        <v>0.44</v>
      </c>
      <c r="Q11">
        <v>0</v>
      </c>
      <c r="R11">
        <v>0.44</v>
      </c>
      <c r="S11">
        <v>0.42512077294686001</v>
      </c>
      <c r="U11">
        <v>55</v>
      </c>
      <c r="V11">
        <v>450</v>
      </c>
      <c r="W11">
        <v>505</v>
      </c>
      <c r="X11">
        <v>487.92270531400999</v>
      </c>
    </row>
    <row r="12" spans="1:24" x14ac:dyDescent="0.3">
      <c r="G12" s="1"/>
      <c r="H12" s="6"/>
      <c r="I12" s="1"/>
      <c r="L12">
        <v>0.55000000000000004</v>
      </c>
      <c r="M12">
        <v>0.45</v>
      </c>
      <c r="P12">
        <v>0.44</v>
      </c>
      <c r="Q12">
        <v>0</v>
      </c>
      <c r="R12">
        <v>0.44</v>
      </c>
      <c r="S12">
        <v>0.410744708161217</v>
      </c>
      <c r="U12">
        <v>55</v>
      </c>
      <c r="V12">
        <v>450</v>
      </c>
      <c r="W12">
        <v>505</v>
      </c>
      <c r="X12">
        <v>471.42290368503302</v>
      </c>
    </row>
    <row r="13" spans="1:24" x14ac:dyDescent="0.3">
      <c r="A13" t="s">
        <v>10</v>
      </c>
      <c r="B13">
        <v>3.5000000000000003E-2</v>
      </c>
      <c r="G13" s="1"/>
      <c r="H13" s="6"/>
      <c r="I13" s="1"/>
      <c r="J13" s="1"/>
      <c r="L13">
        <v>0.22500000000000001</v>
      </c>
      <c r="M13">
        <v>0.77500000000000002</v>
      </c>
      <c r="P13">
        <v>0.18</v>
      </c>
      <c r="Q13">
        <v>0</v>
      </c>
      <c r="R13">
        <v>0.18</v>
      </c>
      <c r="S13">
        <v>0.16234968702024399</v>
      </c>
      <c r="U13">
        <v>22.5</v>
      </c>
      <c r="V13">
        <v>775</v>
      </c>
      <c r="W13">
        <v>797.5</v>
      </c>
      <c r="X13">
        <v>719.29930777024799</v>
      </c>
    </row>
    <row r="14" spans="1:24" x14ac:dyDescent="0.3">
      <c r="A14" t="s">
        <v>14</v>
      </c>
      <c r="B14">
        <v>1</v>
      </c>
      <c r="G14" s="1"/>
      <c r="H14" s="6"/>
      <c r="I14" s="1"/>
      <c r="J14" s="1"/>
      <c r="R14">
        <v>1.46</v>
      </c>
      <c r="S14">
        <v>1.3982151681283199</v>
      </c>
      <c r="W14">
        <v>2357.5</v>
      </c>
      <c r="X14">
        <v>2228.6449167692899</v>
      </c>
    </row>
    <row r="15" spans="1:24" x14ac:dyDescent="0.3">
      <c r="G15" s="1"/>
      <c r="H15" s="6"/>
      <c r="I15" s="1"/>
      <c r="J15" s="1"/>
      <c r="R15" s="3"/>
      <c r="S15" s="3"/>
      <c r="U15" s="5"/>
      <c r="V15" s="5"/>
      <c r="W15" s="5"/>
      <c r="X15" s="5"/>
    </row>
    <row r="16" spans="1:24" x14ac:dyDescent="0.3">
      <c r="G16" s="1"/>
      <c r="H16" s="6"/>
      <c r="I16" s="1"/>
      <c r="J16" s="1" t="s">
        <v>22</v>
      </c>
      <c r="L16">
        <f>L3-L10</f>
        <v>0</v>
      </c>
      <c r="M16">
        <f t="shared" ref="M16:M19" si="0">M3-M10</f>
        <v>0</v>
      </c>
      <c r="P16">
        <f t="shared" ref="P16:S16" si="1">P3-P10</f>
        <v>0</v>
      </c>
      <c r="Q16">
        <f t="shared" si="1"/>
        <v>0</v>
      </c>
      <c r="R16">
        <f t="shared" si="1"/>
        <v>0</v>
      </c>
      <c r="S16">
        <f t="shared" si="1"/>
        <v>0</v>
      </c>
      <c r="U16">
        <f t="shared" ref="U16:X16" si="2">U3-U10</f>
        <v>0</v>
      </c>
      <c r="V16">
        <f t="shared" si="2"/>
        <v>0</v>
      </c>
      <c r="W16">
        <f t="shared" si="2"/>
        <v>0</v>
      </c>
      <c r="X16">
        <f t="shared" si="2"/>
        <v>0</v>
      </c>
    </row>
    <row r="17" spans="3:24" x14ac:dyDescent="0.3">
      <c r="G17" s="1"/>
      <c r="H17" s="6"/>
      <c r="I17" s="1"/>
      <c r="J17" s="1"/>
      <c r="L17">
        <f t="shared" ref="L17" si="3">L4-L11</f>
        <v>0</v>
      </c>
      <c r="M17">
        <f t="shared" si="0"/>
        <v>0</v>
      </c>
      <c r="P17">
        <f t="shared" ref="P17:S17" si="4">P4-P11</f>
        <v>0</v>
      </c>
      <c r="Q17">
        <f t="shared" si="4"/>
        <v>0</v>
      </c>
      <c r="R17">
        <f t="shared" si="4"/>
        <v>0</v>
      </c>
      <c r="S17">
        <f t="shared" si="4"/>
        <v>0</v>
      </c>
      <c r="U17">
        <f t="shared" ref="U17:X17" si="5">U4-U11</f>
        <v>0</v>
      </c>
      <c r="V17">
        <f t="shared" si="5"/>
        <v>0</v>
      </c>
      <c r="W17">
        <f t="shared" si="5"/>
        <v>0</v>
      </c>
      <c r="X17">
        <f t="shared" si="5"/>
        <v>0</v>
      </c>
    </row>
    <row r="18" spans="3:24" x14ac:dyDescent="0.3">
      <c r="G18" s="1"/>
      <c r="H18" s="6"/>
      <c r="I18" s="1"/>
      <c r="J18" s="1"/>
      <c r="L18">
        <f t="shared" ref="L18" si="6">L5-L12</f>
        <v>0</v>
      </c>
      <c r="M18">
        <f t="shared" si="0"/>
        <v>0</v>
      </c>
      <c r="P18">
        <f t="shared" ref="P18:S18" si="7">P5-P12</f>
        <v>0</v>
      </c>
      <c r="Q18">
        <f t="shared" si="7"/>
        <v>0</v>
      </c>
      <c r="R18">
        <f t="shared" si="7"/>
        <v>0</v>
      </c>
      <c r="S18">
        <f t="shared" si="7"/>
        <v>0</v>
      </c>
      <c r="U18">
        <f t="shared" ref="U18:X18" si="8">U5-U12</f>
        <v>0</v>
      </c>
      <c r="V18">
        <f t="shared" si="8"/>
        <v>0</v>
      </c>
      <c r="W18">
        <f t="shared" si="8"/>
        <v>0</v>
      </c>
      <c r="X18">
        <f t="shared" si="8"/>
        <v>4.5474735088646412E-13</v>
      </c>
    </row>
    <row r="19" spans="3:24" x14ac:dyDescent="0.3">
      <c r="C19" s="2"/>
      <c r="G19" s="1"/>
      <c r="H19" s="7"/>
      <c r="I19" s="1"/>
      <c r="J19" s="1"/>
      <c r="L19">
        <f t="shared" ref="L19" si="9">L6-L13</f>
        <v>0</v>
      </c>
      <c r="M19">
        <f t="shared" si="0"/>
        <v>0</v>
      </c>
      <c r="P19">
        <f t="shared" ref="P19:S19" si="10">P6-P13</f>
        <v>0</v>
      </c>
      <c r="Q19">
        <f t="shared" si="10"/>
        <v>0</v>
      </c>
      <c r="R19">
        <f t="shared" si="10"/>
        <v>0</v>
      </c>
      <c r="S19">
        <f t="shared" si="10"/>
        <v>0</v>
      </c>
      <c r="U19">
        <f t="shared" ref="U19:X19" si="11">U6-U13</f>
        <v>0</v>
      </c>
      <c r="V19">
        <f t="shared" si="11"/>
        <v>0</v>
      </c>
      <c r="W19">
        <f t="shared" si="11"/>
        <v>0</v>
      </c>
      <c r="X19">
        <f t="shared" si="11"/>
        <v>0</v>
      </c>
    </row>
    <row r="20" spans="3:24" x14ac:dyDescent="0.3">
      <c r="G20" s="1"/>
      <c r="H20" s="1"/>
      <c r="I20" s="1"/>
      <c r="J20" s="1"/>
      <c r="R20">
        <f t="shared" ref="R20:S20" si="12">R7-R14</f>
        <v>0</v>
      </c>
      <c r="S20">
        <f t="shared" si="12"/>
        <v>0</v>
      </c>
      <c r="W20">
        <f t="shared" ref="W20:X20" si="13">W7-W14</f>
        <v>0</v>
      </c>
      <c r="X20">
        <f t="shared" si="13"/>
        <v>0</v>
      </c>
    </row>
    <row r="21" spans="3:24" x14ac:dyDescent="0.3">
      <c r="G21" s="1"/>
      <c r="H21" s="1"/>
      <c r="I21" s="1"/>
      <c r="J21" s="1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FE3007EFA9A7349865A9594FBF4AA94" ma:contentTypeVersion="13" ma:contentTypeDescription="Create a new document." ma:contentTypeScope="" ma:versionID="4f0563166cabaaea13a14b5a09c04daa">
  <xsd:schema xmlns:xsd="http://www.w3.org/2001/XMLSchema" xmlns:xs="http://www.w3.org/2001/XMLSchema" xmlns:p="http://schemas.microsoft.com/office/2006/metadata/properties" xmlns:ns3="f9dc3a02-9204-467f-8e7a-5bbbbc75779b" xmlns:ns4="3fa41032-0344-4b0f-81e6-a99404307701" targetNamespace="http://schemas.microsoft.com/office/2006/metadata/properties" ma:root="true" ma:fieldsID="113e1002f7f7f91c391a363f61663b54" ns3:_="" ns4:_="">
    <xsd:import namespace="f9dc3a02-9204-467f-8e7a-5bbbbc75779b"/>
    <xsd:import namespace="3fa41032-0344-4b0f-81e6-a9940430770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dc3a02-9204-467f-8e7a-5bbbbc75779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fa41032-0344-4b0f-81e6-a99404307701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25188AB-FE63-47EC-AF63-335184C8F76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DA08D0D-9C86-4F9A-B865-712307D6FAE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9dc3a02-9204-467f-8e7a-5bbbbc75779b"/>
    <ds:schemaRef ds:uri="3fa41032-0344-4b0f-81e6-a9940430770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249F2AA-F8D3-4FA3-BD8F-9D356ED25127}">
  <ds:schemaRefs>
    <ds:schemaRef ds:uri="http://purl.org/dc/dcmitype/"/>
    <ds:schemaRef ds:uri="f9dc3a02-9204-467f-8e7a-5bbbbc75779b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3fa41032-0344-4b0f-81e6-a99404307701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 Wilson</dc:creator>
  <cp:lastModifiedBy>Ed Wilson</cp:lastModifiedBy>
  <dcterms:created xsi:type="dcterms:W3CDTF">2019-12-16T15:56:07Z</dcterms:created>
  <dcterms:modified xsi:type="dcterms:W3CDTF">2020-07-05T16:35:06Z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0x0101005FE3007EFA9A7349865A9594FBF4AA94</vt:lpwstr>
  </property>
</Properties>
</file>